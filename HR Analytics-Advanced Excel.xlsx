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joycedesouza/Desktop/"/>
    </mc:Choice>
  </mc:AlternateContent>
  <xr:revisionPtr revIDLastSave="0" documentId="8_{0C626D38-60EA-C643-96CB-3D5ACA72DECE}" xr6:coauthVersionLast="47" xr6:coauthVersionMax="47" xr10:uidLastSave="{00000000-0000-0000-0000-000000000000}"/>
  <bookViews>
    <workbookView xWindow="0" yWindow="500" windowWidth="28800" windowHeight="16120" activeTab="2" xr2:uid="{00000000-000D-0000-FFFF-FFFF00000000}"/>
  </bookViews>
  <sheets>
    <sheet name="Employee Data" sheetId="1" r:id="rId1"/>
    <sheet name="Lookup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AA3" i="2" a="1"/>
  <c r="Y501" i="1"/>
  <c r="W501" i="1" a="1"/>
  <c r="V501" i="1" a="1"/>
  <c r="U501" i="1"/>
  <c r="S501" i="1" a="1"/>
  <c r="R501" i="1" a="1"/>
  <c r="P501" i="1"/>
  <c r="O501" i="1"/>
  <c r="N501" i="1"/>
  <c r="M501" i="1"/>
  <c r="K501" i="1"/>
  <c r="I501" i="1"/>
  <c r="H501" i="1" a="1"/>
  <c r="G501" i="1" a="1"/>
  <c r="L501" i="1" s="1"/>
  <c r="Q501" i="1" s="1"/>
  <c r="F501" i="1" a="1"/>
  <c r="E501" i="1"/>
  <c r="D501" i="1" a="1"/>
  <c r="C501" i="1" a="1"/>
  <c r="B501" i="1" a="1"/>
  <c r="T501" i="1" s="1"/>
  <c r="A501" i="1"/>
  <c r="Y500" i="1"/>
  <c r="W500" i="1" a="1"/>
  <c r="V500" i="1" a="1"/>
  <c r="U500" i="1"/>
  <c r="S500" i="1" a="1"/>
  <c r="R500" i="1" a="1"/>
  <c r="P500" i="1"/>
  <c r="O500" i="1"/>
  <c r="N500" i="1"/>
  <c r="M500" i="1"/>
  <c r="K500" i="1"/>
  <c r="J500" i="1"/>
  <c r="I500" i="1"/>
  <c r="X500" i="1" s="1"/>
  <c r="H500" i="1" a="1"/>
  <c r="G500" i="1" a="1"/>
  <c r="L500" i="1" s="1"/>
  <c r="Q500" i="1" s="1"/>
  <c r="F500" i="1" a="1"/>
  <c r="E500" i="1"/>
  <c r="D500" i="1" a="1"/>
  <c r="C500" i="1" a="1"/>
  <c r="B500" i="1" a="1"/>
  <c r="T500" i="1" s="1"/>
  <c r="A500" i="1"/>
  <c r="Y499" i="1"/>
  <c r="W499" i="1" a="1"/>
  <c r="V499" i="1" a="1"/>
  <c r="U499" i="1"/>
  <c r="S499" i="1" a="1"/>
  <c r="R499" i="1" a="1"/>
  <c r="P499" i="1"/>
  <c r="O499" i="1"/>
  <c r="N499" i="1"/>
  <c r="M499" i="1"/>
  <c r="K499" i="1"/>
  <c r="J499" i="1"/>
  <c r="I499" i="1"/>
  <c r="X499" i="1" s="1"/>
  <c r="H499" i="1" a="1"/>
  <c r="G499" i="1" a="1"/>
  <c r="L499" i="1" s="1"/>
  <c r="Q499" i="1" s="1"/>
  <c r="F499" i="1" a="1"/>
  <c r="E499" i="1"/>
  <c r="D499" i="1" a="1"/>
  <c r="C499" i="1" a="1"/>
  <c r="B499" i="1" a="1"/>
  <c r="T499" i="1" s="1"/>
  <c r="A499" i="1"/>
  <c r="Y498" i="1"/>
  <c r="W498" i="1" a="1"/>
  <c r="V498" i="1" a="1"/>
  <c r="U498" i="1"/>
  <c r="S498" i="1" a="1"/>
  <c r="R498" i="1" a="1"/>
  <c r="P498" i="1"/>
  <c r="O498" i="1"/>
  <c r="N498" i="1"/>
  <c r="M498" i="1"/>
  <c r="K498" i="1"/>
  <c r="I498" i="1"/>
  <c r="H498" i="1" a="1"/>
  <c r="G498" i="1" a="1"/>
  <c r="L498" i="1" s="1"/>
  <c r="Q498" i="1" s="1"/>
  <c r="F498" i="1" a="1"/>
  <c r="E498" i="1"/>
  <c r="D498" i="1" a="1"/>
  <c r="C498" i="1" a="1"/>
  <c r="B498" i="1" a="1"/>
  <c r="T498" i="1" s="1"/>
  <c r="A498" i="1"/>
  <c r="Y497" i="1"/>
  <c r="W497" i="1" a="1"/>
  <c r="V497" i="1" a="1"/>
  <c r="U497" i="1"/>
  <c r="S497" i="1" a="1"/>
  <c r="R497" i="1" a="1"/>
  <c r="P497" i="1"/>
  <c r="O497" i="1"/>
  <c r="N497" i="1"/>
  <c r="M497" i="1"/>
  <c r="K497" i="1"/>
  <c r="I497" i="1"/>
  <c r="H497" i="1" a="1"/>
  <c r="G497" i="1" a="1"/>
  <c r="L497" i="1" s="1"/>
  <c r="Q497" i="1" s="1"/>
  <c r="F497" i="1" a="1"/>
  <c r="E497" i="1"/>
  <c r="D497" i="1" a="1"/>
  <c r="C497" i="1" a="1"/>
  <c r="B497" i="1" a="1"/>
  <c r="T497" i="1" s="1"/>
  <c r="A497" i="1"/>
  <c r="Y496" i="1"/>
  <c r="W496" i="1" a="1"/>
  <c r="V496" i="1" a="1"/>
  <c r="U496" i="1"/>
  <c r="S496" i="1" a="1"/>
  <c r="R496" i="1" a="1"/>
  <c r="P496" i="1"/>
  <c r="O496" i="1"/>
  <c r="N496" i="1"/>
  <c r="M496" i="1"/>
  <c r="K496" i="1"/>
  <c r="J496" i="1"/>
  <c r="I496" i="1"/>
  <c r="X496" i="1" s="1"/>
  <c r="H496" i="1" a="1"/>
  <c r="G496" i="1" a="1"/>
  <c r="L496" i="1" s="1"/>
  <c r="Q496" i="1" s="1"/>
  <c r="F496" i="1" a="1"/>
  <c r="E496" i="1"/>
  <c r="D496" i="1" a="1"/>
  <c r="C496" i="1" a="1"/>
  <c r="B496" i="1" a="1"/>
  <c r="T496" i="1" s="1"/>
  <c r="A496" i="1"/>
  <c r="Y495" i="1"/>
  <c r="W495" i="1" a="1"/>
  <c r="V495" i="1" a="1"/>
  <c r="U495" i="1"/>
  <c r="S495" i="1" a="1"/>
  <c r="R495" i="1" a="1"/>
  <c r="P495" i="1"/>
  <c r="O495" i="1"/>
  <c r="N495" i="1"/>
  <c r="M495" i="1"/>
  <c r="K495" i="1"/>
  <c r="J495" i="1"/>
  <c r="I495" i="1"/>
  <c r="X495" i="1" s="1"/>
  <c r="H495" i="1" a="1"/>
  <c r="G495" i="1" a="1"/>
  <c r="L495" i="1" s="1"/>
  <c r="Q495" i="1" s="1"/>
  <c r="F495" i="1" a="1"/>
  <c r="E495" i="1"/>
  <c r="D495" i="1" a="1"/>
  <c r="C495" i="1" a="1"/>
  <c r="B495" i="1" a="1"/>
  <c r="T495" i="1" s="1"/>
  <c r="A495" i="1"/>
  <c r="Y494" i="1"/>
  <c r="W494" i="1" a="1"/>
  <c r="V494" i="1" a="1"/>
  <c r="U494" i="1"/>
  <c r="S494" i="1" a="1"/>
  <c r="R494" i="1" a="1"/>
  <c r="P494" i="1"/>
  <c r="O494" i="1"/>
  <c r="N494" i="1"/>
  <c r="M494" i="1"/>
  <c r="K494" i="1"/>
  <c r="J494" i="1"/>
  <c r="I494" i="1"/>
  <c r="X494" i="1" s="1"/>
  <c r="H494" i="1" a="1"/>
  <c r="G494" i="1" a="1"/>
  <c r="L494" i="1" s="1"/>
  <c r="Q494" i="1" s="1"/>
  <c r="F494" i="1" a="1"/>
  <c r="E494" i="1"/>
  <c r="D494" i="1" a="1"/>
  <c r="C494" i="1" a="1"/>
  <c r="B494" i="1" a="1"/>
  <c r="T494" i="1" s="1"/>
  <c r="A494" i="1"/>
  <c r="Y493" i="1"/>
  <c r="W493" i="1" a="1"/>
  <c r="V493" i="1" a="1"/>
  <c r="U493" i="1"/>
  <c r="S493" i="1" a="1"/>
  <c r="R493" i="1" a="1"/>
  <c r="P493" i="1"/>
  <c r="O493" i="1"/>
  <c r="N493" i="1"/>
  <c r="M493" i="1"/>
  <c r="K493" i="1"/>
  <c r="I493" i="1"/>
  <c r="H493" i="1" a="1"/>
  <c r="G493" i="1" a="1"/>
  <c r="L493" i="1" s="1"/>
  <c r="Q493" i="1" s="1"/>
  <c r="F493" i="1" a="1"/>
  <c r="E493" i="1"/>
  <c r="D493" i="1" a="1"/>
  <c r="C493" i="1" a="1"/>
  <c r="B493" i="1" a="1"/>
  <c r="T493" i="1" s="1"/>
  <c r="A493" i="1"/>
  <c r="Y492" i="1"/>
  <c r="W492" i="1" a="1"/>
  <c r="V492" i="1" a="1"/>
  <c r="U492" i="1"/>
  <c r="S492" i="1" a="1"/>
  <c r="R492" i="1" a="1"/>
  <c r="P492" i="1"/>
  <c r="O492" i="1"/>
  <c r="N492" i="1"/>
  <c r="M492" i="1"/>
  <c r="K492" i="1"/>
  <c r="J492" i="1"/>
  <c r="I492" i="1"/>
  <c r="X492" i="1" s="1"/>
  <c r="H492" i="1" a="1"/>
  <c r="G492" i="1" a="1"/>
  <c r="L492" i="1" s="1"/>
  <c r="Q492" i="1" s="1"/>
  <c r="F492" i="1" a="1"/>
  <c r="E492" i="1"/>
  <c r="D492" i="1" a="1"/>
  <c r="C492" i="1" a="1"/>
  <c r="B492" i="1" a="1"/>
  <c r="T492" i="1" s="1"/>
  <c r="A492" i="1"/>
  <c r="Y491" i="1"/>
  <c r="W491" i="1" a="1"/>
  <c r="V491" i="1" a="1"/>
  <c r="U491" i="1"/>
  <c r="S491" i="1" a="1"/>
  <c r="R491" i="1" a="1"/>
  <c r="P491" i="1"/>
  <c r="O491" i="1"/>
  <c r="N491" i="1"/>
  <c r="M491" i="1"/>
  <c r="K491" i="1"/>
  <c r="J491" i="1"/>
  <c r="I491" i="1"/>
  <c r="X491" i="1" s="1"/>
  <c r="H491" i="1" a="1"/>
  <c r="G491" i="1" a="1"/>
  <c r="L491" i="1" s="1"/>
  <c r="Q491" i="1" s="1"/>
  <c r="F491" i="1" a="1"/>
  <c r="E491" i="1"/>
  <c r="D491" i="1" a="1"/>
  <c r="C491" i="1" a="1"/>
  <c r="B491" i="1" a="1"/>
  <c r="T491" i="1" s="1"/>
  <c r="A491" i="1"/>
  <c r="Y490" i="1"/>
  <c r="W490" i="1" a="1"/>
  <c r="V490" i="1" a="1"/>
  <c r="U490" i="1"/>
  <c r="S490" i="1" a="1"/>
  <c r="R490" i="1" a="1"/>
  <c r="P490" i="1"/>
  <c r="O490" i="1"/>
  <c r="N490" i="1"/>
  <c r="M490" i="1"/>
  <c r="K490" i="1"/>
  <c r="J490" i="1"/>
  <c r="I490" i="1"/>
  <c r="X490" i="1" s="1"/>
  <c r="H490" i="1" a="1"/>
  <c r="G490" i="1" a="1"/>
  <c r="L490" i="1" s="1"/>
  <c r="Q490" i="1" s="1"/>
  <c r="F490" i="1" a="1"/>
  <c r="E490" i="1"/>
  <c r="D490" i="1" a="1"/>
  <c r="C490" i="1" a="1"/>
  <c r="B490" i="1" a="1"/>
  <c r="T490" i="1" s="1"/>
  <c r="A490" i="1"/>
  <c r="Y489" i="1"/>
  <c r="W489" i="1" a="1"/>
  <c r="V489" i="1" a="1"/>
  <c r="U489" i="1"/>
  <c r="S489" i="1" a="1"/>
  <c r="R489" i="1" a="1"/>
  <c r="P489" i="1"/>
  <c r="O489" i="1"/>
  <c r="N489" i="1"/>
  <c r="M489" i="1"/>
  <c r="K489" i="1"/>
  <c r="J489" i="1"/>
  <c r="I489" i="1"/>
  <c r="X489" i="1" s="1"/>
  <c r="H489" i="1" a="1"/>
  <c r="G489" i="1" a="1"/>
  <c r="L489" i="1" s="1"/>
  <c r="Q489" i="1" s="1"/>
  <c r="F489" i="1" a="1"/>
  <c r="E489" i="1"/>
  <c r="D489" i="1" a="1"/>
  <c r="C489" i="1" a="1"/>
  <c r="B489" i="1" a="1"/>
  <c r="T489" i="1" s="1"/>
  <c r="A489" i="1"/>
  <c r="Y488" i="1"/>
  <c r="W488" i="1" a="1"/>
  <c r="V488" i="1" a="1"/>
  <c r="U488" i="1"/>
  <c r="S488" i="1" a="1"/>
  <c r="R488" i="1" a="1"/>
  <c r="P488" i="1"/>
  <c r="O488" i="1"/>
  <c r="N488" i="1"/>
  <c r="M488" i="1"/>
  <c r="K488" i="1"/>
  <c r="J488" i="1"/>
  <c r="I488" i="1"/>
  <c r="X488" i="1" s="1"/>
  <c r="H488" i="1" a="1"/>
  <c r="G488" i="1" a="1"/>
  <c r="L488" i="1" s="1"/>
  <c r="Q488" i="1" s="1"/>
  <c r="F488" i="1" a="1"/>
  <c r="E488" i="1"/>
  <c r="D488" i="1" a="1"/>
  <c r="C488" i="1" a="1"/>
  <c r="B488" i="1" a="1"/>
  <c r="T488" i="1" s="1"/>
  <c r="A488" i="1"/>
  <c r="Y487" i="1"/>
  <c r="W487" i="1" a="1"/>
  <c r="V487" i="1" a="1"/>
  <c r="U487" i="1"/>
  <c r="S487" i="1" a="1"/>
  <c r="R487" i="1" a="1"/>
  <c r="P487" i="1"/>
  <c r="O487" i="1"/>
  <c r="N487" i="1"/>
  <c r="M487" i="1"/>
  <c r="K487" i="1"/>
  <c r="I487" i="1"/>
  <c r="H487" i="1" a="1"/>
  <c r="G487" i="1" a="1"/>
  <c r="L487" i="1" s="1"/>
  <c r="Q487" i="1" s="1"/>
  <c r="F487" i="1" a="1"/>
  <c r="E487" i="1"/>
  <c r="D487" i="1" a="1"/>
  <c r="C487" i="1" a="1"/>
  <c r="B487" i="1" a="1"/>
  <c r="T487" i="1" s="1"/>
  <c r="A487" i="1"/>
  <c r="Y486" i="1"/>
  <c r="W486" i="1" a="1"/>
  <c r="V486" i="1" a="1"/>
  <c r="U486" i="1"/>
  <c r="S486" i="1" a="1"/>
  <c r="R486" i="1" a="1"/>
  <c r="P486" i="1"/>
  <c r="O486" i="1"/>
  <c r="N486" i="1"/>
  <c r="M486" i="1"/>
  <c r="K486" i="1"/>
  <c r="J486" i="1"/>
  <c r="I486" i="1"/>
  <c r="X486" i="1" s="1"/>
  <c r="H486" i="1" a="1"/>
  <c r="G486" i="1" a="1"/>
  <c r="L486" i="1" s="1"/>
  <c r="Q486" i="1" s="1"/>
  <c r="F486" i="1" a="1"/>
  <c r="E486" i="1"/>
  <c r="D486" i="1" a="1"/>
  <c r="C486" i="1" a="1"/>
  <c r="B486" i="1" a="1"/>
  <c r="T486" i="1" s="1"/>
  <c r="A486" i="1"/>
  <c r="Y485" i="1"/>
  <c r="W485" i="1" a="1"/>
  <c r="V485" i="1" a="1"/>
  <c r="U485" i="1"/>
  <c r="S485" i="1" a="1"/>
  <c r="R485" i="1" a="1"/>
  <c r="P485" i="1"/>
  <c r="O485" i="1"/>
  <c r="N485" i="1"/>
  <c r="M485" i="1"/>
  <c r="K485" i="1"/>
  <c r="J485" i="1"/>
  <c r="I485" i="1"/>
  <c r="X485" i="1" s="1"/>
  <c r="H485" i="1" a="1"/>
  <c r="G485" i="1" a="1"/>
  <c r="L485" i="1" s="1"/>
  <c r="Q485" i="1" s="1"/>
  <c r="F485" i="1" a="1"/>
  <c r="E485" i="1"/>
  <c r="D485" i="1" a="1"/>
  <c r="C485" i="1" a="1"/>
  <c r="B485" i="1" a="1"/>
  <c r="T485" i="1" s="1"/>
  <c r="A485" i="1"/>
  <c r="Y484" i="1"/>
  <c r="W484" i="1" a="1"/>
  <c r="V484" i="1" a="1"/>
  <c r="U484" i="1"/>
  <c r="S484" i="1" a="1"/>
  <c r="R484" i="1" a="1"/>
  <c r="P484" i="1"/>
  <c r="O484" i="1"/>
  <c r="N484" i="1"/>
  <c r="M484" i="1"/>
  <c r="K484" i="1"/>
  <c r="J484" i="1"/>
  <c r="I484" i="1"/>
  <c r="X484" i="1" s="1"/>
  <c r="H484" i="1" a="1"/>
  <c r="G484" i="1" a="1"/>
  <c r="L484" i="1" s="1"/>
  <c r="Q484" i="1" s="1"/>
  <c r="F484" i="1" a="1"/>
  <c r="E484" i="1"/>
  <c r="D484" i="1" a="1"/>
  <c r="C484" i="1" a="1"/>
  <c r="B484" i="1" a="1"/>
  <c r="T484" i="1" s="1"/>
  <c r="A484" i="1"/>
  <c r="Y483" i="1"/>
  <c r="W483" i="1" a="1"/>
  <c r="V483" i="1" a="1"/>
  <c r="U483" i="1"/>
  <c r="S483" i="1" a="1"/>
  <c r="R483" i="1" a="1"/>
  <c r="P483" i="1"/>
  <c r="O483" i="1"/>
  <c r="N483" i="1"/>
  <c r="M483" i="1"/>
  <c r="K483" i="1"/>
  <c r="J483" i="1"/>
  <c r="I483" i="1"/>
  <c r="X483" i="1" s="1"/>
  <c r="H483" i="1" a="1"/>
  <c r="G483" i="1" a="1"/>
  <c r="L483" i="1" s="1"/>
  <c r="Q483" i="1" s="1"/>
  <c r="F483" i="1" a="1"/>
  <c r="E483" i="1"/>
  <c r="D483" i="1" a="1"/>
  <c r="C483" i="1" a="1"/>
  <c r="B483" i="1" a="1"/>
  <c r="T483" i="1" s="1"/>
  <c r="A483" i="1"/>
  <c r="Y482" i="1"/>
  <c r="W482" i="1" a="1"/>
  <c r="V482" i="1" a="1"/>
  <c r="U482" i="1"/>
  <c r="S482" i="1" a="1"/>
  <c r="R482" i="1" a="1"/>
  <c r="P482" i="1"/>
  <c r="O482" i="1"/>
  <c r="N482" i="1"/>
  <c r="M482" i="1"/>
  <c r="K482" i="1"/>
  <c r="J482" i="1"/>
  <c r="I482" i="1"/>
  <c r="X482" i="1" s="1"/>
  <c r="H482" i="1" a="1"/>
  <c r="G482" i="1" a="1"/>
  <c r="L482" i="1" s="1"/>
  <c r="Q482" i="1" s="1"/>
  <c r="F482" i="1" a="1"/>
  <c r="E482" i="1"/>
  <c r="D482" i="1" a="1"/>
  <c r="C482" i="1" a="1"/>
  <c r="B482" i="1" a="1"/>
  <c r="T482" i="1" s="1"/>
  <c r="A482" i="1"/>
  <c r="Y481" i="1"/>
  <c r="W481" i="1" a="1"/>
  <c r="V481" i="1" a="1"/>
  <c r="U481" i="1"/>
  <c r="S481" i="1" a="1"/>
  <c r="R481" i="1" a="1"/>
  <c r="P481" i="1"/>
  <c r="O481" i="1"/>
  <c r="N481" i="1"/>
  <c r="M481" i="1"/>
  <c r="K481" i="1"/>
  <c r="J481" i="1"/>
  <c r="I481" i="1"/>
  <c r="X481" i="1" s="1"/>
  <c r="H481" i="1" a="1"/>
  <c r="G481" i="1" a="1"/>
  <c r="L481" i="1" s="1"/>
  <c r="Q481" i="1" s="1"/>
  <c r="F481" i="1" a="1"/>
  <c r="E481" i="1"/>
  <c r="D481" i="1" a="1"/>
  <c r="C481" i="1" a="1"/>
  <c r="B481" i="1" a="1"/>
  <c r="T481" i="1" s="1"/>
  <c r="A481" i="1"/>
  <c r="Y480" i="1"/>
  <c r="W480" i="1" a="1"/>
  <c r="V480" i="1" a="1"/>
  <c r="U480" i="1"/>
  <c r="S480" i="1" a="1"/>
  <c r="R480" i="1" a="1"/>
  <c r="P480" i="1"/>
  <c r="O480" i="1"/>
  <c r="N480" i="1"/>
  <c r="M480" i="1"/>
  <c r="K480" i="1"/>
  <c r="J480" i="1"/>
  <c r="I480" i="1"/>
  <c r="X480" i="1" s="1"/>
  <c r="H480" i="1" a="1"/>
  <c r="G480" i="1" a="1"/>
  <c r="L480" i="1" s="1"/>
  <c r="Q480" i="1" s="1"/>
  <c r="F480" i="1" a="1"/>
  <c r="E480" i="1"/>
  <c r="D480" i="1" a="1"/>
  <c r="C480" i="1" a="1"/>
  <c r="B480" i="1" a="1"/>
  <c r="T480" i="1" s="1"/>
  <c r="A480" i="1"/>
  <c r="Y479" i="1"/>
  <c r="W479" i="1" a="1"/>
  <c r="V479" i="1" a="1"/>
  <c r="U479" i="1"/>
  <c r="S479" i="1" a="1"/>
  <c r="R479" i="1" a="1"/>
  <c r="P479" i="1"/>
  <c r="O479" i="1"/>
  <c r="N479" i="1"/>
  <c r="M479" i="1"/>
  <c r="K479" i="1"/>
  <c r="J479" i="1"/>
  <c r="I479" i="1"/>
  <c r="X479" i="1" s="1"/>
  <c r="H479" i="1" a="1"/>
  <c r="G479" i="1" a="1"/>
  <c r="L479" i="1" s="1"/>
  <c r="Q479" i="1" s="1"/>
  <c r="F479" i="1" a="1"/>
  <c r="E479" i="1"/>
  <c r="D479" i="1" a="1"/>
  <c r="C479" i="1" a="1"/>
  <c r="B479" i="1" a="1"/>
  <c r="T479" i="1" s="1"/>
  <c r="A479" i="1"/>
  <c r="Y478" i="1"/>
  <c r="W478" i="1" a="1"/>
  <c r="V478" i="1" a="1"/>
  <c r="U478" i="1"/>
  <c r="S478" i="1" a="1"/>
  <c r="R478" i="1" a="1"/>
  <c r="P478" i="1"/>
  <c r="O478" i="1"/>
  <c r="N478" i="1"/>
  <c r="M478" i="1"/>
  <c r="K478" i="1"/>
  <c r="J478" i="1"/>
  <c r="I478" i="1"/>
  <c r="X478" i="1" s="1"/>
  <c r="H478" i="1" a="1"/>
  <c r="G478" i="1" a="1"/>
  <c r="L478" i="1" s="1"/>
  <c r="Q478" i="1" s="1"/>
  <c r="F478" i="1" a="1"/>
  <c r="E478" i="1"/>
  <c r="D478" i="1" a="1"/>
  <c r="C478" i="1" a="1"/>
  <c r="B478" i="1" a="1"/>
  <c r="T478" i="1" s="1"/>
  <c r="A478" i="1"/>
  <c r="Y477" i="1"/>
  <c r="W477" i="1" a="1"/>
  <c r="V477" i="1" a="1"/>
  <c r="U477" i="1"/>
  <c r="S477" i="1" a="1"/>
  <c r="R477" i="1" a="1"/>
  <c r="P477" i="1"/>
  <c r="O477" i="1"/>
  <c r="N477" i="1"/>
  <c r="M477" i="1"/>
  <c r="K477" i="1"/>
  <c r="J477" i="1"/>
  <c r="I477" i="1"/>
  <c r="X477" i="1" s="1"/>
  <c r="H477" i="1" a="1"/>
  <c r="G477" i="1" a="1"/>
  <c r="L477" i="1" s="1"/>
  <c r="Q477" i="1" s="1"/>
  <c r="F477" i="1" a="1"/>
  <c r="E477" i="1"/>
  <c r="D477" i="1" a="1"/>
  <c r="C477" i="1" a="1"/>
  <c r="B477" i="1" a="1"/>
  <c r="T477" i="1" s="1"/>
  <c r="A477" i="1"/>
  <c r="Y476" i="1"/>
  <c r="W476" i="1" a="1"/>
  <c r="V476" i="1" a="1"/>
  <c r="U476" i="1"/>
  <c r="S476" i="1" a="1"/>
  <c r="R476" i="1" a="1"/>
  <c r="P476" i="1"/>
  <c r="O476" i="1"/>
  <c r="N476" i="1"/>
  <c r="M476" i="1"/>
  <c r="K476" i="1"/>
  <c r="J476" i="1"/>
  <c r="I476" i="1"/>
  <c r="X476" i="1" s="1"/>
  <c r="H476" i="1" a="1"/>
  <c r="G476" i="1" a="1"/>
  <c r="L476" i="1" s="1"/>
  <c r="Q476" i="1" s="1"/>
  <c r="F476" i="1" a="1"/>
  <c r="E476" i="1"/>
  <c r="D476" i="1" a="1"/>
  <c r="C476" i="1" a="1"/>
  <c r="B476" i="1" a="1"/>
  <c r="T476" i="1" s="1"/>
  <c r="A476" i="1"/>
  <c r="Y475" i="1"/>
  <c r="W475" i="1" a="1"/>
  <c r="V475" i="1" a="1"/>
  <c r="U475" i="1"/>
  <c r="S475" i="1" a="1"/>
  <c r="R475" i="1" a="1"/>
  <c r="P475" i="1"/>
  <c r="O475" i="1"/>
  <c r="N475" i="1"/>
  <c r="M475" i="1"/>
  <c r="K475" i="1"/>
  <c r="I475" i="1"/>
  <c r="H475" i="1" a="1"/>
  <c r="G475" i="1" a="1"/>
  <c r="L475" i="1" s="1"/>
  <c r="Q475" i="1" s="1"/>
  <c r="F475" i="1" a="1"/>
  <c r="E475" i="1"/>
  <c r="D475" i="1" a="1"/>
  <c r="C475" i="1" a="1"/>
  <c r="B475" i="1" a="1"/>
  <c r="T475" i="1" s="1"/>
  <c r="A475" i="1"/>
  <c r="Y474" i="1"/>
  <c r="W474" i="1" a="1"/>
  <c r="V474" i="1" a="1"/>
  <c r="U474" i="1"/>
  <c r="S474" i="1" a="1"/>
  <c r="R474" i="1" a="1"/>
  <c r="P474" i="1"/>
  <c r="O474" i="1"/>
  <c r="N474" i="1"/>
  <c r="M474" i="1"/>
  <c r="K474" i="1"/>
  <c r="J474" i="1"/>
  <c r="I474" i="1"/>
  <c r="X474" i="1" s="1"/>
  <c r="H474" i="1" a="1"/>
  <c r="G474" i="1" a="1"/>
  <c r="L474" i="1" s="1"/>
  <c r="Q474" i="1" s="1"/>
  <c r="F474" i="1" a="1"/>
  <c r="E474" i="1"/>
  <c r="D474" i="1" a="1"/>
  <c r="C474" i="1" a="1"/>
  <c r="B474" i="1" a="1"/>
  <c r="T474" i="1" s="1"/>
  <c r="A474" i="1"/>
  <c r="Y473" i="1"/>
  <c r="W473" i="1" a="1"/>
  <c r="V473" i="1" a="1"/>
  <c r="U473" i="1"/>
  <c r="S473" i="1" a="1"/>
  <c r="R473" i="1" a="1"/>
  <c r="P473" i="1"/>
  <c r="O473" i="1"/>
  <c r="N473" i="1"/>
  <c r="M473" i="1"/>
  <c r="K473" i="1"/>
  <c r="J473" i="1"/>
  <c r="I473" i="1"/>
  <c r="X473" i="1" s="1"/>
  <c r="H473" i="1" a="1"/>
  <c r="G473" i="1" a="1"/>
  <c r="L473" i="1" s="1"/>
  <c r="Q473" i="1" s="1"/>
  <c r="F473" i="1" a="1"/>
  <c r="E473" i="1"/>
  <c r="D473" i="1" a="1"/>
  <c r="C473" i="1" a="1"/>
  <c r="B473" i="1" a="1"/>
  <c r="T473" i="1" s="1"/>
  <c r="A473" i="1"/>
  <c r="Y472" i="1"/>
  <c r="W472" i="1" a="1"/>
  <c r="V472" i="1" a="1"/>
  <c r="U472" i="1"/>
  <c r="S472" i="1" a="1"/>
  <c r="R472" i="1" a="1"/>
  <c r="P472" i="1"/>
  <c r="O472" i="1"/>
  <c r="N472" i="1"/>
  <c r="M472" i="1"/>
  <c r="K472" i="1"/>
  <c r="I472" i="1"/>
  <c r="H472" i="1" a="1"/>
  <c r="G472" i="1" a="1"/>
  <c r="L472" i="1" s="1"/>
  <c r="Q472" i="1" s="1"/>
  <c r="F472" i="1" a="1"/>
  <c r="E472" i="1"/>
  <c r="D472" i="1" a="1"/>
  <c r="C472" i="1" a="1"/>
  <c r="B472" i="1" a="1"/>
  <c r="T472" i="1" s="1"/>
  <c r="A472" i="1"/>
  <c r="Y471" i="1"/>
  <c r="W471" i="1" a="1"/>
  <c r="V471" i="1" a="1"/>
  <c r="U471" i="1"/>
  <c r="S471" i="1" a="1"/>
  <c r="R471" i="1" a="1"/>
  <c r="P471" i="1"/>
  <c r="O471" i="1"/>
  <c r="N471" i="1"/>
  <c r="M471" i="1"/>
  <c r="K471" i="1"/>
  <c r="I471" i="1"/>
  <c r="H471" i="1" a="1"/>
  <c r="G471" i="1" a="1"/>
  <c r="L471" i="1" s="1"/>
  <c r="Q471" i="1" s="1"/>
  <c r="F471" i="1" a="1"/>
  <c r="E471" i="1"/>
  <c r="D471" i="1" a="1"/>
  <c r="C471" i="1" a="1"/>
  <c r="B471" i="1" a="1"/>
  <c r="T471" i="1" s="1"/>
  <c r="A471" i="1"/>
  <c r="Y470" i="1"/>
  <c r="W470" i="1" a="1"/>
  <c r="V470" i="1" a="1"/>
  <c r="U470" i="1"/>
  <c r="S470" i="1" a="1"/>
  <c r="R470" i="1" a="1"/>
  <c r="P470" i="1"/>
  <c r="O470" i="1"/>
  <c r="N470" i="1"/>
  <c r="M470" i="1"/>
  <c r="K470" i="1"/>
  <c r="J470" i="1"/>
  <c r="I470" i="1"/>
  <c r="X470" i="1" s="1"/>
  <c r="H470" i="1" a="1"/>
  <c r="G470" i="1" a="1"/>
  <c r="L470" i="1" s="1"/>
  <c r="Q470" i="1" s="1"/>
  <c r="F470" i="1" a="1"/>
  <c r="E470" i="1"/>
  <c r="D470" i="1" a="1"/>
  <c r="C470" i="1" a="1"/>
  <c r="B470" i="1" a="1"/>
  <c r="T470" i="1" s="1"/>
  <c r="A470" i="1"/>
  <c r="Y469" i="1"/>
  <c r="W469" i="1" a="1"/>
  <c r="V469" i="1" a="1"/>
  <c r="U469" i="1"/>
  <c r="S469" i="1" a="1"/>
  <c r="R469" i="1" a="1"/>
  <c r="P469" i="1"/>
  <c r="O469" i="1"/>
  <c r="N469" i="1"/>
  <c r="M469" i="1"/>
  <c r="K469" i="1"/>
  <c r="J469" i="1"/>
  <c r="I469" i="1"/>
  <c r="X469" i="1" s="1"/>
  <c r="H469" i="1" a="1"/>
  <c r="G469" i="1" a="1"/>
  <c r="L469" i="1" s="1"/>
  <c r="Q469" i="1" s="1"/>
  <c r="F469" i="1" a="1"/>
  <c r="E469" i="1"/>
  <c r="D469" i="1" a="1"/>
  <c r="C469" i="1" a="1"/>
  <c r="B469" i="1" a="1"/>
  <c r="T469" i="1" s="1"/>
  <c r="A469" i="1"/>
  <c r="Y468" i="1"/>
  <c r="W468" i="1" a="1"/>
  <c r="V468" i="1" a="1"/>
  <c r="U468" i="1"/>
  <c r="S468" i="1" a="1"/>
  <c r="R468" i="1" a="1"/>
  <c r="P468" i="1"/>
  <c r="O468" i="1"/>
  <c r="N468" i="1"/>
  <c r="M468" i="1"/>
  <c r="K468" i="1"/>
  <c r="J468" i="1"/>
  <c r="I468" i="1"/>
  <c r="X468" i="1" s="1"/>
  <c r="H468" i="1" a="1"/>
  <c r="G468" i="1" a="1"/>
  <c r="L468" i="1" s="1"/>
  <c r="Q468" i="1" s="1"/>
  <c r="F468" i="1" a="1"/>
  <c r="E468" i="1"/>
  <c r="D468" i="1" a="1"/>
  <c r="C468" i="1" a="1"/>
  <c r="B468" i="1" a="1"/>
  <c r="T468" i="1" s="1"/>
  <c r="A468" i="1"/>
  <c r="Y467" i="1"/>
  <c r="W467" i="1" a="1"/>
  <c r="V467" i="1" a="1"/>
  <c r="U467" i="1"/>
  <c r="S467" i="1" a="1"/>
  <c r="R467" i="1" a="1"/>
  <c r="P467" i="1"/>
  <c r="O467" i="1"/>
  <c r="N467" i="1"/>
  <c r="M467" i="1"/>
  <c r="K467" i="1"/>
  <c r="I467" i="1"/>
  <c r="H467" i="1" a="1"/>
  <c r="G467" i="1" a="1"/>
  <c r="L467" i="1" s="1"/>
  <c r="Q467" i="1" s="1"/>
  <c r="F467" i="1" a="1"/>
  <c r="E467" i="1"/>
  <c r="D467" i="1" a="1"/>
  <c r="C467" i="1" a="1"/>
  <c r="B467" i="1" a="1"/>
  <c r="T467" i="1" s="1"/>
  <c r="A467" i="1"/>
  <c r="Y466" i="1"/>
  <c r="W466" i="1" a="1"/>
  <c r="V466" i="1" a="1"/>
  <c r="U466" i="1"/>
  <c r="S466" i="1" a="1"/>
  <c r="R466" i="1" a="1"/>
  <c r="P466" i="1"/>
  <c r="O466" i="1"/>
  <c r="N466" i="1"/>
  <c r="M466" i="1"/>
  <c r="K466" i="1"/>
  <c r="I466" i="1"/>
  <c r="H466" i="1" a="1"/>
  <c r="G466" i="1" a="1"/>
  <c r="L466" i="1" s="1"/>
  <c r="Q466" i="1" s="1"/>
  <c r="F466" i="1" a="1"/>
  <c r="E466" i="1"/>
  <c r="D466" i="1" a="1"/>
  <c r="C466" i="1" a="1"/>
  <c r="B466" i="1" a="1"/>
  <c r="T466" i="1" s="1"/>
  <c r="A466" i="1"/>
  <c r="Y465" i="1"/>
  <c r="W465" i="1" a="1"/>
  <c r="V465" i="1" a="1"/>
  <c r="U465" i="1"/>
  <c r="S465" i="1" a="1"/>
  <c r="R465" i="1" a="1"/>
  <c r="P465" i="1"/>
  <c r="O465" i="1"/>
  <c r="N465" i="1"/>
  <c r="M465" i="1"/>
  <c r="K465" i="1"/>
  <c r="I465" i="1"/>
  <c r="H465" i="1" a="1"/>
  <c r="G465" i="1" a="1"/>
  <c r="L465" i="1" s="1"/>
  <c r="Q465" i="1" s="1"/>
  <c r="F465" i="1" a="1"/>
  <c r="E465" i="1"/>
  <c r="D465" i="1" a="1"/>
  <c r="C465" i="1" a="1"/>
  <c r="B465" i="1" a="1"/>
  <c r="T465" i="1" s="1"/>
  <c r="A465" i="1"/>
  <c r="Y464" i="1"/>
  <c r="W464" i="1" a="1"/>
  <c r="V464" i="1" a="1"/>
  <c r="U464" i="1"/>
  <c r="S464" i="1" a="1"/>
  <c r="R464" i="1" a="1"/>
  <c r="P464" i="1"/>
  <c r="O464" i="1"/>
  <c r="N464" i="1"/>
  <c r="M464" i="1"/>
  <c r="K464" i="1"/>
  <c r="I464" i="1"/>
  <c r="H464" i="1" a="1"/>
  <c r="G464" i="1" a="1"/>
  <c r="L464" i="1" s="1"/>
  <c r="Q464" i="1" s="1"/>
  <c r="F464" i="1" a="1"/>
  <c r="E464" i="1"/>
  <c r="D464" i="1" a="1"/>
  <c r="C464" i="1" a="1"/>
  <c r="B464" i="1" a="1"/>
  <c r="T464" i="1" s="1"/>
  <c r="A464" i="1"/>
  <c r="Y463" i="1"/>
  <c r="W463" i="1" a="1"/>
  <c r="V463" i="1" a="1"/>
  <c r="U463" i="1"/>
  <c r="S463" i="1" a="1"/>
  <c r="R463" i="1" a="1"/>
  <c r="P463" i="1"/>
  <c r="O463" i="1"/>
  <c r="N463" i="1"/>
  <c r="M463" i="1"/>
  <c r="K463" i="1"/>
  <c r="I463" i="1"/>
  <c r="H463" i="1" a="1"/>
  <c r="G463" i="1" a="1"/>
  <c r="L463" i="1" s="1"/>
  <c r="Q463" i="1" s="1"/>
  <c r="F463" i="1" a="1"/>
  <c r="E463" i="1"/>
  <c r="D463" i="1" a="1"/>
  <c r="C463" i="1" a="1"/>
  <c r="B463" i="1" a="1"/>
  <c r="T463" i="1" s="1"/>
  <c r="A463" i="1"/>
  <c r="Y462" i="1"/>
  <c r="W462" i="1" a="1"/>
  <c r="V462" i="1" a="1"/>
  <c r="U462" i="1"/>
  <c r="S462" i="1" a="1"/>
  <c r="R462" i="1" a="1"/>
  <c r="P462" i="1"/>
  <c r="O462" i="1"/>
  <c r="N462" i="1"/>
  <c r="M462" i="1"/>
  <c r="K462" i="1"/>
  <c r="I462" i="1"/>
  <c r="H462" i="1" a="1"/>
  <c r="G462" i="1" a="1"/>
  <c r="L462" i="1" s="1"/>
  <c r="Q462" i="1" s="1"/>
  <c r="F462" i="1" a="1"/>
  <c r="E462" i="1"/>
  <c r="D462" i="1" a="1"/>
  <c r="C462" i="1" a="1"/>
  <c r="B462" i="1" a="1"/>
  <c r="T462" i="1" s="1"/>
  <c r="A462" i="1"/>
  <c r="Y461" i="1"/>
  <c r="W461" i="1" a="1"/>
  <c r="V461" i="1" a="1"/>
  <c r="U461" i="1"/>
  <c r="S461" i="1" a="1"/>
  <c r="R461" i="1" a="1"/>
  <c r="P461" i="1"/>
  <c r="O461" i="1"/>
  <c r="N461" i="1"/>
  <c r="M461" i="1"/>
  <c r="K461" i="1"/>
  <c r="J461" i="1"/>
  <c r="I461" i="1"/>
  <c r="X461" i="1" s="1"/>
  <c r="H461" i="1" a="1"/>
  <c r="G461" i="1" a="1"/>
  <c r="L461" i="1" s="1"/>
  <c r="Q461" i="1" s="1"/>
  <c r="F461" i="1" a="1"/>
  <c r="E461" i="1"/>
  <c r="D461" i="1" a="1"/>
  <c r="C461" i="1" a="1"/>
  <c r="B461" i="1" a="1"/>
  <c r="T461" i="1" s="1"/>
  <c r="A461" i="1"/>
  <c r="Y460" i="1"/>
  <c r="W460" i="1" a="1"/>
  <c r="V460" i="1" a="1"/>
  <c r="U460" i="1"/>
  <c r="S460" i="1" a="1"/>
  <c r="R460" i="1" a="1"/>
  <c r="P460" i="1"/>
  <c r="O460" i="1"/>
  <c r="N460" i="1"/>
  <c r="M460" i="1"/>
  <c r="K460" i="1"/>
  <c r="I460" i="1"/>
  <c r="H460" i="1" a="1"/>
  <c r="G460" i="1" a="1"/>
  <c r="L460" i="1" s="1"/>
  <c r="Q460" i="1" s="1"/>
  <c r="F460" i="1" a="1"/>
  <c r="E460" i="1"/>
  <c r="D460" i="1" a="1"/>
  <c r="C460" i="1" a="1"/>
  <c r="B460" i="1" a="1"/>
  <c r="T460" i="1" s="1"/>
  <c r="A460" i="1"/>
  <c r="Y459" i="1"/>
  <c r="W459" i="1" a="1"/>
  <c r="V459" i="1" a="1"/>
  <c r="U459" i="1"/>
  <c r="S459" i="1" a="1"/>
  <c r="R459" i="1" a="1"/>
  <c r="P459" i="1"/>
  <c r="O459" i="1"/>
  <c r="N459" i="1"/>
  <c r="M459" i="1"/>
  <c r="K459" i="1"/>
  <c r="I459" i="1"/>
  <c r="H459" i="1" a="1"/>
  <c r="G459" i="1" a="1"/>
  <c r="L459" i="1" s="1"/>
  <c r="Q459" i="1" s="1"/>
  <c r="F459" i="1" a="1"/>
  <c r="E459" i="1"/>
  <c r="D459" i="1" a="1"/>
  <c r="C459" i="1" a="1"/>
  <c r="B459" i="1" a="1"/>
  <c r="T459" i="1" s="1"/>
  <c r="A459" i="1"/>
  <c r="Y458" i="1"/>
  <c r="W458" i="1" a="1"/>
  <c r="V458" i="1" a="1"/>
  <c r="U458" i="1"/>
  <c r="S458" i="1" a="1"/>
  <c r="R458" i="1" a="1"/>
  <c r="P458" i="1"/>
  <c r="O458" i="1"/>
  <c r="N458" i="1"/>
  <c r="M458" i="1"/>
  <c r="K458" i="1"/>
  <c r="J458" i="1"/>
  <c r="I458" i="1"/>
  <c r="X458" i="1" s="1"/>
  <c r="H458" i="1" a="1"/>
  <c r="G458" i="1" a="1"/>
  <c r="L458" i="1" s="1"/>
  <c r="Q458" i="1" s="1"/>
  <c r="F458" i="1" a="1"/>
  <c r="E458" i="1"/>
  <c r="D458" i="1" a="1"/>
  <c r="C458" i="1" a="1"/>
  <c r="B458" i="1" a="1"/>
  <c r="T458" i="1" s="1"/>
  <c r="A458" i="1"/>
  <c r="Y457" i="1"/>
  <c r="W457" i="1" a="1"/>
  <c r="V457" i="1" a="1"/>
  <c r="U457" i="1"/>
  <c r="S457" i="1" a="1"/>
  <c r="R457" i="1" a="1"/>
  <c r="P457" i="1"/>
  <c r="O457" i="1"/>
  <c r="N457" i="1"/>
  <c r="M457" i="1"/>
  <c r="K457" i="1"/>
  <c r="J457" i="1"/>
  <c r="I457" i="1"/>
  <c r="X457" i="1" s="1"/>
  <c r="H457" i="1" a="1"/>
  <c r="G457" i="1" a="1"/>
  <c r="L457" i="1" s="1"/>
  <c r="Q457" i="1" s="1"/>
  <c r="F457" i="1" a="1"/>
  <c r="E457" i="1"/>
  <c r="D457" i="1" a="1"/>
  <c r="C457" i="1" a="1"/>
  <c r="B457" i="1" a="1"/>
  <c r="T457" i="1" s="1"/>
  <c r="A457" i="1"/>
  <c r="Y456" i="1"/>
  <c r="W456" i="1" a="1"/>
  <c r="V456" i="1" a="1"/>
  <c r="U456" i="1"/>
  <c r="S456" i="1" a="1"/>
  <c r="R456" i="1" a="1"/>
  <c r="P456" i="1"/>
  <c r="O456" i="1"/>
  <c r="N456" i="1"/>
  <c r="M456" i="1"/>
  <c r="K456" i="1"/>
  <c r="J456" i="1"/>
  <c r="I456" i="1"/>
  <c r="X456" i="1" s="1"/>
  <c r="H456" i="1" a="1"/>
  <c r="G456" i="1" a="1"/>
  <c r="L456" i="1" s="1"/>
  <c r="Q456" i="1" s="1"/>
  <c r="F456" i="1" a="1"/>
  <c r="E456" i="1"/>
  <c r="D456" i="1" a="1"/>
  <c r="C456" i="1" a="1"/>
  <c r="B456" i="1" a="1"/>
  <c r="T456" i="1" s="1"/>
  <c r="A456" i="1"/>
  <c r="Y455" i="1"/>
  <c r="W455" i="1" a="1"/>
  <c r="V455" i="1" a="1"/>
  <c r="U455" i="1"/>
  <c r="S455" i="1" a="1"/>
  <c r="R455" i="1" a="1"/>
  <c r="P455" i="1"/>
  <c r="O455" i="1"/>
  <c r="N455" i="1"/>
  <c r="M455" i="1"/>
  <c r="K455" i="1"/>
  <c r="I455" i="1"/>
  <c r="H455" i="1" a="1"/>
  <c r="G455" i="1" a="1"/>
  <c r="L455" i="1" s="1"/>
  <c r="Q455" i="1" s="1"/>
  <c r="F455" i="1" a="1"/>
  <c r="E455" i="1"/>
  <c r="D455" i="1" a="1"/>
  <c r="C455" i="1" a="1"/>
  <c r="B455" i="1" a="1"/>
  <c r="T455" i="1" s="1"/>
  <c r="A455" i="1"/>
  <c r="Y454" i="1"/>
  <c r="W454" i="1" a="1"/>
  <c r="V454" i="1" a="1"/>
  <c r="U454" i="1"/>
  <c r="S454" i="1" a="1"/>
  <c r="R454" i="1" a="1"/>
  <c r="P454" i="1"/>
  <c r="O454" i="1"/>
  <c r="N454" i="1"/>
  <c r="M454" i="1"/>
  <c r="K454" i="1"/>
  <c r="J454" i="1"/>
  <c r="I454" i="1"/>
  <c r="X454" i="1" s="1"/>
  <c r="H454" i="1" a="1"/>
  <c r="G454" i="1" a="1"/>
  <c r="L454" i="1" s="1"/>
  <c r="Q454" i="1" s="1"/>
  <c r="F454" i="1" a="1"/>
  <c r="E454" i="1"/>
  <c r="D454" i="1" a="1"/>
  <c r="C454" i="1" a="1"/>
  <c r="B454" i="1" a="1"/>
  <c r="T454" i="1" s="1"/>
  <c r="A454" i="1"/>
  <c r="Y453" i="1"/>
  <c r="W453" i="1" a="1"/>
  <c r="V453" i="1" a="1"/>
  <c r="U453" i="1"/>
  <c r="S453" i="1" a="1"/>
  <c r="R453" i="1" a="1"/>
  <c r="P453" i="1"/>
  <c r="O453" i="1"/>
  <c r="N453" i="1"/>
  <c r="M453" i="1"/>
  <c r="K453" i="1"/>
  <c r="I453" i="1"/>
  <c r="H453" i="1" a="1"/>
  <c r="G453" i="1" a="1"/>
  <c r="L453" i="1" s="1"/>
  <c r="Q453" i="1" s="1"/>
  <c r="F453" i="1" a="1"/>
  <c r="E453" i="1"/>
  <c r="D453" i="1" a="1"/>
  <c r="C453" i="1" a="1"/>
  <c r="B453" i="1" a="1"/>
  <c r="T453" i="1" s="1"/>
  <c r="A453" i="1"/>
  <c r="Y452" i="1"/>
  <c r="W452" i="1" a="1"/>
  <c r="V452" i="1" a="1"/>
  <c r="U452" i="1"/>
  <c r="S452" i="1" a="1"/>
  <c r="R452" i="1" a="1"/>
  <c r="P452" i="1"/>
  <c r="O452" i="1"/>
  <c r="N452" i="1"/>
  <c r="M452" i="1"/>
  <c r="K452" i="1"/>
  <c r="I452" i="1"/>
  <c r="H452" i="1" a="1"/>
  <c r="G452" i="1" a="1"/>
  <c r="L452" i="1" s="1"/>
  <c r="Q452" i="1" s="1"/>
  <c r="F452" i="1" a="1"/>
  <c r="E452" i="1"/>
  <c r="D452" i="1" a="1"/>
  <c r="C452" i="1" a="1"/>
  <c r="B452" i="1" a="1"/>
  <c r="T452" i="1" s="1"/>
  <c r="A452" i="1"/>
  <c r="Y451" i="1"/>
  <c r="W451" i="1" a="1"/>
  <c r="V451" i="1" a="1"/>
  <c r="U451" i="1"/>
  <c r="S451" i="1" a="1"/>
  <c r="R451" i="1" a="1"/>
  <c r="P451" i="1"/>
  <c r="O451" i="1"/>
  <c r="N451" i="1"/>
  <c r="M451" i="1"/>
  <c r="K451" i="1"/>
  <c r="I451" i="1"/>
  <c r="H451" i="1" a="1"/>
  <c r="G451" i="1" a="1"/>
  <c r="L451" i="1" s="1"/>
  <c r="Q451" i="1" s="1"/>
  <c r="F451" i="1" a="1"/>
  <c r="E451" i="1"/>
  <c r="D451" i="1" a="1"/>
  <c r="C451" i="1" a="1"/>
  <c r="B451" i="1" a="1"/>
  <c r="T451" i="1" s="1"/>
  <c r="A451" i="1"/>
  <c r="Y450" i="1"/>
  <c r="W450" i="1" a="1"/>
  <c r="V450" i="1" a="1"/>
  <c r="U450" i="1"/>
  <c r="S450" i="1" a="1"/>
  <c r="R450" i="1" a="1"/>
  <c r="P450" i="1"/>
  <c r="O450" i="1"/>
  <c r="N450" i="1"/>
  <c r="M450" i="1"/>
  <c r="K450" i="1"/>
  <c r="J450" i="1"/>
  <c r="I450" i="1"/>
  <c r="X450" i="1" s="1"/>
  <c r="H450" i="1" a="1"/>
  <c r="G450" i="1" a="1"/>
  <c r="L450" i="1" s="1"/>
  <c r="Q450" i="1" s="1"/>
  <c r="F450" i="1" a="1"/>
  <c r="E450" i="1"/>
  <c r="D450" i="1" a="1"/>
  <c r="C450" i="1" a="1"/>
  <c r="B450" i="1" a="1"/>
  <c r="T450" i="1" s="1"/>
  <c r="A450" i="1"/>
  <c r="Y449" i="1"/>
  <c r="W449" i="1" a="1"/>
  <c r="V449" i="1" a="1"/>
  <c r="U449" i="1"/>
  <c r="S449" i="1" a="1"/>
  <c r="R449" i="1" a="1"/>
  <c r="P449" i="1"/>
  <c r="O449" i="1"/>
  <c r="N449" i="1"/>
  <c r="M449" i="1"/>
  <c r="K449" i="1"/>
  <c r="J449" i="1"/>
  <c r="I449" i="1"/>
  <c r="X449" i="1" s="1"/>
  <c r="H449" i="1" a="1"/>
  <c r="G449" i="1" a="1"/>
  <c r="L449" i="1" s="1"/>
  <c r="Q449" i="1" s="1"/>
  <c r="F449" i="1" a="1"/>
  <c r="E449" i="1"/>
  <c r="D449" i="1" a="1"/>
  <c r="C449" i="1" a="1"/>
  <c r="B449" i="1" a="1"/>
  <c r="T449" i="1" s="1"/>
  <c r="A449" i="1"/>
  <c r="Y448" i="1"/>
  <c r="W448" i="1" a="1"/>
  <c r="V448" i="1" a="1"/>
  <c r="U448" i="1"/>
  <c r="S448" i="1" a="1"/>
  <c r="R448" i="1" a="1"/>
  <c r="P448" i="1"/>
  <c r="O448" i="1"/>
  <c r="N448" i="1"/>
  <c r="M448" i="1"/>
  <c r="K448" i="1"/>
  <c r="I448" i="1"/>
  <c r="H448" i="1" a="1"/>
  <c r="G448" i="1" a="1"/>
  <c r="L448" i="1" s="1"/>
  <c r="Q448" i="1" s="1"/>
  <c r="F448" i="1" a="1"/>
  <c r="E448" i="1"/>
  <c r="D448" i="1" a="1"/>
  <c r="C448" i="1" a="1"/>
  <c r="B448" i="1" a="1"/>
  <c r="T448" i="1" s="1"/>
  <c r="A448" i="1"/>
  <c r="Y447" i="1"/>
  <c r="W447" i="1" a="1"/>
  <c r="V447" i="1" a="1"/>
  <c r="U447" i="1"/>
  <c r="S447" i="1" a="1"/>
  <c r="R447" i="1" a="1"/>
  <c r="P447" i="1"/>
  <c r="O447" i="1"/>
  <c r="N447" i="1"/>
  <c r="M447" i="1"/>
  <c r="K447" i="1"/>
  <c r="J447" i="1"/>
  <c r="I447" i="1"/>
  <c r="X447" i="1" s="1"/>
  <c r="H447" i="1" a="1"/>
  <c r="G447" i="1" a="1"/>
  <c r="L447" i="1" s="1"/>
  <c r="Q447" i="1" s="1"/>
  <c r="F447" i="1" a="1"/>
  <c r="E447" i="1"/>
  <c r="D447" i="1" a="1"/>
  <c r="C447" i="1" a="1"/>
  <c r="B447" i="1" a="1"/>
  <c r="T447" i="1" s="1"/>
  <c r="A447" i="1"/>
  <c r="Y446" i="1"/>
  <c r="W446" i="1" a="1"/>
  <c r="V446" i="1" a="1"/>
  <c r="U446" i="1"/>
  <c r="S446" i="1" a="1"/>
  <c r="R446" i="1" a="1"/>
  <c r="P446" i="1"/>
  <c r="O446" i="1"/>
  <c r="N446" i="1"/>
  <c r="M446" i="1"/>
  <c r="K446" i="1"/>
  <c r="I446" i="1"/>
  <c r="H446" i="1" a="1"/>
  <c r="G446" i="1" a="1"/>
  <c r="L446" i="1" s="1"/>
  <c r="Q446" i="1" s="1"/>
  <c r="F446" i="1" a="1"/>
  <c r="E446" i="1"/>
  <c r="D446" i="1" a="1"/>
  <c r="C446" i="1" a="1"/>
  <c r="B446" i="1" a="1"/>
  <c r="T446" i="1" s="1"/>
  <c r="A446" i="1"/>
  <c r="Y445" i="1"/>
  <c r="W445" i="1" a="1"/>
  <c r="V445" i="1" a="1"/>
  <c r="U445" i="1"/>
  <c r="S445" i="1" a="1"/>
  <c r="R445" i="1" a="1"/>
  <c r="P445" i="1"/>
  <c r="O445" i="1"/>
  <c r="N445" i="1"/>
  <c r="M445" i="1"/>
  <c r="K445" i="1"/>
  <c r="I445" i="1"/>
  <c r="H445" i="1" a="1"/>
  <c r="G445" i="1" a="1"/>
  <c r="L445" i="1" s="1"/>
  <c r="Q445" i="1" s="1"/>
  <c r="F445" i="1" a="1"/>
  <c r="E445" i="1"/>
  <c r="D445" i="1" a="1"/>
  <c r="C445" i="1" a="1"/>
  <c r="B445" i="1" a="1"/>
  <c r="T445" i="1" s="1"/>
  <c r="A445" i="1"/>
  <c r="Y444" i="1"/>
  <c r="W444" i="1" a="1"/>
  <c r="V444" i="1" a="1"/>
  <c r="U444" i="1"/>
  <c r="S444" i="1" a="1"/>
  <c r="R444" i="1" a="1"/>
  <c r="P444" i="1"/>
  <c r="O444" i="1"/>
  <c r="N444" i="1"/>
  <c r="M444" i="1"/>
  <c r="K444" i="1"/>
  <c r="I444" i="1"/>
  <c r="H444" i="1" a="1"/>
  <c r="G444" i="1" a="1"/>
  <c r="L444" i="1" s="1"/>
  <c r="Q444" i="1" s="1"/>
  <c r="F444" i="1" a="1"/>
  <c r="E444" i="1"/>
  <c r="D444" i="1" a="1"/>
  <c r="C444" i="1" a="1"/>
  <c r="B444" i="1" a="1"/>
  <c r="T444" i="1" s="1"/>
  <c r="A444" i="1"/>
  <c r="Y443" i="1"/>
  <c r="W443" i="1" a="1"/>
  <c r="V443" i="1" a="1"/>
  <c r="U443" i="1"/>
  <c r="S443" i="1" a="1"/>
  <c r="R443" i="1" a="1"/>
  <c r="P443" i="1"/>
  <c r="O443" i="1"/>
  <c r="N443" i="1"/>
  <c r="M443" i="1"/>
  <c r="K443" i="1"/>
  <c r="J443" i="1"/>
  <c r="I443" i="1"/>
  <c r="X443" i="1" s="1"/>
  <c r="H443" i="1" a="1"/>
  <c r="G443" i="1" a="1"/>
  <c r="L443" i="1" s="1"/>
  <c r="Q443" i="1" s="1"/>
  <c r="F443" i="1" a="1"/>
  <c r="E443" i="1"/>
  <c r="D443" i="1" a="1"/>
  <c r="C443" i="1" a="1"/>
  <c r="B443" i="1" a="1"/>
  <c r="T443" i="1" s="1"/>
  <c r="A443" i="1"/>
  <c r="Y442" i="1"/>
  <c r="W442" i="1" a="1"/>
  <c r="V442" i="1" a="1"/>
  <c r="U442" i="1"/>
  <c r="S442" i="1" a="1"/>
  <c r="R442" i="1" a="1"/>
  <c r="P442" i="1"/>
  <c r="O442" i="1"/>
  <c r="N442" i="1"/>
  <c r="M442" i="1"/>
  <c r="K442" i="1"/>
  <c r="I442" i="1"/>
  <c r="H442" i="1" a="1"/>
  <c r="G442" i="1" a="1"/>
  <c r="L442" i="1" s="1"/>
  <c r="Q442" i="1" s="1"/>
  <c r="F442" i="1" a="1"/>
  <c r="E442" i="1"/>
  <c r="D442" i="1" a="1"/>
  <c r="C442" i="1" a="1"/>
  <c r="B442" i="1" a="1"/>
  <c r="T442" i="1" s="1"/>
  <c r="A442" i="1"/>
  <c r="Y441" i="1"/>
  <c r="W441" i="1" a="1"/>
  <c r="V441" i="1" a="1"/>
  <c r="U441" i="1"/>
  <c r="S441" i="1" a="1"/>
  <c r="R441" i="1" a="1"/>
  <c r="P441" i="1"/>
  <c r="O441" i="1"/>
  <c r="N441" i="1"/>
  <c r="M441" i="1"/>
  <c r="K441" i="1"/>
  <c r="J441" i="1"/>
  <c r="I441" i="1"/>
  <c r="X441" i="1" s="1"/>
  <c r="H441" i="1" a="1"/>
  <c r="G441" i="1" a="1"/>
  <c r="L441" i="1" s="1"/>
  <c r="Q441" i="1" s="1"/>
  <c r="F441" i="1" a="1"/>
  <c r="E441" i="1"/>
  <c r="D441" i="1" a="1"/>
  <c r="C441" i="1" a="1"/>
  <c r="B441" i="1" a="1"/>
  <c r="T441" i="1" s="1"/>
  <c r="A441" i="1"/>
  <c r="Y440" i="1"/>
  <c r="W440" i="1" a="1"/>
  <c r="V440" i="1" a="1"/>
  <c r="U440" i="1"/>
  <c r="S440" i="1" a="1"/>
  <c r="R440" i="1" a="1"/>
  <c r="P440" i="1"/>
  <c r="O440" i="1"/>
  <c r="N440" i="1"/>
  <c r="M440" i="1"/>
  <c r="K440" i="1"/>
  <c r="I440" i="1"/>
  <c r="H440" i="1" a="1"/>
  <c r="G440" i="1" a="1"/>
  <c r="L440" i="1" s="1"/>
  <c r="Q440" i="1" s="1"/>
  <c r="F440" i="1" a="1"/>
  <c r="E440" i="1"/>
  <c r="D440" i="1" a="1"/>
  <c r="C440" i="1" a="1"/>
  <c r="B440" i="1" a="1"/>
  <c r="T440" i="1" s="1"/>
  <c r="A440" i="1"/>
  <c r="Y439" i="1"/>
  <c r="W439" i="1" a="1"/>
  <c r="V439" i="1" a="1"/>
  <c r="U439" i="1"/>
  <c r="S439" i="1" a="1"/>
  <c r="R439" i="1" a="1"/>
  <c r="P439" i="1"/>
  <c r="O439" i="1"/>
  <c r="N439" i="1"/>
  <c r="M439" i="1"/>
  <c r="K439" i="1"/>
  <c r="J439" i="1"/>
  <c r="I439" i="1"/>
  <c r="X439" i="1" s="1"/>
  <c r="H439" i="1" a="1"/>
  <c r="G439" i="1" a="1"/>
  <c r="L439" i="1" s="1"/>
  <c r="Q439" i="1" s="1"/>
  <c r="F439" i="1" a="1"/>
  <c r="E439" i="1"/>
  <c r="D439" i="1" a="1"/>
  <c r="C439" i="1" a="1"/>
  <c r="B439" i="1" a="1"/>
  <c r="T439" i="1" s="1"/>
  <c r="A439" i="1"/>
  <c r="Y438" i="1"/>
  <c r="W438" i="1" a="1"/>
  <c r="V438" i="1" a="1"/>
  <c r="U438" i="1"/>
  <c r="S438" i="1" a="1"/>
  <c r="R438" i="1" a="1"/>
  <c r="P438" i="1"/>
  <c r="O438" i="1"/>
  <c r="N438" i="1"/>
  <c r="M438" i="1"/>
  <c r="K438" i="1"/>
  <c r="I438" i="1"/>
  <c r="H438" i="1" a="1"/>
  <c r="G438" i="1" a="1"/>
  <c r="L438" i="1" s="1"/>
  <c r="Q438" i="1" s="1"/>
  <c r="F438" i="1" a="1"/>
  <c r="E438" i="1"/>
  <c r="D438" i="1" a="1"/>
  <c r="C438" i="1" a="1"/>
  <c r="B438" i="1" a="1"/>
  <c r="T438" i="1" s="1"/>
  <c r="A438" i="1"/>
  <c r="Y437" i="1"/>
  <c r="W437" i="1" a="1"/>
  <c r="V437" i="1" a="1"/>
  <c r="U437" i="1"/>
  <c r="S437" i="1" a="1"/>
  <c r="R437" i="1" a="1"/>
  <c r="P437" i="1"/>
  <c r="O437" i="1"/>
  <c r="N437" i="1"/>
  <c r="M437" i="1"/>
  <c r="K437" i="1"/>
  <c r="J437" i="1"/>
  <c r="I437" i="1"/>
  <c r="X437" i="1" s="1"/>
  <c r="H437" i="1" a="1"/>
  <c r="G437" i="1" a="1"/>
  <c r="L437" i="1" s="1"/>
  <c r="Q437" i="1" s="1"/>
  <c r="F437" i="1" a="1"/>
  <c r="E437" i="1"/>
  <c r="D437" i="1" a="1"/>
  <c r="C437" i="1" a="1"/>
  <c r="B437" i="1" a="1"/>
  <c r="T437" i="1" s="1"/>
  <c r="A437" i="1"/>
  <c r="Y436" i="1"/>
  <c r="W436" i="1" a="1"/>
  <c r="V436" i="1" a="1"/>
  <c r="U436" i="1"/>
  <c r="S436" i="1" a="1"/>
  <c r="R436" i="1" a="1"/>
  <c r="P436" i="1"/>
  <c r="O436" i="1"/>
  <c r="N436" i="1"/>
  <c r="M436" i="1"/>
  <c r="K436" i="1"/>
  <c r="J436" i="1"/>
  <c r="I436" i="1"/>
  <c r="X436" i="1" s="1"/>
  <c r="H436" i="1" a="1"/>
  <c r="G436" i="1" a="1"/>
  <c r="L436" i="1" s="1"/>
  <c r="Q436" i="1" s="1"/>
  <c r="F436" i="1" a="1"/>
  <c r="E436" i="1"/>
  <c r="D436" i="1" a="1"/>
  <c r="C436" i="1" a="1"/>
  <c r="B436" i="1" a="1"/>
  <c r="T436" i="1" s="1"/>
  <c r="A436" i="1"/>
  <c r="Y435" i="1"/>
  <c r="W435" i="1" a="1"/>
  <c r="V435" i="1" a="1"/>
  <c r="U435" i="1"/>
  <c r="S435" i="1" a="1"/>
  <c r="R435" i="1" a="1"/>
  <c r="P435" i="1"/>
  <c r="O435" i="1"/>
  <c r="N435" i="1"/>
  <c r="M435" i="1"/>
  <c r="K435" i="1"/>
  <c r="I435" i="1"/>
  <c r="H435" i="1" a="1"/>
  <c r="G435" i="1" a="1"/>
  <c r="L435" i="1" s="1"/>
  <c r="Q435" i="1" s="1"/>
  <c r="F435" i="1" a="1"/>
  <c r="E435" i="1"/>
  <c r="D435" i="1" a="1"/>
  <c r="C435" i="1" a="1"/>
  <c r="B435" i="1" a="1"/>
  <c r="T435" i="1" s="1"/>
  <c r="A435" i="1"/>
  <c r="Y434" i="1"/>
  <c r="W434" i="1" a="1"/>
  <c r="V434" i="1" a="1"/>
  <c r="U434" i="1"/>
  <c r="S434" i="1" a="1"/>
  <c r="R434" i="1" a="1"/>
  <c r="P434" i="1"/>
  <c r="O434" i="1"/>
  <c r="N434" i="1"/>
  <c r="M434" i="1"/>
  <c r="K434" i="1"/>
  <c r="I434" i="1"/>
  <c r="H434" i="1" a="1"/>
  <c r="G434" i="1" a="1"/>
  <c r="L434" i="1" s="1"/>
  <c r="Q434" i="1" s="1"/>
  <c r="F434" i="1" a="1"/>
  <c r="E434" i="1"/>
  <c r="D434" i="1" a="1"/>
  <c r="C434" i="1" a="1"/>
  <c r="B434" i="1" a="1"/>
  <c r="T434" i="1" s="1"/>
  <c r="A434" i="1"/>
  <c r="Y433" i="1"/>
  <c r="W433" i="1" a="1"/>
  <c r="V433" i="1" a="1"/>
  <c r="U433" i="1"/>
  <c r="S433" i="1" a="1"/>
  <c r="R433" i="1" a="1"/>
  <c r="P433" i="1"/>
  <c r="O433" i="1"/>
  <c r="N433" i="1"/>
  <c r="M433" i="1"/>
  <c r="K433" i="1"/>
  <c r="I433" i="1"/>
  <c r="H433" i="1" a="1"/>
  <c r="G433" i="1" a="1"/>
  <c r="L433" i="1" s="1"/>
  <c r="Q433" i="1" s="1"/>
  <c r="F433" i="1" a="1"/>
  <c r="E433" i="1"/>
  <c r="D433" i="1" a="1"/>
  <c r="C433" i="1" a="1"/>
  <c r="B433" i="1" a="1"/>
  <c r="T433" i="1" s="1"/>
  <c r="A433" i="1"/>
  <c r="Y432" i="1"/>
  <c r="W432" i="1" a="1"/>
  <c r="V432" i="1" a="1"/>
  <c r="U432" i="1"/>
  <c r="S432" i="1" a="1"/>
  <c r="R432" i="1" a="1"/>
  <c r="P432" i="1"/>
  <c r="O432" i="1"/>
  <c r="N432" i="1"/>
  <c r="M432" i="1"/>
  <c r="K432" i="1"/>
  <c r="I432" i="1"/>
  <c r="H432" i="1" a="1"/>
  <c r="G432" i="1" a="1"/>
  <c r="L432" i="1" s="1"/>
  <c r="Q432" i="1" s="1"/>
  <c r="F432" i="1" a="1"/>
  <c r="E432" i="1"/>
  <c r="D432" i="1" a="1"/>
  <c r="C432" i="1" a="1"/>
  <c r="B432" i="1" a="1"/>
  <c r="T432" i="1" s="1"/>
  <c r="A432" i="1"/>
  <c r="Y431" i="1"/>
  <c r="W431" i="1" a="1"/>
  <c r="V431" i="1" a="1"/>
  <c r="U431" i="1"/>
  <c r="S431" i="1" a="1"/>
  <c r="R431" i="1" a="1"/>
  <c r="P431" i="1"/>
  <c r="O431" i="1"/>
  <c r="N431" i="1"/>
  <c r="M431" i="1"/>
  <c r="K431" i="1"/>
  <c r="J431" i="1"/>
  <c r="I431" i="1"/>
  <c r="X431" i="1" s="1"/>
  <c r="H431" i="1" a="1"/>
  <c r="G431" i="1" a="1"/>
  <c r="L431" i="1" s="1"/>
  <c r="Q431" i="1" s="1"/>
  <c r="F431" i="1" a="1"/>
  <c r="E431" i="1"/>
  <c r="D431" i="1" a="1"/>
  <c r="C431" i="1" a="1"/>
  <c r="B431" i="1" a="1"/>
  <c r="T431" i="1" s="1"/>
  <c r="A431" i="1"/>
  <c r="Y430" i="1"/>
  <c r="W430" i="1" a="1"/>
  <c r="V430" i="1" a="1"/>
  <c r="U430" i="1"/>
  <c r="S430" i="1" a="1"/>
  <c r="R430" i="1" a="1"/>
  <c r="P430" i="1"/>
  <c r="O430" i="1"/>
  <c r="N430" i="1"/>
  <c r="M430" i="1"/>
  <c r="K430" i="1"/>
  <c r="J430" i="1"/>
  <c r="I430" i="1"/>
  <c r="X430" i="1" s="1"/>
  <c r="H430" i="1" a="1"/>
  <c r="G430" i="1" a="1"/>
  <c r="L430" i="1" s="1"/>
  <c r="Q430" i="1" s="1"/>
  <c r="F430" i="1" a="1"/>
  <c r="E430" i="1"/>
  <c r="D430" i="1" a="1"/>
  <c r="C430" i="1" a="1"/>
  <c r="B430" i="1" a="1"/>
  <c r="T430" i="1" s="1"/>
  <c r="A430" i="1"/>
  <c r="Y429" i="1"/>
  <c r="W429" i="1" a="1"/>
  <c r="V429" i="1" a="1"/>
  <c r="U429" i="1"/>
  <c r="S429" i="1" a="1"/>
  <c r="R429" i="1" a="1"/>
  <c r="P429" i="1"/>
  <c r="O429" i="1"/>
  <c r="N429" i="1"/>
  <c r="M429" i="1"/>
  <c r="K429" i="1"/>
  <c r="J429" i="1"/>
  <c r="I429" i="1"/>
  <c r="X429" i="1" s="1"/>
  <c r="H429" i="1" a="1"/>
  <c r="G429" i="1" a="1"/>
  <c r="L429" i="1" s="1"/>
  <c r="Q429" i="1" s="1"/>
  <c r="F429" i="1" a="1"/>
  <c r="E429" i="1"/>
  <c r="D429" i="1" a="1"/>
  <c r="C429" i="1" a="1"/>
  <c r="B429" i="1" a="1"/>
  <c r="T429" i="1" s="1"/>
  <c r="A429" i="1"/>
  <c r="Y428" i="1"/>
  <c r="W428" i="1" a="1"/>
  <c r="V428" i="1" a="1"/>
  <c r="U428" i="1"/>
  <c r="S428" i="1" a="1"/>
  <c r="R428" i="1" a="1"/>
  <c r="P428" i="1"/>
  <c r="O428" i="1"/>
  <c r="N428" i="1"/>
  <c r="M428" i="1"/>
  <c r="K428" i="1"/>
  <c r="J428" i="1"/>
  <c r="I428" i="1"/>
  <c r="X428" i="1" s="1"/>
  <c r="H428" i="1" a="1"/>
  <c r="G428" i="1" a="1"/>
  <c r="L428" i="1" s="1"/>
  <c r="Q428" i="1" s="1"/>
  <c r="F428" i="1" a="1"/>
  <c r="E428" i="1"/>
  <c r="D428" i="1" a="1"/>
  <c r="C428" i="1" a="1"/>
  <c r="B428" i="1" a="1"/>
  <c r="T428" i="1" s="1"/>
  <c r="A428" i="1"/>
  <c r="Y427" i="1"/>
  <c r="W427" i="1" a="1"/>
  <c r="V427" i="1" a="1"/>
  <c r="U427" i="1"/>
  <c r="S427" i="1" a="1"/>
  <c r="R427" i="1" a="1"/>
  <c r="P427" i="1"/>
  <c r="O427" i="1"/>
  <c r="N427" i="1"/>
  <c r="M427" i="1"/>
  <c r="K427" i="1"/>
  <c r="J427" i="1"/>
  <c r="I427" i="1"/>
  <c r="X427" i="1" s="1"/>
  <c r="H427" i="1" a="1"/>
  <c r="G427" i="1" a="1"/>
  <c r="L427" i="1" s="1"/>
  <c r="Q427" i="1" s="1"/>
  <c r="F427" i="1" a="1"/>
  <c r="E427" i="1"/>
  <c r="D427" i="1" a="1"/>
  <c r="C427" i="1" a="1"/>
  <c r="B427" i="1" a="1"/>
  <c r="T427" i="1" s="1"/>
  <c r="A427" i="1"/>
  <c r="Y426" i="1"/>
  <c r="W426" i="1" a="1"/>
  <c r="V426" i="1" a="1"/>
  <c r="U426" i="1"/>
  <c r="S426" i="1" a="1"/>
  <c r="R426" i="1" a="1"/>
  <c r="P426" i="1"/>
  <c r="O426" i="1"/>
  <c r="N426" i="1"/>
  <c r="M426" i="1"/>
  <c r="K426" i="1"/>
  <c r="J426" i="1"/>
  <c r="I426" i="1"/>
  <c r="X426" i="1" s="1"/>
  <c r="H426" i="1" a="1"/>
  <c r="G426" i="1" a="1"/>
  <c r="L426" i="1" s="1"/>
  <c r="Q426" i="1" s="1"/>
  <c r="F426" i="1" a="1"/>
  <c r="E426" i="1"/>
  <c r="D426" i="1" a="1"/>
  <c r="C426" i="1" a="1"/>
  <c r="B426" i="1" a="1"/>
  <c r="T426" i="1" s="1"/>
  <c r="A426" i="1"/>
  <c r="Y425" i="1"/>
  <c r="W425" i="1" a="1"/>
  <c r="V425" i="1" a="1"/>
  <c r="U425" i="1"/>
  <c r="S425" i="1" a="1"/>
  <c r="R425" i="1" a="1"/>
  <c r="P425" i="1"/>
  <c r="O425" i="1"/>
  <c r="N425" i="1"/>
  <c r="M425" i="1"/>
  <c r="K425" i="1"/>
  <c r="J425" i="1"/>
  <c r="I425" i="1"/>
  <c r="X425" i="1" s="1"/>
  <c r="H425" i="1" a="1"/>
  <c r="G425" i="1" a="1"/>
  <c r="L425" i="1" s="1"/>
  <c r="Q425" i="1" s="1"/>
  <c r="F425" i="1" a="1"/>
  <c r="E425" i="1"/>
  <c r="D425" i="1" a="1"/>
  <c r="C425" i="1" a="1"/>
  <c r="B425" i="1" a="1"/>
  <c r="T425" i="1" s="1"/>
  <c r="A425" i="1"/>
  <c r="Y424" i="1"/>
  <c r="W424" i="1" a="1"/>
  <c r="V424" i="1" a="1"/>
  <c r="U424" i="1"/>
  <c r="S424" i="1" a="1"/>
  <c r="R424" i="1" a="1"/>
  <c r="P424" i="1"/>
  <c r="O424" i="1"/>
  <c r="N424" i="1"/>
  <c r="M424" i="1"/>
  <c r="K424" i="1"/>
  <c r="J424" i="1"/>
  <c r="I424" i="1"/>
  <c r="X424" i="1" s="1"/>
  <c r="H424" i="1" a="1"/>
  <c r="G424" i="1" a="1"/>
  <c r="L424" i="1" s="1"/>
  <c r="Q424" i="1" s="1"/>
  <c r="F424" i="1" a="1"/>
  <c r="E424" i="1"/>
  <c r="D424" i="1" a="1"/>
  <c r="C424" i="1" a="1"/>
  <c r="B424" i="1" a="1"/>
  <c r="T424" i="1" s="1"/>
  <c r="A424" i="1"/>
  <c r="Y423" i="1"/>
  <c r="W423" i="1" a="1"/>
  <c r="V423" i="1" a="1"/>
  <c r="U423" i="1"/>
  <c r="S423" i="1" a="1"/>
  <c r="R423" i="1" a="1"/>
  <c r="P423" i="1"/>
  <c r="O423" i="1"/>
  <c r="N423" i="1"/>
  <c r="M423" i="1"/>
  <c r="K423" i="1"/>
  <c r="J423" i="1"/>
  <c r="I423" i="1"/>
  <c r="X423" i="1" s="1"/>
  <c r="H423" i="1" a="1"/>
  <c r="G423" i="1" a="1"/>
  <c r="L423" i="1" s="1"/>
  <c r="Q423" i="1" s="1"/>
  <c r="F423" i="1" a="1"/>
  <c r="E423" i="1"/>
  <c r="D423" i="1" a="1"/>
  <c r="C423" i="1" a="1"/>
  <c r="B423" i="1" a="1"/>
  <c r="T423" i="1" s="1"/>
  <c r="A423" i="1"/>
  <c r="Y422" i="1"/>
  <c r="W422" i="1" a="1"/>
  <c r="V422" i="1" a="1"/>
  <c r="U422" i="1"/>
  <c r="S422" i="1" a="1"/>
  <c r="R422" i="1" a="1"/>
  <c r="P422" i="1"/>
  <c r="O422" i="1"/>
  <c r="N422" i="1"/>
  <c r="M422" i="1"/>
  <c r="K422" i="1"/>
  <c r="I422" i="1"/>
  <c r="H422" i="1" a="1"/>
  <c r="G422" i="1" a="1"/>
  <c r="L422" i="1" s="1"/>
  <c r="Q422" i="1" s="1"/>
  <c r="F422" i="1" a="1"/>
  <c r="E422" i="1"/>
  <c r="D422" i="1" a="1"/>
  <c r="C422" i="1" a="1"/>
  <c r="B422" i="1" a="1"/>
  <c r="T422" i="1" s="1"/>
  <c r="A422" i="1"/>
  <c r="Y421" i="1"/>
  <c r="W421" i="1" a="1"/>
  <c r="V421" i="1" a="1"/>
  <c r="U421" i="1"/>
  <c r="S421" i="1" a="1"/>
  <c r="R421" i="1" a="1"/>
  <c r="P421" i="1"/>
  <c r="O421" i="1"/>
  <c r="N421" i="1"/>
  <c r="M421" i="1"/>
  <c r="K421" i="1"/>
  <c r="I421" i="1"/>
  <c r="H421" i="1" a="1"/>
  <c r="G421" i="1" a="1"/>
  <c r="L421" i="1" s="1"/>
  <c r="Q421" i="1" s="1"/>
  <c r="F421" i="1" a="1"/>
  <c r="E421" i="1"/>
  <c r="D421" i="1" a="1"/>
  <c r="C421" i="1" a="1"/>
  <c r="B421" i="1" a="1"/>
  <c r="T421" i="1" s="1"/>
  <c r="A421" i="1"/>
  <c r="Y420" i="1"/>
  <c r="W420" i="1" a="1"/>
  <c r="V420" i="1" a="1"/>
  <c r="U420" i="1"/>
  <c r="S420" i="1" a="1"/>
  <c r="R420" i="1" a="1"/>
  <c r="P420" i="1"/>
  <c r="O420" i="1"/>
  <c r="N420" i="1"/>
  <c r="M420" i="1"/>
  <c r="K420" i="1"/>
  <c r="J420" i="1"/>
  <c r="I420" i="1"/>
  <c r="X420" i="1" s="1"/>
  <c r="H420" i="1" a="1"/>
  <c r="G420" i="1" a="1"/>
  <c r="L420" i="1" s="1"/>
  <c r="Q420" i="1" s="1"/>
  <c r="F420" i="1" a="1"/>
  <c r="E420" i="1"/>
  <c r="D420" i="1" a="1"/>
  <c r="C420" i="1" a="1"/>
  <c r="B420" i="1" a="1"/>
  <c r="T420" i="1" s="1"/>
  <c r="A420" i="1"/>
  <c r="Y419" i="1"/>
  <c r="W419" i="1" a="1"/>
  <c r="V419" i="1" a="1"/>
  <c r="U419" i="1"/>
  <c r="S419" i="1" a="1"/>
  <c r="R419" i="1" a="1"/>
  <c r="P419" i="1"/>
  <c r="O419" i="1"/>
  <c r="N419" i="1"/>
  <c r="M419" i="1"/>
  <c r="K419" i="1"/>
  <c r="J419" i="1"/>
  <c r="I419" i="1"/>
  <c r="X419" i="1" s="1"/>
  <c r="H419" i="1" a="1"/>
  <c r="G419" i="1" a="1"/>
  <c r="L419" i="1" s="1"/>
  <c r="Q419" i="1" s="1"/>
  <c r="F419" i="1" a="1"/>
  <c r="E419" i="1"/>
  <c r="D419" i="1" a="1"/>
  <c r="C419" i="1" a="1"/>
  <c r="B419" i="1" a="1"/>
  <c r="T419" i="1" s="1"/>
  <c r="A419" i="1"/>
  <c r="Y418" i="1"/>
  <c r="W418" i="1" a="1"/>
  <c r="V418" i="1" a="1"/>
  <c r="U418" i="1"/>
  <c r="S418" i="1" a="1"/>
  <c r="R418" i="1" a="1"/>
  <c r="P418" i="1"/>
  <c r="O418" i="1"/>
  <c r="N418" i="1"/>
  <c r="M418" i="1"/>
  <c r="K418" i="1"/>
  <c r="I418" i="1"/>
  <c r="H418" i="1" a="1"/>
  <c r="G418" i="1" a="1"/>
  <c r="L418" i="1" s="1"/>
  <c r="Q418" i="1" s="1"/>
  <c r="F418" i="1" a="1"/>
  <c r="E418" i="1"/>
  <c r="D418" i="1" a="1"/>
  <c r="C418" i="1" a="1"/>
  <c r="B418" i="1" a="1"/>
  <c r="T418" i="1" s="1"/>
  <c r="A418" i="1"/>
  <c r="Y417" i="1"/>
  <c r="W417" i="1" a="1"/>
  <c r="V417" i="1" a="1"/>
  <c r="U417" i="1"/>
  <c r="S417" i="1" a="1"/>
  <c r="R417" i="1" a="1"/>
  <c r="P417" i="1"/>
  <c r="O417" i="1"/>
  <c r="N417" i="1"/>
  <c r="M417" i="1"/>
  <c r="K417" i="1"/>
  <c r="J417" i="1"/>
  <c r="I417" i="1"/>
  <c r="X417" i="1" s="1"/>
  <c r="H417" i="1" a="1"/>
  <c r="G417" i="1" a="1"/>
  <c r="L417" i="1" s="1"/>
  <c r="Q417" i="1" s="1"/>
  <c r="F417" i="1" a="1"/>
  <c r="E417" i="1"/>
  <c r="D417" i="1" a="1"/>
  <c r="C417" i="1" a="1"/>
  <c r="B417" i="1" a="1"/>
  <c r="T417" i="1" s="1"/>
  <c r="A417" i="1"/>
  <c r="Y416" i="1"/>
  <c r="W416" i="1" a="1"/>
  <c r="V416" i="1" a="1"/>
  <c r="U416" i="1"/>
  <c r="S416" i="1" a="1"/>
  <c r="R416" i="1" a="1"/>
  <c r="P416" i="1"/>
  <c r="O416" i="1"/>
  <c r="N416" i="1"/>
  <c r="M416" i="1"/>
  <c r="K416" i="1"/>
  <c r="J416" i="1"/>
  <c r="I416" i="1"/>
  <c r="X416" i="1" s="1"/>
  <c r="H416" i="1" a="1"/>
  <c r="G416" i="1" a="1"/>
  <c r="L416" i="1" s="1"/>
  <c r="Q416" i="1" s="1"/>
  <c r="F416" i="1" a="1"/>
  <c r="E416" i="1"/>
  <c r="D416" i="1" a="1"/>
  <c r="C416" i="1" a="1"/>
  <c r="B416" i="1" a="1"/>
  <c r="T416" i="1" s="1"/>
  <c r="A416" i="1"/>
  <c r="Y415" i="1"/>
  <c r="W415" i="1" a="1"/>
  <c r="V415" i="1" a="1"/>
  <c r="U415" i="1"/>
  <c r="S415" i="1" a="1"/>
  <c r="R415" i="1" a="1"/>
  <c r="P415" i="1"/>
  <c r="O415" i="1"/>
  <c r="N415" i="1"/>
  <c r="M415" i="1"/>
  <c r="K415" i="1"/>
  <c r="J415" i="1"/>
  <c r="I415" i="1"/>
  <c r="X415" i="1" s="1"/>
  <c r="H415" i="1" a="1"/>
  <c r="G415" i="1" a="1"/>
  <c r="L415" i="1" s="1"/>
  <c r="Q415" i="1" s="1"/>
  <c r="F415" i="1" a="1"/>
  <c r="E415" i="1"/>
  <c r="D415" i="1" a="1"/>
  <c r="C415" i="1" a="1"/>
  <c r="B415" i="1" a="1"/>
  <c r="T415" i="1" s="1"/>
  <c r="A415" i="1"/>
  <c r="Y414" i="1"/>
  <c r="W414" i="1" a="1"/>
  <c r="V414" i="1" a="1"/>
  <c r="U414" i="1"/>
  <c r="S414" i="1" a="1"/>
  <c r="R414" i="1" a="1"/>
  <c r="P414" i="1"/>
  <c r="O414" i="1"/>
  <c r="N414" i="1"/>
  <c r="M414" i="1"/>
  <c r="K414" i="1"/>
  <c r="J414" i="1"/>
  <c r="I414" i="1"/>
  <c r="X414" i="1" s="1"/>
  <c r="H414" i="1" a="1"/>
  <c r="G414" i="1" a="1"/>
  <c r="L414" i="1" s="1"/>
  <c r="Q414" i="1" s="1"/>
  <c r="F414" i="1" a="1"/>
  <c r="E414" i="1"/>
  <c r="D414" i="1" a="1"/>
  <c r="C414" i="1" a="1"/>
  <c r="B414" i="1" a="1"/>
  <c r="T414" i="1" s="1"/>
  <c r="A414" i="1"/>
  <c r="Y413" i="1"/>
  <c r="W413" i="1" a="1"/>
  <c r="V413" i="1" a="1"/>
  <c r="U413" i="1"/>
  <c r="S413" i="1" a="1"/>
  <c r="R413" i="1" a="1"/>
  <c r="P413" i="1"/>
  <c r="O413" i="1"/>
  <c r="N413" i="1"/>
  <c r="M413" i="1"/>
  <c r="K413" i="1"/>
  <c r="I413" i="1"/>
  <c r="H413" i="1" a="1"/>
  <c r="G413" i="1" a="1"/>
  <c r="L413" i="1" s="1"/>
  <c r="Q413" i="1" s="1"/>
  <c r="F413" i="1" a="1"/>
  <c r="E413" i="1"/>
  <c r="D413" i="1" a="1"/>
  <c r="C413" i="1" a="1"/>
  <c r="B413" i="1" a="1"/>
  <c r="T413" i="1" s="1"/>
  <c r="A413" i="1"/>
  <c r="Y412" i="1"/>
  <c r="W412" i="1" a="1"/>
  <c r="V412" i="1" a="1"/>
  <c r="U412" i="1"/>
  <c r="S412" i="1" a="1"/>
  <c r="R412" i="1" a="1"/>
  <c r="P412" i="1"/>
  <c r="O412" i="1"/>
  <c r="N412" i="1"/>
  <c r="M412" i="1"/>
  <c r="K412" i="1"/>
  <c r="J412" i="1"/>
  <c r="I412" i="1"/>
  <c r="X412" i="1" s="1"/>
  <c r="H412" i="1" a="1"/>
  <c r="G412" i="1" a="1"/>
  <c r="L412" i="1" s="1"/>
  <c r="Q412" i="1" s="1"/>
  <c r="F412" i="1" a="1"/>
  <c r="E412" i="1"/>
  <c r="D412" i="1" a="1"/>
  <c r="C412" i="1" a="1"/>
  <c r="B412" i="1" a="1"/>
  <c r="T412" i="1" s="1"/>
  <c r="A412" i="1"/>
  <c r="Y411" i="1"/>
  <c r="W411" i="1" a="1"/>
  <c r="V411" i="1" a="1"/>
  <c r="U411" i="1"/>
  <c r="S411" i="1" a="1"/>
  <c r="R411" i="1" a="1"/>
  <c r="P411" i="1"/>
  <c r="O411" i="1"/>
  <c r="N411" i="1"/>
  <c r="M411" i="1"/>
  <c r="K411" i="1"/>
  <c r="J411" i="1"/>
  <c r="I411" i="1"/>
  <c r="X411" i="1" s="1"/>
  <c r="H411" i="1" a="1"/>
  <c r="G411" i="1" a="1"/>
  <c r="L411" i="1" s="1"/>
  <c r="Q411" i="1" s="1"/>
  <c r="F411" i="1" a="1"/>
  <c r="E411" i="1"/>
  <c r="D411" i="1" a="1"/>
  <c r="C411" i="1" a="1"/>
  <c r="B411" i="1" a="1"/>
  <c r="T411" i="1" s="1"/>
  <c r="A411" i="1"/>
  <c r="Y410" i="1"/>
  <c r="W410" i="1" a="1"/>
  <c r="V410" i="1" a="1"/>
  <c r="U410" i="1"/>
  <c r="S410" i="1" a="1"/>
  <c r="R410" i="1" a="1"/>
  <c r="P410" i="1"/>
  <c r="O410" i="1"/>
  <c r="N410" i="1"/>
  <c r="M410" i="1"/>
  <c r="K410" i="1"/>
  <c r="J410" i="1"/>
  <c r="I410" i="1"/>
  <c r="X410" i="1" s="1"/>
  <c r="H410" i="1" a="1"/>
  <c r="G410" i="1" a="1"/>
  <c r="L410" i="1" s="1"/>
  <c r="Q410" i="1" s="1"/>
  <c r="F410" i="1" a="1"/>
  <c r="E410" i="1"/>
  <c r="D410" i="1" a="1"/>
  <c r="C410" i="1" a="1"/>
  <c r="B410" i="1" a="1"/>
  <c r="T410" i="1" s="1"/>
  <c r="A410" i="1"/>
  <c r="Y409" i="1"/>
  <c r="W409" i="1" a="1"/>
  <c r="V409" i="1" a="1"/>
  <c r="U409" i="1"/>
  <c r="S409" i="1" a="1"/>
  <c r="R409" i="1" a="1"/>
  <c r="P409" i="1"/>
  <c r="O409" i="1"/>
  <c r="N409" i="1"/>
  <c r="M409" i="1"/>
  <c r="K409" i="1"/>
  <c r="I409" i="1"/>
  <c r="H409" i="1" a="1"/>
  <c r="G409" i="1" a="1"/>
  <c r="L409" i="1" s="1"/>
  <c r="Q409" i="1" s="1"/>
  <c r="F409" i="1" a="1"/>
  <c r="E409" i="1"/>
  <c r="D409" i="1" a="1"/>
  <c r="C409" i="1" a="1"/>
  <c r="B409" i="1" a="1"/>
  <c r="T409" i="1" s="1"/>
  <c r="A409" i="1"/>
  <c r="Y408" i="1"/>
  <c r="W408" i="1" a="1"/>
  <c r="V408" i="1" a="1"/>
  <c r="U408" i="1"/>
  <c r="S408" i="1" a="1"/>
  <c r="R408" i="1" a="1"/>
  <c r="P408" i="1"/>
  <c r="O408" i="1"/>
  <c r="N408" i="1"/>
  <c r="M408" i="1"/>
  <c r="K408" i="1"/>
  <c r="J408" i="1"/>
  <c r="I408" i="1"/>
  <c r="X408" i="1" s="1"/>
  <c r="H408" i="1" a="1"/>
  <c r="G408" i="1" a="1"/>
  <c r="L408" i="1" s="1"/>
  <c r="Q408" i="1" s="1"/>
  <c r="F408" i="1" a="1"/>
  <c r="E408" i="1"/>
  <c r="D408" i="1" a="1"/>
  <c r="C408" i="1" a="1"/>
  <c r="B408" i="1" a="1"/>
  <c r="T408" i="1" s="1"/>
  <c r="A408" i="1"/>
  <c r="Y407" i="1"/>
  <c r="W407" i="1" a="1"/>
  <c r="V407" i="1" a="1"/>
  <c r="U407" i="1"/>
  <c r="S407" i="1" a="1"/>
  <c r="R407" i="1" a="1"/>
  <c r="P407" i="1"/>
  <c r="O407" i="1"/>
  <c r="N407" i="1"/>
  <c r="M407" i="1"/>
  <c r="K407" i="1"/>
  <c r="J407" i="1"/>
  <c r="I407" i="1"/>
  <c r="X407" i="1" s="1"/>
  <c r="H407" i="1" a="1"/>
  <c r="G407" i="1" a="1"/>
  <c r="L407" i="1" s="1"/>
  <c r="Q407" i="1" s="1"/>
  <c r="F407" i="1" a="1"/>
  <c r="E407" i="1"/>
  <c r="D407" i="1" a="1"/>
  <c r="C407" i="1" a="1"/>
  <c r="B407" i="1" a="1"/>
  <c r="T407" i="1" s="1"/>
  <c r="A407" i="1"/>
  <c r="Y406" i="1"/>
  <c r="W406" i="1" a="1"/>
  <c r="V406" i="1" a="1"/>
  <c r="U406" i="1"/>
  <c r="S406" i="1" a="1"/>
  <c r="R406" i="1" a="1"/>
  <c r="P406" i="1"/>
  <c r="O406" i="1"/>
  <c r="N406" i="1"/>
  <c r="M406" i="1"/>
  <c r="K406" i="1"/>
  <c r="I406" i="1"/>
  <c r="H406" i="1" a="1"/>
  <c r="G406" i="1" a="1"/>
  <c r="L406" i="1" s="1"/>
  <c r="Q406" i="1" s="1"/>
  <c r="F406" i="1" a="1"/>
  <c r="E406" i="1"/>
  <c r="D406" i="1" a="1"/>
  <c r="C406" i="1" a="1"/>
  <c r="B406" i="1" a="1"/>
  <c r="T406" i="1" s="1"/>
  <c r="A406" i="1"/>
  <c r="Y405" i="1"/>
  <c r="W405" i="1" a="1"/>
  <c r="V405" i="1" a="1"/>
  <c r="U405" i="1"/>
  <c r="S405" i="1" a="1"/>
  <c r="R405" i="1" a="1"/>
  <c r="P405" i="1"/>
  <c r="O405" i="1"/>
  <c r="N405" i="1"/>
  <c r="M405" i="1"/>
  <c r="K405" i="1"/>
  <c r="I405" i="1"/>
  <c r="H405" i="1" a="1"/>
  <c r="G405" i="1" a="1"/>
  <c r="L405" i="1" s="1"/>
  <c r="Q405" i="1" s="1"/>
  <c r="F405" i="1" a="1"/>
  <c r="E405" i="1"/>
  <c r="D405" i="1" a="1"/>
  <c r="C405" i="1" a="1"/>
  <c r="B405" i="1" a="1"/>
  <c r="T405" i="1" s="1"/>
  <c r="A405" i="1"/>
  <c r="Y404" i="1"/>
  <c r="W404" i="1" a="1"/>
  <c r="V404" i="1" a="1"/>
  <c r="U404" i="1"/>
  <c r="S404" i="1" a="1"/>
  <c r="R404" i="1" a="1"/>
  <c r="P404" i="1"/>
  <c r="O404" i="1"/>
  <c r="N404" i="1"/>
  <c r="M404" i="1"/>
  <c r="K404" i="1"/>
  <c r="I404" i="1"/>
  <c r="H404" i="1" a="1"/>
  <c r="G404" i="1" a="1"/>
  <c r="L404" i="1" s="1"/>
  <c r="Q404" i="1" s="1"/>
  <c r="F404" i="1" a="1"/>
  <c r="E404" i="1"/>
  <c r="D404" i="1" a="1"/>
  <c r="C404" i="1" a="1"/>
  <c r="B404" i="1" a="1"/>
  <c r="T404" i="1" s="1"/>
  <c r="A404" i="1"/>
  <c r="Y403" i="1"/>
  <c r="W403" i="1" a="1"/>
  <c r="V403" i="1" a="1"/>
  <c r="U403" i="1"/>
  <c r="S403" i="1" a="1"/>
  <c r="R403" i="1" a="1"/>
  <c r="P403" i="1"/>
  <c r="O403" i="1"/>
  <c r="N403" i="1"/>
  <c r="M403" i="1"/>
  <c r="K403" i="1"/>
  <c r="I403" i="1"/>
  <c r="H403" i="1" a="1"/>
  <c r="G403" i="1" a="1"/>
  <c r="L403" i="1" s="1"/>
  <c r="Q403" i="1" s="1"/>
  <c r="F403" i="1" a="1"/>
  <c r="E403" i="1"/>
  <c r="D403" i="1" a="1"/>
  <c r="C403" i="1" a="1"/>
  <c r="B403" i="1" a="1"/>
  <c r="T403" i="1" s="1"/>
  <c r="A403" i="1"/>
  <c r="Y402" i="1"/>
  <c r="W402" i="1" a="1"/>
  <c r="V402" i="1" a="1"/>
  <c r="U402" i="1"/>
  <c r="S402" i="1" a="1"/>
  <c r="R402" i="1" a="1"/>
  <c r="P402" i="1"/>
  <c r="O402" i="1"/>
  <c r="N402" i="1"/>
  <c r="M402" i="1"/>
  <c r="K402" i="1"/>
  <c r="J402" i="1"/>
  <c r="I402" i="1"/>
  <c r="X402" i="1" s="1"/>
  <c r="H402" i="1" a="1"/>
  <c r="G402" i="1" a="1"/>
  <c r="L402" i="1" s="1"/>
  <c r="Q402" i="1" s="1"/>
  <c r="F402" i="1" a="1"/>
  <c r="E402" i="1"/>
  <c r="D402" i="1" a="1"/>
  <c r="C402" i="1" a="1"/>
  <c r="B402" i="1" a="1"/>
  <c r="T402" i="1" s="1"/>
  <c r="A402" i="1"/>
  <c r="Y401" i="1"/>
  <c r="W401" i="1" a="1"/>
  <c r="V401" i="1" a="1"/>
  <c r="U401" i="1"/>
  <c r="S401" i="1" a="1"/>
  <c r="R401" i="1" a="1"/>
  <c r="P401" i="1"/>
  <c r="O401" i="1"/>
  <c r="N401" i="1"/>
  <c r="M401" i="1"/>
  <c r="K401" i="1"/>
  <c r="I401" i="1"/>
  <c r="H401" i="1" a="1"/>
  <c r="G401" i="1" a="1"/>
  <c r="L401" i="1" s="1"/>
  <c r="Q401" i="1" s="1"/>
  <c r="F401" i="1" a="1"/>
  <c r="E401" i="1"/>
  <c r="D401" i="1" a="1"/>
  <c r="C401" i="1" a="1"/>
  <c r="B401" i="1" a="1"/>
  <c r="T401" i="1" s="1"/>
  <c r="A401" i="1"/>
  <c r="Y400" i="1"/>
  <c r="W400" i="1" a="1"/>
  <c r="V400" i="1" a="1"/>
  <c r="U400" i="1"/>
  <c r="S400" i="1" a="1"/>
  <c r="R400" i="1" a="1"/>
  <c r="P400" i="1"/>
  <c r="O400" i="1"/>
  <c r="N400" i="1"/>
  <c r="M400" i="1"/>
  <c r="K400" i="1"/>
  <c r="I400" i="1"/>
  <c r="H400" i="1" a="1"/>
  <c r="G400" i="1" a="1"/>
  <c r="L400" i="1" s="1"/>
  <c r="Q400" i="1" s="1"/>
  <c r="F400" i="1" a="1"/>
  <c r="E400" i="1"/>
  <c r="D400" i="1" a="1"/>
  <c r="C400" i="1" a="1"/>
  <c r="B400" i="1" a="1"/>
  <c r="T400" i="1" s="1"/>
  <c r="A400" i="1"/>
  <c r="Y399" i="1"/>
  <c r="W399" i="1" a="1"/>
  <c r="V399" i="1" a="1"/>
  <c r="U399" i="1"/>
  <c r="S399" i="1" a="1"/>
  <c r="R399" i="1" a="1"/>
  <c r="P399" i="1"/>
  <c r="O399" i="1"/>
  <c r="N399" i="1"/>
  <c r="M399" i="1"/>
  <c r="K399" i="1"/>
  <c r="J399" i="1"/>
  <c r="I399" i="1"/>
  <c r="X399" i="1" s="1"/>
  <c r="H399" i="1" a="1"/>
  <c r="G399" i="1" a="1"/>
  <c r="L399" i="1" s="1"/>
  <c r="Q399" i="1" s="1"/>
  <c r="F399" i="1" a="1"/>
  <c r="E399" i="1"/>
  <c r="D399" i="1" a="1"/>
  <c r="C399" i="1" a="1"/>
  <c r="B399" i="1" a="1"/>
  <c r="T399" i="1" s="1"/>
  <c r="A399" i="1"/>
  <c r="Y398" i="1"/>
  <c r="W398" i="1" a="1"/>
  <c r="V398" i="1" a="1"/>
  <c r="U398" i="1"/>
  <c r="S398" i="1" a="1"/>
  <c r="R398" i="1" a="1"/>
  <c r="P398" i="1"/>
  <c r="O398" i="1"/>
  <c r="N398" i="1"/>
  <c r="M398" i="1"/>
  <c r="K398" i="1"/>
  <c r="J398" i="1"/>
  <c r="I398" i="1"/>
  <c r="X398" i="1" s="1"/>
  <c r="H398" i="1" a="1"/>
  <c r="G398" i="1" a="1"/>
  <c r="L398" i="1" s="1"/>
  <c r="Q398" i="1" s="1"/>
  <c r="F398" i="1" a="1"/>
  <c r="E398" i="1"/>
  <c r="D398" i="1" a="1"/>
  <c r="C398" i="1" a="1"/>
  <c r="B398" i="1" a="1"/>
  <c r="T398" i="1" s="1"/>
  <c r="A398" i="1"/>
  <c r="Y397" i="1"/>
  <c r="W397" i="1" a="1"/>
  <c r="V397" i="1" a="1"/>
  <c r="U397" i="1"/>
  <c r="S397" i="1" a="1"/>
  <c r="R397" i="1" a="1"/>
  <c r="P397" i="1"/>
  <c r="O397" i="1"/>
  <c r="N397" i="1"/>
  <c r="M397" i="1"/>
  <c r="K397" i="1"/>
  <c r="J397" i="1"/>
  <c r="I397" i="1"/>
  <c r="X397" i="1" s="1"/>
  <c r="H397" i="1" a="1"/>
  <c r="G397" i="1" a="1"/>
  <c r="L397" i="1" s="1"/>
  <c r="Q397" i="1" s="1"/>
  <c r="F397" i="1" a="1"/>
  <c r="E397" i="1"/>
  <c r="D397" i="1" a="1"/>
  <c r="C397" i="1" a="1"/>
  <c r="B397" i="1" a="1"/>
  <c r="T397" i="1" s="1"/>
  <c r="A397" i="1"/>
  <c r="Y396" i="1"/>
  <c r="W396" i="1" a="1"/>
  <c r="V396" i="1" a="1"/>
  <c r="U396" i="1"/>
  <c r="S396" i="1" a="1"/>
  <c r="R396" i="1" a="1"/>
  <c r="P396" i="1"/>
  <c r="O396" i="1"/>
  <c r="N396" i="1"/>
  <c r="M396" i="1"/>
  <c r="K396" i="1"/>
  <c r="I396" i="1"/>
  <c r="H396" i="1" a="1"/>
  <c r="G396" i="1" a="1"/>
  <c r="L396" i="1" s="1"/>
  <c r="Q396" i="1" s="1"/>
  <c r="F396" i="1" a="1"/>
  <c r="E396" i="1"/>
  <c r="D396" i="1" a="1"/>
  <c r="C396" i="1" a="1"/>
  <c r="B396" i="1" a="1"/>
  <c r="T396" i="1" s="1"/>
  <c r="A396" i="1"/>
  <c r="Y395" i="1"/>
  <c r="W395" i="1" a="1"/>
  <c r="V395" i="1" a="1"/>
  <c r="U395" i="1"/>
  <c r="S395" i="1" a="1"/>
  <c r="R395" i="1" a="1"/>
  <c r="P395" i="1"/>
  <c r="O395" i="1"/>
  <c r="N395" i="1"/>
  <c r="M395" i="1"/>
  <c r="K395" i="1"/>
  <c r="I395" i="1"/>
  <c r="H395" i="1" a="1"/>
  <c r="G395" i="1" a="1"/>
  <c r="L395" i="1" s="1"/>
  <c r="Q395" i="1" s="1"/>
  <c r="F395" i="1" a="1"/>
  <c r="E395" i="1"/>
  <c r="D395" i="1" a="1"/>
  <c r="C395" i="1" a="1"/>
  <c r="B395" i="1" a="1"/>
  <c r="T395" i="1" s="1"/>
  <c r="A395" i="1"/>
  <c r="Y394" i="1"/>
  <c r="W394" i="1" a="1"/>
  <c r="V394" i="1" a="1"/>
  <c r="U394" i="1"/>
  <c r="S394" i="1" a="1"/>
  <c r="R394" i="1" a="1"/>
  <c r="P394" i="1"/>
  <c r="O394" i="1"/>
  <c r="N394" i="1"/>
  <c r="M394" i="1"/>
  <c r="K394" i="1"/>
  <c r="I394" i="1"/>
  <c r="H394" i="1" a="1"/>
  <c r="G394" i="1" a="1"/>
  <c r="L394" i="1" s="1"/>
  <c r="Q394" i="1" s="1"/>
  <c r="F394" i="1" a="1"/>
  <c r="E394" i="1"/>
  <c r="D394" i="1" a="1"/>
  <c r="C394" i="1" a="1"/>
  <c r="B394" i="1" a="1"/>
  <c r="T394" i="1" s="1"/>
  <c r="A394" i="1"/>
  <c r="Y393" i="1"/>
  <c r="W393" i="1" a="1"/>
  <c r="V393" i="1" a="1"/>
  <c r="U393" i="1"/>
  <c r="S393" i="1" a="1"/>
  <c r="R393" i="1" a="1"/>
  <c r="P393" i="1"/>
  <c r="O393" i="1"/>
  <c r="N393" i="1"/>
  <c r="M393" i="1"/>
  <c r="K393" i="1"/>
  <c r="I393" i="1"/>
  <c r="H393" i="1" a="1"/>
  <c r="G393" i="1" a="1"/>
  <c r="L393" i="1" s="1"/>
  <c r="Q393" i="1" s="1"/>
  <c r="F393" i="1" a="1"/>
  <c r="E393" i="1"/>
  <c r="D393" i="1" a="1"/>
  <c r="C393" i="1" a="1"/>
  <c r="B393" i="1" a="1"/>
  <c r="T393" i="1" s="1"/>
  <c r="A393" i="1"/>
  <c r="Y392" i="1"/>
  <c r="W392" i="1" a="1"/>
  <c r="V392" i="1" a="1"/>
  <c r="U392" i="1"/>
  <c r="S392" i="1" a="1"/>
  <c r="R392" i="1" a="1"/>
  <c r="P392" i="1"/>
  <c r="O392" i="1"/>
  <c r="N392" i="1"/>
  <c r="M392" i="1"/>
  <c r="K392" i="1"/>
  <c r="J392" i="1"/>
  <c r="I392" i="1"/>
  <c r="X392" i="1" s="1"/>
  <c r="H392" i="1" a="1"/>
  <c r="G392" i="1" a="1"/>
  <c r="L392" i="1" s="1"/>
  <c r="Q392" i="1" s="1"/>
  <c r="F392" i="1" a="1"/>
  <c r="E392" i="1"/>
  <c r="D392" i="1" a="1"/>
  <c r="C392" i="1" a="1"/>
  <c r="B392" i="1" a="1"/>
  <c r="T392" i="1" s="1"/>
  <c r="A392" i="1"/>
  <c r="Y391" i="1"/>
  <c r="W391" i="1" a="1"/>
  <c r="V391" i="1" a="1"/>
  <c r="U391" i="1"/>
  <c r="S391" i="1" a="1"/>
  <c r="R391" i="1" a="1"/>
  <c r="P391" i="1"/>
  <c r="O391" i="1"/>
  <c r="N391" i="1"/>
  <c r="M391" i="1"/>
  <c r="K391" i="1"/>
  <c r="J391" i="1"/>
  <c r="I391" i="1"/>
  <c r="X391" i="1" s="1"/>
  <c r="H391" i="1" a="1"/>
  <c r="G391" i="1" a="1"/>
  <c r="L391" i="1" s="1"/>
  <c r="Q391" i="1" s="1"/>
  <c r="F391" i="1" a="1"/>
  <c r="E391" i="1"/>
  <c r="D391" i="1" a="1"/>
  <c r="C391" i="1" a="1"/>
  <c r="B391" i="1" a="1"/>
  <c r="T391" i="1" s="1"/>
  <c r="A391" i="1"/>
  <c r="Y390" i="1"/>
  <c r="W390" i="1" a="1"/>
  <c r="V390" i="1" a="1"/>
  <c r="U390" i="1"/>
  <c r="S390" i="1" a="1"/>
  <c r="R390" i="1" a="1"/>
  <c r="P390" i="1"/>
  <c r="O390" i="1"/>
  <c r="N390" i="1"/>
  <c r="M390" i="1"/>
  <c r="K390" i="1"/>
  <c r="I390" i="1"/>
  <c r="H390" i="1" a="1"/>
  <c r="G390" i="1" a="1"/>
  <c r="L390" i="1" s="1"/>
  <c r="Q390" i="1" s="1"/>
  <c r="F390" i="1" a="1"/>
  <c r="E390" i="1"/>
  <c r="D390" i="1" a="1"/>
  <c r="C390" i="1" a="1"/>
  <c r="B390" i="1" a="1"/>
  <c r="T390" i="1" s="1"/>
  <c r="A390" i="1"/>
  <c r="Y389" i="1"/>
  <c r="W389" i="1" a="1"/>
  <c r="V389" i="1" a="1"/>
  <c r="U389" i="1"/>
  <c r="S389" i="1" a="1"/>
  <c r="R389" i="1" a="1"/>
  <c r="P389" i="1"/>
  <c r="O389" i="1"/>
  <c r="N389" i="1"/>
  <c r="M389" i="1"/>
  <c r="K389" i="1"/>
  <c r="I389" i="1"/>
  <c r="H389" i="1" a="1"/>
  <c r="G389" i="1" a="1"/>
  <c r="L389" i="1" s="1"/>
  <c r="Q389" i="1" s="1"/>
  <c r="F389" i="1" a="1"/>
  <c r="E389" i="1"/>
  <c r="D389" i="1" a="1"/>
  <c r="C389" i="1" a="1"/>
  <c r="B389" i="1" a="1"/>
  <c r="T389" i="1" s="1"/>
  <c r="A389" i="1"/>
  <c r="Y388" i="1"/>
  <c r="W388" i="1" a="1"/>
  <c r="V388" i="1" a="1"/>
  <c r="U388" i="1"/>
  <c r="S388" i="1" a="1"/>
  <c r="R388" i="1" a="1"/>
  <c r="P388" i="1"/>
  <c r="O388" i="1"/>
  <c r="N388" i="1"/>
  <c r="M388" i="1"/>
  <c r="K388" i="1"/>
  <c r="I388" i="1"/>
  <c r="H388" i="1" a="1"/>
  <c r="G388" i="1" a="1"/>
  <c r="L388" i="1" s="1"/>
  <c r="Q388" i="1" s="1"/>
  <c r="F388" i="1" a="1"/>
  <c r="E388" i="1"/>
  <c r="D388" i="1" a="1"/>
  <c r="C388" i="1" a="1"/>
  <c r="B388" i="1" a="1"/>
  <c r="T388" i="1" s="1"/>
  <c r="A388" i="1"/>
  <c r="Y387" i="1"/>
  <c r="W387" i="1" a="1"/>
  <c r="V387" i="1" a="1"/>
  <c r="U387" i="1"/>
  <c r="S387" i="1" a="1"/>
  <c r="R387" i="1" a="1"/>
  <c r="P387" i="1"/>
  <c r="O387" i="1"/>
  <c r="N387" i="1"/>
  <c r="M387" i="1"/>
  <c r="K387" i="1"/>
  <c r="I387" i="1"/>
  <c r="H387" i="1" a="1"/>
  <c r="G387" i="1" a="1"/>
  <c r="L387" i="1" s="1"/>
  <c r="Q387" i="1" s="1"/>
  <c r="F387" i="1" a="1"/>
  <c r="E387" i="1"/>
  <c r="D387" i="1" a="1"/>
  <c r="C387" i="1" a="1"/>
  <c r="B387" i="1" a="1"/>
  <c r="T387" i="1" s="1"/>
  <c r="A387" i="1"/>
  <c r="Y386" i="1"/>
  <c r="W386" i="1" a="1"/>
  <c r="V386" i="1" a="1"/>
  <c r="U386" i="1"/>
  <c r="S386" i="1" a="1"/>
  <c r="R386" i="1" a="1"/>
  <c r="P386" i="1"/>
  <c r="O386" i="1"/>
  <c r="N386" i="1"/>
  <c r="M386" i="1"/>
  <c r="K386" i="1"/>
  <c r="J386" i="1"/>
  <c r="I386" i="1"/>
  <c r="X386" i="1" s="1"/>
  <c r="H386" i="1" a="1"/>
  <c r="G386" i="1" a="1"/>
  <c r="L386" i="1" s="1"/>
  <c r="Q386" i="1" s="1"/>
  <c r="F386" i="1" a="1"/>
  <c r="E386" i="1"/>
  <c r="D386" i="1" a="1"/>
  <c r="C386" i="1" a="1"/>
  <c r="B386" i="1" a="1"/>
  <c r="T386" i="1" s="1"/>
  <c r="A386" i="1"/>
  <c r="Y385" i="1"/>
  <c r="W385" i="1" a="1"/>
  <c r="V385" i="1" a="1"/>
  <c r="U385" i="1"/>
  <c r="S385" i="1" a="1"/>
  <c r="R385" i="1" a="1"/>
  <c r="P385" i="1"/>
  <c r="O385" i="1"/>
  <c r="N385" i="1"/>
  <c r="M385" i="1"/>
  <c r="K385" i="1"/>
  <c r="I385" i="1"/>
  <c r="H385" i="1" a="1"/>
  <c r="G385" i="1" a="1"/>
  <c r="L385" i="1" s="1"/>
  <c r="Q385" i="1" s="1"/>
  <c r="F385" i="1" a="1"/>
  <c r="E385" i="1"/>
  <c r="D385" i="1" a="1"/>
  <c r="C385" i="1" a="1"/>
  <c r="B385" i="1" a="1"/>
  <c r="T385" i="1" s="1"/>
  <c r="A385" i="1"/>
  <c r="Y384" i="1"/>
  <c r="W384" i="1" a="1"/>
  <c r="V384" i="1" a="1"/>
  <c r="U384" i="1"/>
  <c r="S384" i="1" a="1"/>
  <c r="R384" i="1" a="1"/>
  <c r="P384" i="1"/>
  <c r="O384" i="1"/>
  <c r="N384" i="1"/>
  <c r="M384" i="1"/>
  <c r="K384" i="1"/>
  <c r="J384" i="1"/>
  <c r="I384" i="1"/>
  <c r="X384" i="1" s="1"/>
  <c r="H384" i="1" a="1"/>
  <c r="G384" i="1" a="1"/>
  <c r="L384" i="1" s="1"/>
  <c r="Q384" i="1" s="1"/>
  <c r="F384" i="1" a="1"/>
  <c r="E384" i="1"/>
  <c r="D384" i="1" a="1"/>
  <c r="C384" i="1" a="1"/>
  <c r="B384" i="1" a="1"/>
  <c r="T384" i="1" s="1"/>
  <c r="A384" i="1"/>
  <c r="Y383" i="1"/>
  <c r="W383" i="1" a="1"/>
  <c r="V383" i="1" a="1"/>
  <c r="U383" i="1"/>
  <c r="S383" i="1" a="1"/>
  <c r="R383" i="1" a="1"/>
  <c r="P383" i="1"/>
  <c r="O383" i="1"/>
  <c r="N383" i="1"/>
  <c r="M383" i="1"/>
  <c r="K383" i="1"/>
  <c r="J383" i="1"/>
  <c r="I383" i="1"/>
  <c r="X383" i="1" s="1"/>
  <c r="H383" i="1" a="1"/>
  <c r="G383" i="1" a="1"/>
  <c r="L383" i="1" s="1"/>
  <c r="Q383" i="1" s="1"/>
  <c r="F383" i="1" a="1"/>
  <c r="E383" i="1"/>
  <c r="D383" i="1" a="1"/>
  <c r="C383" i="1" a="1"/>
  <c r="B383" i="1" a="1"/>
  <c r="T383" i="1" s="1"/>
  <c r="A383" i="1"/>
  <c r="Y382" i="1"/>
  <c r="W382" i="1" a="1"/>
  <c r="V382" i="1" a="1"/>
  <c r="U382" i="1"/>
  <c r="S382" i="1" a="1"/>
  <c r="R382" i="1" a="1"/>
  <c r="P382" i="1"/>
  <c r="O382" i="1"/>
  <c r="N382" i="1"/>
  <c r="M382" i="1"/>
  <c r="K382" i="1"/>
  <c r="J382" i="1"/>
  <c r="I382" i="1"/>
  <c r="X382" i="1" s="1"/>
  <c r="H382" i="1" a="1"/>
  <c r="G382" i="1" a="1"/>
  <c r="L382" i="1" s="1"/>
  <c r="Q382" i="1" s="1"/>
  <c r="F382" i="1" a="1"/>
  <c r="E382" i="1"/>
  <c r="D382" i="1" a="1"/>
  <c r="C382" i="1" a="1"/>
  <c r="B382" i="1" a="1"/>
  <c r="T382" i="1" s="1"/>
  <c r="A382" i="1"/>
  <c r="Y381" i="1"/>
  <c r="W381" i="1" a="1"/>
  <c r="V381" i="1" a="1"/>
  <c r="U381" i="1"/>
  <c r="S381" i="1" a="1"/>
  <c r="R381" i="1" a="1"/>
  <c r="P381" i="1"/>
  <c r="O381" i="1"/>
  <c r="N381" i="1"/>
  <c r="M381" i="1"/>
  <c r="K381" i="1"/>
  <c r="J381" i="1"/>
  <c r="I381" i="1"/>
  <c r="X381" i="1" s="1"/>
  <c r="H381" i="1" a="1"/>
  <c r="G381" i="1" a="1"/>
  <c r="L381" i="1" s="1"/>
  <c r="Q381" i="1" s="1"/>
  <c r="F381" i="1" a="1"/>
  <c r="E381" i="1"/>
  <c r="D381" i="1" a="1"/>
  <c r="C381" i="1" a="1"/>
  <c r="B381" i="1" a="1"/>
  <c r="T381" i="1" s="1"/>
  <c r="A381" i="1"/>
  <c r="Y380" i="1"/>
  <c r="W380" i="1" a="1"/>
  <c r="V380" i="1" a="1"/>
  <c r="U380" i="1"/>
  <c r="S380" i="1" a="1"/>
  <c r="R380" i="1" a="1"/>
  <c r="P380" i="1"/>
  <c r="O380" i="1"/>
  <c r="N380" i="1"/>
  <c r="M380" i="1"/>
  <c r="K380" i="1"/>
  <c r="J380" i="1" s="1"/>
  <c r="I380" i="1"/>
  <c r="X380" i="1" s="1"/>
  <c r="H380" i="1" a="1"/>
  <c r="G380" i="1" a="1"/>
  <c r="L380" i="1" s="1"/>
  <c r="Q380" i="1" s="1"/>
  <c r="F380" i="1" a="1"/>
  <c r="E380" i="1"/>
  <c r="D380" i="1" a="1"/>
  <c r="C380" i="1" a="1"/>
  <c r="B380" i="1" a="1"/>
  <c r="T380" i="1" s="1"/>
  <c r="A380" i="1"/>
  <c r="Y379" i="1"/>
  <c r="W379" i="1" a="1"/>
  <c r="V379" i="1" a="1"/>
  <c r="U379" i="1"/>
  <c r="S379" i="1" a="1"/>
  <c r="R379" i="1" a="1"/>
  <c r="P379" i="1"/>
  <c r="O379" i="1"/>
  <c r="N379" i="1"/>
  <c r="M379" i="1"/>
  <c r="K379" i="1"/>
  <c r="J379" i="1"/>
  <c r="I379" i="1"/>
  <c r="X379" i="1" s="1"/>
  <c r="H379" i="1" a="1"/>
  <c r="G379" i="1" a="1"/>
  <c r="L379" i="1" s="1"/>
  <c r="Q379" i="1" s="1"/>
  <c r="F379" i="1" a="1"/>
  <c r="E379" i="1"/>
  <c r="D379" i="1" a="1"/>
  <c r="C379" i="1" a="1"/>
  <c r="B379" i="1" a="1"/>
  <c r="T379" i="1" s="1"/>
  <c r="A379" i="1"/>
  <c r="Y378" i="1"/>
  <c r="W378" i="1" a="1"/>
  <c r="V378" i="1" a="1"/>
  <c r="U378" i="1"/>
  <c r="S378" i="1" a="1"/>
  <c r="R378" i="1" a="1"/>
  <c r="P378" i="1"/>
  <c r="O378" i="1"/>
  <c r="N378" i="1"/>
  <c r="M378" i="1"/>
  <c r="K378" i="1"/>
  <c r="J378" i="1"/>
  <c r="I378" i="1"/>
  <c r="X378" i="1" s="1"/>
  <c r="H378" i="1" a="1"/>
  <c r="G378" i="1" a="1"/>
  <c r="L378" i="1" s="1"/>
  <c r="Q378" i="1" s="1"/>
  <c r="F378" i="1" a="1"/>
  <c r="E378" i="1"/>
  <c r="D378" i="1" a="1"/>
  <c r="C378" i="1" a="1"/>
  <c r="B378" i="1" a="1"/>
  <c r="T378" i="1" s="1"/>
  <c r="A378" i="1"/>
  <c r="Y377" i="1"/>
  <c r="W377" i="1" a="1"/>
  <c r="V377" i="1" a="1"/>
  <c r="U377" i="1"/>
  <c r="S377" i="1" a="1"/>
  <c r="R377" i="1" a="1"/>
  <c r="P377" i="1"/>
  <c r="O377" i="1"/>
  <c r="N377" i="1"/>
  <c r="M377" i="1"/>
  <c r="K377" i="1"/>
  <c r="I377" i="1"/>
  <c r="H377" i="1" a="1"/>
  <c r="G377" i="1" a="1"/>
  <c r="L377" i="1" s="1"/>
  <c r="Q377" i="1" s="1"/>
  <c r="F377" i="1" a="1"/>
  <c r="E377" i="1"/>
  <c r="D377" i="1" a="1"/>
  <c r="C377" i="1" a="1"/>
  <c r="B377" i="1" a="1"/>
  <c r="T377" i="1" s="1"/>
  <c r="A377" i="1"/>
  <c r="Y376" i="1"/>
  <c r="W376" i="1" a="1"/>
  <c r="V376" i="1" a="1"/>
  <c r="U376" i="1"/>
  <c r="S376" i="1" a="1"/>
  <c r="R376" i="1" a="1"/>
  <c r="P376" i="1"/>
  <c r="O376" i="1"/>
  <c r="N376" i="1"/>
  <c r="M376" i="1"/>
  <c r="K376" i="1"/>
  <c r="J376" i="1"/>
  <c r="I376" i="1"/>
  <c r="X376" i="1" s="1"/>
  <c r="H376" i="1" a="1"/>
  <c r="G376" i="1" a="1"/>
  <c r="L376" i="1" s="1"/>
  <c r="Q376" i="1" s="1"/>
  <c r="F376" i="1" a="1"/>
  <c r="E376" i="1"/>
  <c r="D376" i="1" a="1"/>
  <c r="C376" i="1" a="1"/>
  <c r="B376" i="1" a="1"/>
  <c r="T376" i="1" s="1"/>
  <c r="A376" i="1"/>
  <c r="Y375" i="1"/>
  <c r="W375" i="1" a="1"/>
  <c r="V375" i="1" a="1"/>
  <c r="U375" i="1"/>
  <c r="S375" i="1" a="1"/>
  <c r="R375" i="1" a="1"/>
  <c r="P375" i="1"/>
  <c r="O375" i="1"/>
  <c r="N375" i="1"/>
  <c r="M375" i="1"/>
  <c r="K375" i="1"/>
  <c r="I375" i="1"/>
  <c r="H375" i="1" a="1"/>
  <c r="G375" i="1" a="1"/>
  <c r="L375" i="1" s="1"/>
  <c r="Q375" i="1" s="1"/>
  <c r="F375" i="1" a="1"/>
  <c r="E375" i="1"/>
  <c r="D375" i="1" a="1"/>
  <c r="C375" i="1" a="1"/>
  <c r="B375" i="1" a="1"/>
  <c r="T375" i="1" s="1"/>
  <c r="A375" i="1"/>
  <c r="Y374" i="1"/>
  <c r="W374" i="1" a="1"/>
  <c r="V374" i="1" a="1"/>
  <c r="U374" i="1"/>
  <c r="S374" i="1" a="1"/>
  <c r="R374" i="1" a="1"/>
  <c r="P374" i="1"/>
  <c r="O374" i="1"/>
  <c r="N374" i="1"/>
  <c r="M374" i="1"/>
  <c r="K374" i="1"/>
  <c r="J374" i="1"/>
  <c r="I374" i="1"/>
  <c r="X374" i="1" s="1"/>
  <c r="H374" i="1" a="1"/>
  <c r="G374" i="1" a="1"/>
  <c r="L374" i="1" s="1"/>
  <c r="Q374" i="1" s="1"/>
  <c r="F374" i="1" a="1"/>
  <c r="E374" i="1"/>
  <c r="D374" i="1" a="1"/>
  <c r="C374" i="1" a="1"/>
  <c r="B374" i="1" a="1"/>
  <c r="T374" i="1" s="1"/>
  <c r="A374" i="1"/>
  <c r="Y373" i="1"/>
  <c r="W373" i="1" a="1"/>
  <c r="V373" i="1" a="1"/>
  <c r="U373" i="1"/>
  <c r="S373" i="1" a="1"/>
  <c r="R373" i="1" a="1"/>
  <c r="P373" i="1"/>
  <c r="O373" i="1"/>
  <c r="N373" i="1"/>
  <c r="M373" i="1"/>
  <c r="K373" i="1"/>
  <c r="J373" i="1"/>
  <c r="I373" i="1"/>
  <c r="X373" i="1" s="1"/>
  <c r="H373" i="1" a="1"/>
  <c r="G373" i="1" a="1"/>
  <c r="L373" i="1" s="1"/>
  <c r="Q373" i="1" s="1"/>
  <c r="F373" i="1" a="1"/>
  <c r="E373" i="1"/>
  <c r="D373" i="1" a="1"/>
  <c r="C373" i="1" a="1"/>
  <c r="B373" i="1" a="1"/>
  <c r="T373" i="1" s="1"/>
  <c r="A373" i="1"/>
  <c r="Y372" i="1"/>
  <c r="W372" i="1" a="1"/>
  <c r="V372" i="1" a="1"/>
  <c r="U372" i="1"/>
  <c r="S372" i="1" a="1"/>
  <c r="R372" i="1" a="1"/>
  <c r="P372" i="1"/>
  <c r="O372" i="1"/>
  <c r="N372" i="1"/>
  <c r="M372" i="1"/>
  <c r="K372" i="1"/>
  <c r="J372" i="1"/>
  <c r="I372" i="1"/>
  <c r="X372" i="1" s="1"/>
  <c r="H372" i="1" a="1"/>
  <c r="G372" i="1" a="1"/>
  <c r="L372" i="1" s="1"/>
  <c r="Q372" i="1" s="1"/>
  <c r="F372" i="1" a="1"/>
  <c r="E372" i="1"/>
  <c r="D372" i="1" a="1"/>
  <c r="C372" i="1" a="1"/>
  <c r="B372" i="1" a="1"/>
  <c r="T372" i="1" s="1"/>
  <c r="A372" i="1"/>
  <c r="Y371" i="1"/>
  <c r="W371" i="1" a="1"/>
  <c r="V371" i="1" a="1"/>
  <c r="U371" i="1"/>
  <c r="S371" i="1" a="1"/>
  <c r="R371" i="1" a="1"/>
  <c r="P371" i="1"/>
  <c r="O371" i="1"/>
  <c r="N371" i="1"/>
  <c r="M371" i="1"/>
  <c r="K371" i="1"/>
  <c r="I371" i="1"/>
  <c r="H371" i="1" a="1"/>
  <c r="G371" i="1" a="1"/>
  <c r="L371" i="1" s="1"/>
  <c r="Q371" i="1" s="1"/>
  <c r="F371" i="1" a="1"/>
  <c r="E371" i="1"/>
  <c r="D371" i="1" a="1"/>
  <c r="C371" i="1" a="1"/>
  <c r="B371" i="1" a="1"/>
  <c r="T371" i="1" s="1"/>
  <c r="A371" i="1"/>
  <c r="Y370" i="1"/>
  <c r="W370" i="1" a="1"/>
  <c r="V370" i="1" a="1"/>
  <c r="U370" i="1"/>
  <c r="S370" i="1" a="1"/>
  <c r="R370" i="1" a="1"/>
  <c r="P370" i="1"/>
  <c r="O370" i="1"/>
  <c r="N370" i="1"/>
  <c r="M370" i="1"/>
  <c r="K370" i="1"/>
  <c r="I370" i="1"/>
  <c r="H370" i="1" a="1"/>
  <c r="G370" i="1" a="1"/>
  <c r="L370" i="1" s="1"/>
  <c r="Q370" i="1" s="1"/>
  <c r="F370" i="1" a="1"/>
  <c r="E370" i="1"/>
  <c r="D370" i="1" a="1"/>
  <c r="C370" i="1" a="1"/>
  <c r="B370" i="1" a="1"/>
  <c r="T370" i="1" s="1"/>
  <c r="A370" i="1"/>
  <c r="Y369" i="1"/>
  <c r="W369" i="1" a="1"/>
  <c r="V369" i="1" a="1"/>
  <c r="U369" i="1"/>
  <c r="S369" i="1" a="1"/>
  <c r="R369" i="1" a="1"/>
  <c r="P369" i="1"/>
  <c r="O369" i="1"/>
  <c r="N369" i="1"/>
  <c r="M369" i="1"/>
  <c r="K369" i="1"/>
  <c r="J369" i="1"/>
  <c r="I369" i="1"/>
  <c r="X369" i="1" s="1"/>
  <c r="H369" i="1" a="1"/>
  <c r="G369" i="1" a="1"/>
  <c r="L369" i="1" s="1"/>
  <c r="Q369" i="1" s="1"/>
  <c r="F369" i="1" a="1"/>
  <c r="E369" i="1"/>
  <c r="D369" i="1" a="1"/>
  <c r="C369" i="1" a="1"/>
  <c r="B369" i="1" a="1"/>
  <c r="T369" i="1" s="1"/>
  <c r="A369" i="1"/>
  <c r="Y368" i="1"/>
  <c r="W368" i="1" a="1"/>
  <c r="V368" i="1" a="1"/>
  <c r="U368" i="1"/>
  <c r="S368" i="1" a="1"/>
  <c r="R368" i="1" a="1"/>
  <c r="P368" i="1"/>
  <c r="O368" i="1"/>
  <c r="N368" i="1"/>
  <c r="M368" i="1"/>
  <c r="K368" i="1"/>
  <c r="I368" i="1"/>
  <c r="H368" i="1" a="1"/>
  <c r="G368" i="1" a="1"/>
  <c r="L368" i="1" s="1"/>
  <c r="Q368" i="1" s="1"/>
  <c r="F368" i="1" a="1"/>
  <c r="E368" i="1"/>
  <c r="D368" i="1" a="1"/>
  <c r="C368" i="1" a="1"/>
  <c r="B368" i="1" a="1"/>
  <c r="T368" i="1" s="1"/>
  <c r="A368" i="1"/>
  <c r="Y367" i="1"/>
  <c r="W367" i="1" a="1"/>
  <c r="V367" i="1" a="1"/>
  <c r="U367" i="1"/>
  <c r="S367" i="1" a="1"/>
  <c r="R367" i="1" a="1"/>
  <c r="P367" i="1"/>
  <c r="O367" i="1"/>
  <c r="N367" i="1"/>
  <c r="M367" i="1"/>
  <c r="K367" i="1"/>
  <c r="J367" i="1"/>
  <c r="I367" i="1"/>
  <c r="X367" i="1" s="1"/>
  <c r="H367" i="1" a="1"/>
  <c r="G367" i="1" a="1"/>
  <c r="L367" i="1" s="1"/>
  <c r="Q367" i="1" s="1"/>
  <c r="F367" i="1" a="1"/>
  <c r="E367" i="1"/>
  <c r="D367" i="1" a="1"/>
  <c r="C367" i="1" a="1"/>
  <c r="B367" i="1" a="1"/>
  <c r="T367" i="1" s="1"/>
  <c r="A367" i="1"/>
  <c r="Y366" i="1"/>
  <c r="W366" i="1" a="1"/>
  <c r="V366" i="1" a="1"/>
  <c r="U366" i="1"/>
  <c r="S366" i="1" a="1"/>
  <c r="R366" i="1" a="1"/>
  <c r="P366" i="1"/>
  <c r="O366" i="1"/>
  <c r="N366" i="1"/>
  <c r="M366" i="1"/>
  <c r="K366" i="1"/>
  <c r="I366" i="1"/>
  <c r="H366" i="1" a="1"/>
  <c r="G366" i="1" a="1"/>
  <c r="L366" i="1" s="1"/>
  <c r="Q366" i="1" s="1"/>
  <c r="F366" i="1" a="1"/>
  <c r="E366" i="1"/>
  <c r="D366" i="1" a="1"/>
  <c r="C366" i="1" a="1"/>
  <c r="B366" i="1" a="1"/>
  <c r="T366" i="1" s="1"/>
  <c r="A366" i="1"/>
  <c r="Y365" i="1"/>
  <c r="W365" i="1" a="1"/>
  <c r="V365" i="1" a="1"/>
  <c r="U365" i="1"/>
  <c r="S365" i="1" a="1"/>
  <c r="R365" i="1" a="1"/>
  <c r="P365" i="1"/>
  <c r="O365" i="1"/>
  <c r="N365" i="1"/>
  <c r="M365" i="1"/>
  <c r="K365" i="1"/>
  <c r="J365" i="1"/>
  <c r="I365" i="1"/>
  <c r="X365" i="1" s="1"/>
  <c r="H365" i="1" a="1"/>
  <c r="G365" i="1" a="1"/>
  <c r="L365" i="1" s="1"/>
  <c r="Q365" i="1" s="1"/>
  <c r="F365" i="1" a="1"/>
  <c r="E365" i="1"/>
  <c r="D365" i="1" a="1"/>
  <c r="C365" i="1" a="1"/>
  <c r="B365" i="1" a="1"/>
  <c r="T365" i="1" s="1"/>
  <c r="A365" i="1"/>
  <c r="Y364" i="1"/>
  <c r="W364" i="1" a="1"/>
  <c r="V364" i="1" a="1"/>
  <c r="U364" i="1"/>
  <c r="S364" i="1" a="1"/>
  <c r="R364" i="1" a="1"/>
  <c r="P364" i="1"/>
  <c r="O364" i="1"/>
  <c r="N364" i="1"/>
  <c r="M364" i="1"/>
  <c r="K364" i="1"/>
  <c r="I364" i="1"/>
  <c r="H364" i="1" a="1"/>
  <c r="G364" i="1" a="1"/>
  <c r="L364" i="1" s="1"/>
  <c r="Q364" i="1" s="1"/>
  <c r="F364" i="1" a="1"/>
  <c r="E364" i="1"/>
  <c r="D364" i="1" a="1"/>
  <c r="C364" i="1" a="1"/>
  <c r="B364" i="1" a="1"/>
  <c r="T364" i="1" s="1"/>
  <c r="A364" i="1"/>
  <c r="Y363" i="1"/>
  <c r="W363" i="1" a="1"/>
  <c r="V363" i="1" a="1"/>
  <c r="U363" i="1"/>
  <c r="S363" i="1" a="1"/>
  <c r="R363" i="1" a="1"/>
  <c r="P363" i="1"/>
  <c r="O363" i="1"/>
  <c r="N363" i="1"/>
  <c r="M363" i="1"/>
  <c r="K363" i="1"/>
  <c r="J363" i="1"/>
  <c r="I363" i="1"/>
  <c r="X363" i="1" s="1"/>
  <c r="H363" i="1" a="1"/>
  <c r="G363" i="1" a="1"/>
  <c r="L363" i="1" s="1"/>
  <c r="Q363" i="1" s="1"/>
  <c r="F363" i="1" a="1"/>
  <c r="E363" i="1"/>
  <c r="D363" i="1" a="1"/>
  <c r="C363" i="1" a="1"/>
  <c r="B363" i="1" a="1"/>
  <c r="T363" i="1" s="1"/>
  <c r="A363" i="1"/>
  <c r="Y362" i="1"/>
  <c r="W362" i="1" a="1"/>
  <c r="V362" i="1" a="1"/>
  <c r="U362" i="1"/>
  <c r="S362" i="1" a="1"/>
  <c r="R362" i="1" a="1"/>
  <c r="P362" i="1"/>
  <c r="O362" i="1"/>
  <c r="N362" i="1"/>
  <c r="M362" i="1"/>
  <c r="K362" i="1"/>
  <c r="J362" i="1"/>
  <c r="I362" i="1"/>
  <c r="X362" i="1" s="1"/>
  <c r="H362" i="1" a="1"/>
  <c r="G362" i="1" a="1"/>
  <c r="L362" i="1" s="1"/>
  <c r="Q362" i="1" s="1"/>
  <c r="F362" i="1" a="1"/>
  <c r="E362" i="1"/>
  <c r="D362" i="1" a="1"/>
  <c r="C362" i="1" a="1"/>
  <c r="B362" i="1" a="1"/>
  <c r="T362" i="1" s="1"/>
  <c r="A362" i="1"/>
  <c r="Y361" i="1"/>
  <c r="W361" i="1" a="1"/>
  <c r="V361" i="1" a="1"/>
  <c r="U361" i="1"/>
  <c r="S361" i="1" a="1"/>
  <c r="R361" i="1" a="1"/>
  <c r="P361" i="1"/>
  <c r="O361" i="1"/>
  <c r="N361" i="1"/>
  <c r="M361" i="1"/>
  <c r="K361" i="1"/>
  <c r="I361" i="1"/>
  <c r="H361" i="1" a="1"/>
  <c r="G361" i="1" a="1"/>
  <c r="L361" i="1" s="1"/>
  <c r="Q361" i="1" s="1"/>
  <c r="F361" i="1" a="1"/>
  <c r="E361" i="1"/>
  <c r="D361" i="1" a="1"/>
  <c r="C361" i="1" a="1"/>
  <c r="B361" i="1" a="1"/>
  <c r="T361" i="1" s="1"/>
  <c r="A361" i="1"/>
  <c r="Y360" i="1"/>
  <c r="W360" i="1" a="1"/>
  <c r="V360" i="1" a="1"/>
  <c r="U360" i="1"/>
  <c r="S360" i="1" a="1"/>
  <c r="R360" i="1" a="1"/>
  <c r="P360" i="1"/>
  <c r="O360" i="1"/>
  <c r="N360" i="1"/>
  <c r="M360" i="1"/>
  <c r="K360" i="1"/>
  <c r="I360" i="1"/>
  <c r="H360" i="1" a="1"/>
  <c r="G360" i="1" a="1"/>
  <c r="L360" i="1" s="1"/>
  <c r="Q360" i="1" s="1"/>
  <c r="F360" i="1" a="1"/>
  <c r="E360" i="1"/>
  <c r="D360" i="1" a="1"/>
  <c r="C360" i="1" a="1"/>
  <c r="B360" i="1" a="1"/>
  <c r="T360" i="1" s="1"/>
  <c r="A360" i="1"/>
  <c r="Y359" i="1"/>
  <c r="W359" i="1" a="1"/>
  <c r="V359" i="1" a="1"/>
  <c r="U359" i="1"/>
  <c r="S359" i="1" a="1"/>
  <c r="R359" i="1" a="1"/>
  <c r="P359" i="1"/>
  <c r="O359" i="1"/>
  <c r="N359" i="1"/>
  <c r="M359" i="1"/>
  <c r="K359" i="1"/>
  <c r="J359" i="1"/>
  <c r="I359" i="1"/>
  <c r="X359" i="1" s="1"/>
  <c r="H359" i="1" a="1"/>
  <c r="G359" i="1" a="1"/>
  <c r="L359" i="1" s="1"/>
  <c r="Q359" i="1" s="1"/>
  <c r="F359" i="1" a="1"/>
  <c r="E359" i="1"/>
  <c r="D359" i="1" a="1"/>
  <c r="C359" i="1" a="1"/>
  <c r="B359" i="1" a="1"/>
  <c r="T359" i="1" s="1"/>
  <c r="A359" i="1"/>
  <c r="Y358" i="1"/>
  <c r="W358" i="1" a="1"/>
  <c r="V358" i="1" a="1"/>
  <c r="U358" i="1"/>
  <c r="S358" i="1" a="1"/>
  <c r="R358" i="1" a="1"/>
  <c r="P358" i="1"/>
  <c r="O358" i="1"/>
  <c r="N358" i="1"/>
  <c r="M358" i="1"/>
  <c r="K358" i="1"/>
  <c r="J358" i="1"/>
  <c r="I358" i="1"/>
  <c r="X358" i="1" s="1"/>
  <c r="H358" i="1" a="1"/>
  <c r="G358" i="1" a="1"/>
  <c r="L358" i="1" s="1"/>
  <c r="Q358" i="1" s="1"/>
  <c r="F358" i="1" a="1"/>
  <c r="E358" i="1"/>
  <c r="D358" i="1" a="1"/>
  <c r="C358" i="1" a="1"/>
  <c r="B358" i="1" a="1"/>
  <c r="T358" i="1" s="1"/>
  <c r="A358" i="1"/>
  <c r="Y357" i="1"/>
  <c r="W357" i="1" a="1"/>
  <c r="V357" i="1" a="1"/>
  <c r="U357" i="1"/>
  <c r="S357" i="1" a="1"/>
  <c r="R357" i="1" a="1"/>
  <c r="P357" i="1"/>
  <c r="O357" i="1"/>
  <c r="N357" i="1"/>
  <c r="M357" i="1"/>
  <c r="K357" i="1"/>
  <c r="J357" i="1"/>
  <c r="I357" i="1"/>
  <c r="X357" i="1" s="1"/>
  <c r="H357" i="1" a="1"/>
  <c r="G357" i="1" a="1"/>
  <c r="L357" i="1" s="1"/>
  <c r="Q357" i="1" s="1"/>
  <c r="F357" i="1" a="1"/>
  <c r="E357" i="1"/>
  <c r="D357" i="1" a="1"/>
  <c r="C357" i="1" a="1"/>
  <c r="B357" i="1" a="1"/>
  <c r="T357" i="1" s="1"/>
  <c r="A357" i="1"/>
  <c r="Y356" i="1"/>
  <c r="W356" i="1" a="1"/>
  <c r="V356" i="1" a="1"/>
  <c r="U356" i="1"/>
  <c r="S356" i="1" a="1"/>
  <c r="R356" i="1" a="1"/>
  <c r="P356" i="1"/>
  <c r="O356" i="1"/>
  <c r="N356" i="1"/>
  <c r="M356" i="1"/>
  <c r="K356" i="1"/>
  <c r="J356" i="1"/>
  <c r="I356" i="1"/>
  <c r="X356" i="1" s="1"/>
  <c r="H356" i="1" a="1"/>
  <c r="G356" i="1" a="1"/>
  <c r="L356" i="1" s="1"/>
  <c r="Q356" i="1" s="1"/>
  <c r="F356" i="1" a="1"/>
  <c r="E356" i="1"/>
  <c r="D356" i="1" a="1"/>
  <c r="C356" i="1" a="1"/>
  <c r="B356" i="1" a="1"/>
  <c r="T356" i="1" s="1"/>
  <c r="A356" i="1"/>
  <c r="Y355" i="1"/>
  <c r="W355" i="1" a="1"/>
  <c r="V355" i="1" a="1"/>
  <c r="U355" i="1"/>
  <c r="S355" i="1" a="1"/>
  <c r="R355" i="1" a="1"/>
  <c r="P355" i="1"/>
  <c r="O355" i="1"/>
  <c r="N355" i="1"/>
  <c r="M355" i="1"/>
  <c r="K355" i="1"/>
  <c r="I355" i="1"/>
  <c r="H355" i="1" a="1"/>
  <c r="G355" i="1" a="1"/>
  <c r="L355" i="1" s="1"/>
  <c r="Q355" i="1" s="1"/>
  <c r="F355" i="1" a="1"/>
  <c r="E355" i="1"/>
  <c r="D355" i="1" a="1"/>
  <c r="C355" i="1" a="1"/>
  <c r="B355" i="1" a="1"/>
  <c r="T355" i="1" s="1"/>
  <c r="A355" i="1"/>
  <c r="Y354" i="1"/>
  <c r="W354" i="1" a="1"/>
  <c r="V354" i="1" a="1"/>
  <c r="U354" i="1"/>
  <c r="S354" i="1" a="1"/>
  <c r="R354" i="1" a="1"/>
  <c r="P354" i="1"/>
  <c r="O354" i="1"/>
  <c r="N354" i="1"/>
  <c r="M354" i="1"/>
  <c r="K354" i="1"/>
  <c r="J354" i="1"/>
  <c r="I354" i="1"/>
  <c r="X354" i="1" s="1"/>
  <c r="H354" i="1" a="1"/>
  <c r="G354" i="1" a="1"/>
  <c r="L354" i="1" s="1"/>
  <c r="Q354" i="1" s="1"/>
  <c r="F354" i="1" a="1"/>
  <c r="E354" i="1"/>
  <c r="D354" i="1" a="1"/>
  <c r="C354" i="1" a="1"/>
  <c r="B354" i="1" a="1"/>
  <c r="T354" i="1" s="1"/>
  <c r="A354" i="1"/>
  <c r="Y353" i="1"/>
  <c r="W353" i="1" a="1"/>
  <c r="V353" i="1" a="1"/>
  <c r="U353" i="1"/>
  <c r="S353" i="1" a="1"/>
  <c r="R353" i="1" a="1"/>
  <c r="P353" i="1"/>
  <c r="O353" i="1"/>
  <c r="N353" i="1"/>
  <c r="M353" i="1"/>
  <c r="K353" i="1"/>
  <c r="J353" i="1"/>
  <c r="I353" i="1"/>
  <c r="X353" i="1" s="1"/>
  <c r="H353" i="1" a="1"/>
  <c r="G353" i="1" a="1"/>
  <c r="L353" i="1" s="1"/>
  <c r="Q353" i="1" s="1"/>
  <c r="F353" i="1" a="1"/>
  <c r="E353" i="1"/>
  <c r="D353" i="1" a="1"/>
  <c r="C353" i="1" a="1"/>
  <c r="B353" i="1" a="1"/>
  <c r="T353" i="1" s="1"/>
  <c r="A353" i="1"/>
  <c r="Y352" i="1"/>
  <c r="W352" i="1" a="1"/>
  <c r="V352" i="1" a="1"/>
  <c r="U352" i="1"/>
  <c r="S352" i="1" a="1"/>
  <c r="R352" i="1" a="1"/>
  <c r="P352" i="1"/>
  <c r="O352" i="1"/>
  <c r="N352" i="1"/>
  <c r="M352" i="1"/>
  <c r="K352" i="1"/>
  <c r="I352" i="1"/>
  <c r="H352" i="1" a="1"/>
  <c r="G352" i="1" a="1"/>
  <c r="L352" i="1" s="1"/>
  <c r="Q352" i="1" s="1"/>
  <c r="F352" i="1" a="1"/>
  <c r="E352" i="1"/>
  <c r="D352" i="1" a="1"/>
  <c r="C352" i="1" a="1"/>
  <c r="B352" i="1" a="1"/>
  <c r="T352" i="1" s="1"/>
  <c r="A352" i="1"/>
  <c r="Y351" i="1"/>
  <c r="W351" i="1" a="1"/>
  <c r="V351" i="1" a="1"/>
  <c r="U351" i="1"/>
  <c r="S351" i="1" a="1"/>
  <c r="R351" i="1" a="1"/>
  <c r="P351" i="1"/>
  <c r="O351" i="1"/>
  <c r="N351" i="1"/>
  <c r="M351" i="1"/>
  <c r="K351" i="1"/>
  <c r="J351" i="1"/>
  <c r="I351" i="1"/>
  <c r="X351" i="1" s="1"/>
  <c r="H351" i="1" a="1"/>
  <c r="G351" i="1" a="1"/>
  <c r="L351" i="1" s="1"/>
  <c r="Q351" i="1" s="1"/>
  <c r="F351" i="1" a="1"/>
  <c r="E351" i="1"/>
  <c r="D351" i="1" a="1"/>
  <c r="C351" i="1" a="1"/>
  <c r="B351" i="1" a="1"/>
  <c r="T351" i="1" s="1"/>
  <c r="A351" i="1"/>
  <c r="Y350" i="1"/>
  <c r="W350" i="1" a="1"/>
  <c r="V350" i="1" a="1"/>
  <c r="U350" i="1"/>
  <c r="S350" i="1" a="1"/>
  <c r="R350" i="1" a="1"/>
  <c r="P350" i="1"/>
  <c r="O350" i="1"/>
  <c r="N350" i="1"/>
  <c r="M350" i="1"/>
  <c r="K350" i="1"/>
  <c r="J350" i="1"/>
  <c r="I350" i="1"/>
  <c r="X350" i="1" s="1"/>
  <c r="H350" i="1" a="1"/>
  <c r="G350" i="1" a="1"/>
  <c r="L350" i="1" s="1"/>
  <c r="Q350" i="1" s="1"/>
  <c r="F350" i="1" a="1"/>
  <c r="E350" i="1"/>
  <c r="D350" i="1" a="1"/>
  <c r="C350" i="1" a="1"/>
  <c r="B350" i="1" a="1"/>
  <c r="T350" i="1" s="1"/>
  <c r="A350" i="1"/>
  <c r="Y349" i="1"/>
  <c r="W349" i="1" a="1"/>
  <c r="V349" i="1" a="1"/>
  <c r="U349" i="1"/>
  <c r="S349" i="1" a="1"/>
  <c r="R349" i="1" a="1"/>
  <c r="P349" i="1"/>
  <c r="O349" i="1"/>
  <c r="N349" i="1"/>
  <c r="M349" i="1"/>
  <c r="K349" i="1"/>
  <c r="J349" i="1"/>
  <c r="I349" i="1"/>
  <c r="X349" i="1" s="1"/>
  <c r="H349" i="1" a="1"/>
  <c r="G349" i="1" a="1"/>
  <c r="L349" i="1" s="1"/>
  <c r="Q349" i="1" s="1"/>
  <c r="F349" i="1" a="1"/>
  <c r="E349" i="1"/>
  <c r="D349" i="1" a="1"/>
  <c r="C349" i="1" a="1"/>
  <c r="B349" i="1" a="1"/>
  <c r="T349" i="1" s="1"/>
  <c r="A349" i="1"/>
  <c r="Y348" i="1"/>
  <c r="W348" i="1" a="1"/>
  <c r="V348" i="1" a="1"/>
  <c r="U348" i="1"/>
  <c r="S348" i="1" a="1"/>
  <c r="R348" i="1" a="1"/>
  <c r="P348" i="1"/>
  <c r="O348" i="1"/>
  <c r="N348" i="1"/>
  <c r="M348" i="1"/>
  <c r="K348" i="1"/>
  <c r="J348" i="1"/>
  <c r="I348" i="1"/>
  <c r="X348" i="1" s="1"/>
  <c r="H348" i="1" a="1"/>
  <c r="G348" i="1" a="1"/>
  <c r="L348" i="1" s="1"/>
  <c r="Q348" i="1" s="1"/>
  <c r="F348" i="1" a="1"/>
  <c r="E348" i="1"/>
  <c r="D348" i="1" a="1"/>
  <c r="C348" i="1" a="1"/>
  <c r="B348" i="1" a="1"/>
  <c r="T348" i="1" s="1"/>
  <c r="A348" i="1"/>
  <c r="Y347" i="1"/>
  <c r="W347" i="1" a="1"/>
  <c r="V347" i="1" a="1"/>
  <c r="U347" i="1"/>
  <c r="S347" i="1" a="1"/>
  <c r="R347" i="1" a="1"/>
  <c r="P347" i="1"/>
  <c r="O347" i="1"/>
  <c r="N347" i="1"/>
  <c r="M347" i="1"/>
  <c r="K347" i="1"/>
  <c r="I347" i="1"/>
  <c r="H347" i="1" a="1"/>
  <c r="G347" i="1" a="1"/>
  <c r="L347" i="1" s="1"/>
  <c r="Q347" i="1" s="1"/>
  <c r="F347" i="1" a="1"/>
  <c r="E347" i="1"/>
  <c r="D347" i="1" a="1"/>
  <c r="C347" i="1" a="1"/>
  <c r="B347" i="1" a="1"/>
  <c r="T347" i="1" s="1"/>
  <c r="A347" i="1"/>
  <c r="Y346" i="1"/>
  <c r="W346" i="1" a="1"/>
  <c r="V346" i="1" a="1"/>
  <c r="U346" i="1"/>
  <c r="S346" i="1" a="1"/>
  <c r="R346" i="1" a="1"/>
  <c r="P346" i="1"/>
  <c r="O346" i="1"/>
  <c r="N346" i="1"/>
  <c r="M346" i="1"/>
  <c r="K346" i="1"/>
  <c r="J346" i="1"/>
  <c r="I346" i="1"/>
  <c r="X346" i="1" s="1"/>
  <c r="H346" i="1" a="1"/>
  <c r="G346" i="1" a="1"/>
  <c r="L346" i="1" s="1"/>
  <c r="Q346" i="1" s="1"/>
  <c r="F346" i="1" a="1"/>
  <c r="E346" i="1"/>
  <c r="D346" i="1" a="1"/>
  <c r="C346" i="1" a="1"/>
  <c r="B346" i="1" a="1"/>
  <c r="T346" i="1" s="1"/>
  <c r="A346" i="1"/>
  <c r="Y345" i="1"/>
  <c r="W345" i="1" a="1"/>
  <c r="V345" i="1" a="1"/>
  <c r="U345" i="1"/>
  <c r="S345" i="1" a="1"/>
  <c r="R345" i="1" a="1"/>
  <c r="P345" i="1"/>
  <c r="O345" i="1"/>
  <c r="N345" i="1"/>
  <c r="M345" i="1"/>
  <c r="K345" i="1"/>
  <c r="I345" i="1"/>
  <c r="X345" i="1" s="1"/>
  <c r="H345" i="1" a="1"/>
  <c r="G345" i="1" a="1"/>
  <c r="L345" i="1" s="1"/>
  <c r="Q345" i="1" s="1"/>
  <c r="F345" i="1" a="1"/>
  <c r="E345" i="1"/>
  <c r="D345" i="1" a="1"/>
  <c r="C345" i="1" a="1"/>
  <c r="B345" i="1" a="1"/>
  <c r="T345" i="1" s="1"/>
  <c r="A345" i="1"/>
  <c r="Y344" i="1"/>
  <c r="W344" i="1" a="1"/>
  <c r="V344" i="1" a="1"/>
  <c r="U344" i="1"/>
  <c r="S344" i="1" a="1"/>
  <c r="R344" i="1" a="1"/>
  <c r="P344" i="1"/>
  <c r="O344" i="1"/>
  <c r="N344" i="1"/>
  <c r="M344" i="1"/>
  <c r="K344" i="1"/>
  <c r="I344" i="1"/>
  <c r="H344" i="1" a="1"/>
  <c r="G344" i="1" a="1"/>
  <c r="L344" i="1" s="1"/>
  <c r="Q344" i="1" s="1"/>
  <c r="F344" i="1" a="1"/>
  <c r="E344" i="1"/>
  <c r="D344" i="1" a="1"/>
  <c r="C344" i="1" a="1"/>
  <c r="B344" i="1" a="1"/>
  <c r="T344" i="1" s="1"/>
  <c r="A344" i="1"/>
  <c r="Y343" i="1"/>
  <c r="W343" i="1" a="1"/>
  <c r="V343" i="1" a="1"/>
  <c r="U343" i="1"/>
  <c r="S343" i="1" a="1"/>
  <c r="R343" i="1" a="1"/>
  <c r="P343" i="1"/>
  <c r="O343" i="1"/>
  <c r="N343" i="1"/>
  <c r="M343" i="1"/>
  <c r="K343" i="1"/>
  <c r="I343" i="1"/>
  <c r="H343" i="1" a="1"/>
  <c r="G343" i="1" a="1"/>
  <c r="L343" i="1" s="1"/>
  <c r="Q343" i="1" s="1"/>
  <c r="F343" i="1" a="1"/>
  <c r="E343" i="1"/>
  <c r="D343" i="1" a="1"/>
  <c r="C343" i="1" a="1"/>
  <c r="B343" i="1" a="1"/>
  <c r="T343" i="1" s="1"/>
  <c r="A343" i="1"/>
  <c r="Y342" i="1"/>
  <c r="W342" i="1" a="1"/>
  <c r="V342" i="1" a="1"/>
  <c r="U342" i="1"/>
  <c r="S342" i="1" a="1"/>
  <c r="R342" i="1" a="1"/>
  <c r="P342" i="1"/>
  <c r="O342" i="1"/>
  <c r="N342" i="1"/>
  <c r="M342" i="1"/>
  <c r="K342" i="1"/>
  <c r="J342" i="1" s="1"/>
  <c r="I342" i="1"/>
  <c r="X342" i="1" s="1"/>
  <c r="H342" i="1" a="1"/>
  <c r="G342" i="1" a="1"/>
  <c r="L342" i="1" s="1"/>
  <c r="Q342" i="1" s="1"/>
  <c r="F342" i="1" a="1"/>
  <c r="E342" i="1"/>
  <c r="D342" i="1" a="1"/>
  <c r="C342" i="1" a="1"/>
  <c r="B342" i="1" a="1"/>
  <c r="T342" i="1" s="1"/>
  <c r="A342" i="1"/>
  <c r="Y341" i="1"/>
  <c r="W341" i="1" a="1"/>
  <c r="V341" i="1" a="1"/>
  <c r="U341" i="1"/>
  <c r="S341" i="1" a="1"/>
  <c r="R341" i="1" a="1"/>
  <c r="P341" i="1"/>
  <c r="O341" i="1"/>
  <c r="N341" i="1"/>
  <c r="M341" i="1"/>
  <c r="K341" i="1"/>
  <c r="J341" i="1"/>
  <c r="I341" i="1"/>
  <c r="X341" i="1" s="1"/>
  <c r="H341" i="1" a="1"/>
  <c r="G341" i="1" a="1"/>
  <c r="L341" i="1" s="1"/>
  <c r="Q341" i="1" s="1"/>
  <c r="F341" i="1" a="1"/>
  <c r="E341" i="1"/>
  <c r="D341" i="1" a="1"/>
  <c r="C341" i="1" a="1"/>
  <c r="B341" i="1" a="1"/>
  <c r="T341" i="1" s="1"/>
  <c r="A341" i="1"/>
  <c r="Y340" i="1"/>
  <c r="W340" i="1" a="1"/>
  <c r="V340" i="1" a="1"/>
  <c r="U340" i="1"/>
  <c r="S340" i="1" a="1"/>
  <c r="R340" i="1" a="1"/>
  <c r="P340" i="1"/>
  <c r="O340" i="1"/>
  <c r="N340" i="1"/>
  <c r="M340" i="1"/>
  <c r="K340" i="1"/>
  <c r="J340" i="1" s="1"/>
  <c r="I340" i="1"/>
  <c r="X340" i="1" s="1"/>
  <c r="H340" i="1" a="1"/>
  <c r="G340" i="1" a="1"/>
  <c r="L340" i="1" s="1"/>
  <c r="Q340" i="1" s="1"/>
  <c r="F340" i="1" a="1"/>
  <c r="E340" i="1"/>
  <c r="D340" i="1" a="1"/>
  <c r="C340" i="1" a="1"/>
  <c r="B340" i="1" a="1"/>
  <c r="T340" i="1" s="1"/>
  <c r="A340" i="1"/>
  <c r="Y339" i="1"/>
  <c r="W339" i="1" a="1"/>
  <c r="V339" i="1" a="1"/>
  <c r="U339" i="1"/>
  <c r="S339" i="1" a="1"/>
  <c r="R339" i="1" a="1"/>
  <c r="P339" i="1"/>
  <c r="O339" i="1"/>
  <c r="N339" i="1"/>
  <c r="M339" i="1"/>
  <c r="K339" i="1"/>
  <c r="J339" i="1" s="1"/>
  <c r="I339" i="1"/>
  <c r="X339" i="1" s="1"/>
  <c r="H339" i="1" a="1"/>
  <c r="G339" i="1" a="1"/>
  <c r="L339" i="1" s="1"/>
  <c r="Q339" i="1" s="1"/>
  <c r="F339" i="1" a="1"/>
  <c r="E339" i="1"/>
  <c r="D339" i="1" a="1"/>
  <c r="C339" i="1" a="1"/>
  <c r="B339" i="1" a="1"/>
  <c r="T339" i="1" s="1"/>
  <c r="A339" i="1"/>
  <c r="Y338" i="1"/>
  <c r="W338" i="1" a="1"/>
  <c r="V338" i="1" a="1"/>
  <c r="U338" i="1"/>
  <c r="S338" i="1" a="1"/>
  <c r="R338" i="1" a="1"/>
  <c r="P338" i="1"/>
  <c r="O338" i="1"/>
  <c r="N338" i="1"/>
  <c r="M338" i="1"/>
  <c r="K338" i="1"/>
  <c r="J338" i="1" s="1"/>
  <c r="I338" i="1"/>
  <c r="X338" i="1" s="1"/>
  <c r="H338" i="1" a="1"/>
  <c r="G338" i="1" a="1"/>
  <c r="L338" i="1" s="1"/>
  <c r="Q338" i="1" s="1"/>
  <c r="F338" i="1" a="1"/>
  <c r="E338" i="1"/>
  <c r="D338" i="1" a="1"/>
  <c r="C338" i="1" a="1"/>
  <c r="B338" i="1" a="1"/>
  <c r="T338" i="1" s="1"/>
  <c r="A338" i="1"/>
  <c r="Y337" i="1"/>
  <c r="W337" i="1" a="1"/>
  <c r="V337" i="1" a="1"/>
  <c r="U337" i="1"/>
  <c r="S337" i="1" a="1"/>
  <c r="R337" i="1" a="1"/>
  <c r="P337" i="1"/>
  <c r="O337" i="1"/>
  <c r="N337" i="1"/>
  <c r="M337" i="1"/>
  <c r="K337" i="1"/>
  <c r="J337" i="1" s="1"/>
  <c r="I337" i="1"/>
  <c r="X337" i="1" s="1"/>
  <c r="H337" i="1" a="1"/>
  <c r="G337" i="1" a="1"/>
  <c r="L337" i="1" s="1"/>
  <c r="Q337" i="1" s="1"/>
  <c r="F337" i="1" a="1"/>
  <c r="E337" i="1"/>
  <c r="D337" i="1" a="1"/>
  <c r="C337" i="1" a="1"/>
  <c r="B337" i="1" a="1"/>
  <c r="T337" i="1" s="1"/>
  <c r="A337" i="1"/>
  <c r="Y336" i="1"/>
  <c r="W336" i="1" a="1"/>
  <c r="V336" i="1" a="1"/>
  <c r="U336" i="1"/>
  <c r="S336" i="1" a="1"/>
  <c r="R336" i="1" a="1"/>
  <c r="P336" i="1"/>
  <c r="O336" i="1"/>
  <c r="N336" i="1"/>
  <c r="M336" i="1"/>
  <c r="K336" i="1"/>
  <c r="J336" i="1" s="1"/>
  <c r="I336" i="1"/>
  <c r="X336" i="1" s="1"/>
  <c r="H336" i="1" a="1"/>
  <c r="G336" i="1" a="1"/>
  <c r="L336" i="1" s="1"/>
  <c r="Q336" i="1" s="1"/>
  <c r="F336" i="1" a="1"/>
  <c r="E336" i="1"/>
  <c r="D336" i="1" a="1"/>
  <c r="C336" i="1" a="1"/>
  <c r="B336" i="1" a="1"/>
  <c r="T336" i="1" s="1"/>
  <c r="A336" i="1"/>
  <c r="Y335" i="1"/>
  <c r="W335" i="1" a="1"/>
  <c r="V335" i="1" a="1"/>
  <c r="U335" i="1"/>
  <c r="S335" i="1" a="1"/>
  <c r="R335" i="1" a="1"/>
  <c r="P335" i="1"/>
  <c r="O335" i="1"/>
  <c r="N335" i="1"/>
  <c r="M335" i="1"/>
  <c r="K335" i="1"/>
  <c r="I335" i="1"/>
  <c r="H335" i="1" a="1"/>
  <c r="G335" i="1" a="1"/>
  <c r="L335" i="1" s="1"/>
  <c r="Q335" i="1" s="1"/>
  <c r="F335" i="1" a="1"/>
  <c r="E335" i="1"/>
  <c r="D335" i="1" a="1"/>
  <c r="C335" i="1" a="1"/>
  <c r="B335" i="1" a="1"/>
  <c r="T335" i="1" s="1"/>
  <c r="A335" i="1"/>
  <c r="Y334" i="1"/>
  <c r="W334" i="1" a="1"/>
  <c r="V334" i="1" a="1"/>
  <c r="U334" i="1"/>
  <c r="S334" i="1" a="1"/>
  <c r="R334" i="1" a="1"/>
  <c r="P334" i="1"/>
  <c r="O334" i="1"/>
  <c r="N334" i="1"/>
  <c r="M334" i="1"/>
  <c r="K334" i="1"/>
  <c r="J334" i="1" s="1"/>
  <c r="I334" i="1"/>
  <c r="X334" i="1" s="1"/>
  <c r="H334" i="1" a="1"/>
  <c r="G334" i="1" a="1"/>
  <c r="L334" i="1" s="1"/>
  <c r="Q334" i="1" s="1"/>
  <c r="F334" i="1" a="1"/>
  <c r="E334" i="1"/>
  <c r="D334" i="1" a="1"/>
  <c r="C334" i="1" a="1"/>
  <c r="B334" i="1" a="1"/>
  <c r="T334" i="1" s="1"/>
  <c r="A334" i="1"/>
  <c r="Y333" i="1"/>
  <c r="W333" i="1" a="1"/>
  <c r="V333" i="1" a="1"/>
  <c r="U333" i="1"/>
  <c r="S333" i="1" a="1"/>
  <c r="R333" i="1" a="1"/>
  <c r="P333" i="1"/>
  <c r="O333" i="1"/>
  <c r="N333" i="1"/>
  <c r="M333" i="1"/>
  <c r="K333" i="1"/>
  <c r="J333" i="1"/>
  <c r="I333" i="1"/>
  <c r="X333" i="1" s="1"/>
  <c r="H333" i="1" a="1"/>
  <c r="G333" i="1" a="1"/>
  <c r="L333" i="1" s="1"/>
  <c r="Q333" i="1" s="1"/>
  <c r="F333" i="1" a="1"/>
  <c r="E333" i="1"/>
  <c r="D333" i="1" a="1"/>
  <c r="C333" i="1" a="1"/>
  <c r="B333" i="1" a="1"/>
  <c r="T333" i="1" s="1"/>
  <c r="A333" i="1"/>
  <c r="Y332" i="1"/>
  <c r="W332" i="1" a="1"/>
  <c r="V332" i="1" a="1"/>
  <c r="U332" i="1"/>
  <c r="S332" i="1" a="1"/>
  <c r="R332" i="1" a="1"/>
  <c r="P332" i="1"/>
  <c r="O332" i="1"/>
  <c r="N332" i="1"/>
  <c r="M332" i="1"/>
  <c r="K332" i="1"/>
  <c r="J332" i="1"/>
  <c r="I332" i="1"/>
  <c r="X332" i="1" s="1"/>
  <c r="H332" i="1" a="1"/>
  <c r="G332" i="1" a="1"/>
  <c r="L332" i="1" s="1"/>
  <c r="Q332" i="1" s="1"/>
  <c r="F332" i="1" a="1"/>
  <c r="E332" i="1"/>
  <c r="D332" i="1" a="1"/>
  <c r="C332" i="1" a="1"/>
  <c r="B332" i="1" a="1"/>
  <c r="T332" i="1" s="1"/>
  <c r="A332" i="1"/>
  <c r="Y331" i="1"/>
  <c r="W331" i="1" a="1"/>
  <c r="V331" i="1" a="1"/>
  <c r="U331" i="1"/>
  <c r="S331" i="1" a="1"/>
  <c r="R331" i="1" a="1"/>
  <c r="P331" i="1"/>
  <c r="O331" i="1"/>
  <c r="N331" i="1"/>
  <c r="M331" i="1"/>
  <c r="K331" i="1"/>
  <c r="I331" i="1"/>
  <c r="H331" i="1" a="1"/>
  <c r="G331" i="1" a="1"/>
  <c r="L331" i="1" s="1"/>
  <c r="Q331" i="1" s="1"/>
  <c r="F331" i="1" a="1"/>
  <c r="E331" i="1"/>
  <c r="D331" i="1" a="1"/>
  <c r="C331" i="1" a="1"/>
  <c r="B331" i="1" a="1"/>
  <c r="T331" i="1" s="1"/>
  <c r="A331" i="1"/>
  <c r="Y330" i="1"/>
  <c r="W330" i="1" a="1"/>
  <c r="V330" i="1" a="1"/>
  <c r="U330" i="1"/>
  <c r="S330" i="1" a="1"/>
  <c r="R330" i="1" a="1"/>
  <c r="P330" i="1"/>
  <c r="O330" i="1"/>
  <c r="N330" i="1"/>
  <c r="M330" i="1"/>
  <c r="K330" i="1"/>
  <c r="J330" i="1" s="1"/>
  <c r="I330" i="1"/>
  <c r="X330" i="1" s="1"/>
  <c r="H330" i="1" a="1"/>
  <c r="G330" i="1" a="1"/>
  <c r="L330" i="1" s="1"/>
  <c r="Q330" i="1" s="1"/>
  <c r="F330" i="1" a="1"/>
  <c r="E330" i="1"/>
  <c r="D330" i="1" a="1"/>
  <c r="C330" i="1" a="1"/>
  <c r="B330" i="1" a="1"/>
  <c r="T330" i="1" s="1"/>
  <c r="A330" i="1"/>
  <c r="Y329" i="1"/>
  <c r="W329" i="1" a="1"/>
  <c r="V329" i="1" a="1"/>
  <c r="U329" i="1"/>
  <c r="S329" i="1" a="1"/>
  <c r="R329" i="1" a="1"/>
  <c r="P329" i="1"/>
  <c r="O329" i="1"/>
  <c r="N329" i="1"/>
  <c r="M329" i="1"/>
  <c r="K329" i="1"/>
  <c r="J329" i="1"/>
  <c r="I329" i="1"/>
  <c r="X329" i="1" s="1"/>
  <c r="H329" i="1" a="1"/>
  <c r="G329" i="1" a="1"/>
  <c r="L329" i="1" s="1"/>
  <c r="Q329" i="1" s="1"/>
  <c r="F329" i="1" a="1"/>
  <c r="E329" i="1"/>
  <c r="D329" i="1" a="1"/>
  <c r="C329" i="1" a="1"/>
  <c r="B329" i="1" a="1"/>
  <c r="T329" i="1" s="1"/>
  <c r="A329" i="1"/>
  <c r="Y328" i="1"/>
  <c r="W328" i="1" a="1"/>
  <c r="V328" i="1" a="1"/>
  <c r="U328" i="1"/>
  <c r="S328" i="1" a="1"/>
  <c r="R328" i="1" a="1"/>
  <c r="P328" i="1"/>
  <c r="O328" i="1"/>
  <c r="N328" i="1"/>
  <c r="M328" i="1"/>
  <c r="K328" i="1"/>
  <c r="J328" i="1" s="1"/>
  <c r="I328" i="1"/>
  <c r="X328" i="1" s="1"/>
  <c r="H328" i="1" a="1"/>
  <c r="G328" i="1" a="1"/>
  <c r="L328" i="1" s="1"/>
  <c r="Q328" i="1" s="1"/>
  <c r="F328" i="1" a="1"/>
  <c r="E328" i="1"/>
  <c r="D328" i="1" a="1"/>
  <c r="C328" i="1" a="1"/>
  <c r="B328" i="1" a="1"/>
  <c r="T328" i="1" s="1"/>
  <c r="A328" i="1"/>
  <c r="Y327" i="1"/>
  <c r="W327" i="1" a="1"/>
  <c r="V327" i="1" a="1"/>
  <c r="U327" i="1"/>
  <c r="S327" i="1" a="1"/>
  <c r="R327" i="1" a="1"/>
  <c r="P327" i="1"/>
  <c r="O327" i="1"/>
  <c r="N327" i="1"/>
  <c r="M327" i="1"/>
  <c r="K327" i="1"/>
  <c r="I327" i="1"/>
  <c r="H327" i="1" a="1"/>
  <c r="G327" i="1" a="1"/>
  <c r="L327" i="1" s="1"/>
  <c r="Q327" i="1" s="1"/>
  <c r="F327" i="1" a="1"/>
  <c r="E327" i="1"/>
  <c r="D327" i="1" a="1"/>
  <c r="C327" i="1" a="1"/>
  <c r="B327" i="1" a="1"/>
  <c r="T327" i="1" s="1"/>
  <c r="A327" i="1"/>
  <c r="Y326" i="1"/>
  <c r="W326" i="1" a="1"/>
  <c r="V326" i="1" a="1"/>
  <c r="U326" i="1"/>
  <c r="S326" i="1" a="1"/>
  <c r="R326" i="1" a="1"/>
  <c r="P326" i="1"/>
  <c r="O326" i="1"/>
  <c r="N326" i="1"/>
  <c r="M326" i="1"/>
  <c r="K326" i="1"/>
  <c r="J326" i="1" s="1"/>
  <c r="I326" i="1"/>
  <c r="X326" i="1" s="1"/>
  <c r="H326" i="1" a="1"/>
  <c r="G326" i="1" a="1"/>
  <c r="L326" i="1" s="1"/>
  <c r="Q326" i="1" s="1"/>
  <c r="F326" i="1" a="1"/>
  <c r="E326" i="1"/>
  <c r="D326" i="1" a="1"/>
  <c r="C326" i="1" a="1"/>
  <c r="B326" i="1" a="1"/>
  <c r="T326" i="1" s="1"/>
  <c r="A326" i="1"/>
  <c r="Y325" i="1"/>
  <c r="W325" i="1" a="1"/>
  <c r="V325" i="1" a="1"/>
  <c r="U325" i="1"/>
  <c r="S325" i="1" a="1"/>
  <c r="R325" i="1" a="1"/>
  <c r="P325" i="1"/>
  <c r="O325" i="1"/>
  <c r="N325" i="1"/>
  <c r="M325" i="1"/>
  <c r="K325" i="1"/>
  <c r="J325" i="1" s="1"/>
  <c r="I325" i="1"/>
  <c r="X325" i="1" s="1"/>
  <c r="H325" i="1" a="1"/>
  <c r="G325" i="1" a="1"/>
  <c r="L325" i="1" s="1"/>
  <c r="Q325" i="1" s="1"/>
  <c r="F325" i="1" a="1"/>
  <c r="E325" i="1"/>
  <c r="D325" i="1" a="1"/>
  <c r="C325" i="1" a="1"/>
  <c r="B325" i="1" a="1"/>
  <c r="T325" i="1" s="1"/>
  <c r="A325" i="1"/>
  <c r="Y324" i="1"/>
  <c r="W324" i="1" a="1"/>
  <c r="V324" i="1" a="1"/>
  <c r="U324" i="1"/>
  <c r="S324" i="1" a="1"/>
  <c r="R324" i="1" a="1"/>
  <c r="P324" i="1"/>
  <c r="O324" i="1"/>
  <c r="N324" i="1"/>
  <c r="M324" i="1"/>
  <c r="K324" i="1"/>
  <c r="J324" i="1"/>
  <c r="I324" i="1"/>
  <c r="X324" i="1" s="1"/>
  <c r="H324" i="1" a="1"/>
  <c r="G324" i="1" a="1"/>
  <c r="L324" i="1" s="1"/>
  <c r="Q324" i="1" s="1"/>
  <c r="F324" i="1" a="1"/>
  <c r="E324" i="1"/>
  <c r="D324" i="1" a="1"/>
  <c r="C324" i="1" a="1"/>
  <c r="B324" i="1" a="1"/>
  <c r="T324" i="1" s="1"/>
  <c r="A324" i="1"/>
  <c r="Y323" i="1"/>
  <c r="W323" i="1" a="1"/>
  <c r="V323" i="1" a="1"/>
  <c r="U323" i="1"/>
  <c r="S323" i="1" a="1"/>
  <c r="R323" i="1" a="1"/>
  <c r="P323" i="1"/>
  <c r="O323" i="1"/>
  <c r="N323" i="1"/>
  <c r="M323" i="1"/>
  <c r="K323" i="1"/>
  <c r="J323" i="1"/>
  <c r="I323" i="1"/>
  <c r="X323" i="1" s="1"/>
  <c r="H323" i="1" a="1"/>
  <c r="G323" i="1" a="1"/>
  <c r="L323" i="1" s="1"/>
  <c r="Q323" i="1" s="1"/>
  <c r="F323" i="1" a="1"/>
  <c r="E323" i="1"/>
  <c r="D323" i="1" a="1"/>
  <c r="C323" i="1" a="1"/>
  <c r="B323" i="1" a="1"/>
  <c r="T323" i="1" s="1"/>
  <c r="A323" i="1"/>
  <c r="Y322" i="1"/>
  <c r="W322" i="1" a="1"/>
  <c r="V322" i="1" a="1"/>
  <c r="U322" i="1"/>
  <c r="S322" i="1" a="1"/>
  <c r="R322" i="1" a="1"/>
  <c r="P322" i="1"/>
  <c r="O322" i="1"/>
  <c r="N322" i="1"/>
  <c r="M322" i="1"/>
  <c r="K322" i="1"/>
  <c r="J322" i="1" s="1"/>
  <c r="I322" i="1"/>
  <c r="X322" i="1" s="1"/>
  <c r="H322" i="1" a="1"/>
  <c r="G322" i="1" a="1"/>
  <c r="L322" i="1" s="1"/>
  <c r="Q322" i="1" s="1"/>
  <c r="F322" i="1" a="1"/>
  <c r="E322" i="1"/>
  <c r="D322" i="1" a="1"/>
  <c r="C322" i="1" a="1"/>
  <c r="B322" i="1" a="1"/>
  <c r="T322" i="1" s="1"/>
  <c r="A322" i="1"/>
  <c r="Y321" i="1"/>
  <c r="W321" i="1" a="1"/>
  <c r="V321" i="1" a="1"/>
  <c r="U321" i="1"/>
  <c r="S321" i="1" a="1"/>
  <c r="R321" i="1" a="1"/>
  <c r="P321" i="1"/>
  <c r="O321" i="1"/>
  <c r="N321" i="1"/>
  <c r="M321" i="1"/>
  <c r="K321" i="1"/>
  <c r="J321" i="1" s="1"/>
  <c r="I321" i="1"/>
  <c r="X321" i="1" s="1"/>
  <c r="H321" i="1" a="1"/>
  <c r="G321" i="1" a="1"/>
  <c r="L321" i="1" s="1"/>
  <c r="Q321" i="1" s="1"/>
  <c r="F321" i="1" a="1"/>
  <c r="E321" i="1"/>
  <c r="D321" i="1" a="1"/>
  <c r="C321" i="1" a="1"/>
  <c r="B321" i="1" a="1"/>
  <c r="T321" i="1" s="1"/>
  <c r="A321" i="1"/>
  <c r="Y320" i="1"/>
  <c r="W320" i="1" a="1"/>
  <c r="V320" i="1" a="1"/>
  <c r="U320" i="1"/>
  <c r="S320" i="1" a="1"/>
  <c r="R320" i="1" a="1"/>
  <c r="P320" i="1"/>
  <c r="O320" i="1"/>
  <c r="N320" i="1"/>
  <c r="M320" i="1"/>
  <c r="K320" i="1"/>
  <c r="J320" i="1" s="1"/>
  <c r="I320" i="1"/>
  <c r="X320" i="1" s="1"/>
  <c r="H320" i="1" a="1"/>
  <c r="G320" i="1" a="1"/>
  <c r="L320" i="1" s="1"/>
  <c r="Q320" i="1" s="1"/>
  <c r="F320" i="1" a="1"/>
  <c r="E320" i="1"/>
  <c r="D320" i="1" a="1"/>
  <c r="C320" i="1" a="1"/>
  <c r="B320" i="1" a="1"/>
  <c r="T320" i="1" s="1"/>
  <c r="A320" i="1"/>
  <c r="Y319" i="1"/>
  <c r="W319" i="1" a="1"/>
  <c r="V319" i="1" a="1"/>
  <c r="U319" i="1"/>
  <c r="S319" i="1" a="1"/>
  <c r="R319" i="1" a="1"/>
  <c r="P319" i="1"/>
  <c r="O319" i="1"/>
  <c r="N319" i="1"/>
  <c r="M319" i="1"/>
  <c r="K319" i="1"/>
  <c r="J319" i="1"/>
  <c r="I319" i="1"/>
  <c r="X319" i="1" s="1"/>
  <c r="H319" i="1" a="1"/>
  <c r="G319" i="1" a="1"/>
  <c r="L319" i="1" s="1"/>
  <c r="Q319" i="1" s="1"/>
  <c r="F319" i="1" a="1"/>
  <c r="E319" i="1"/>
  <c r="D319" i="1" a="1"/>
  <c r="C319" i="1" a="1"/>
  <c r="B319" i="1" a="1"/>
  <c r="T319" i="1" s="1"/>
  <c r="A319" i="1"/>
  <c r="Y318" i="1"/>
  <c r="W318" i="1" a="1"/>
  <c r="V318" i="1" a="1"/>
  <c r="U318" i="1"/>
  <c r="S318" i="1" a="1"/>
  <c r="R318" i="1" a="1"/>
  <c r="P318" i="1"/>
  <c r="O318" i="1"/>
  <c r="N318" i="1"/>
  <c r="M318" i="1"/>
  <c r="K318" i="1"/>
  <c r="J318" i="1"/>
  <c r="I318" i="1"/>
  <c r="X318" i="1" s="1"/>
  <c r="H318" i="1" a="1"/>
  <c r="G318" i="1" a="1"/>
  <c r="L318" i="1" s="1"/>
  <c r="Q318" i="1" s="1"/>
  <c r="F318" i="1" a="1"/>
  <c r="E318" i="1"/>
  <c r="D318" i="1" a="1"/>
  <c r="C318" i="1" a="1"/>
  <c r="B318" i="1" a="1"/>
  <c r="T318" i="1" s="1"/>
  <c r="A318" i="1"/>
  <c r="Y317" i="1"/>
  <c r="W317" i="1" a="1"/>
  <c r="V317" i="1" a="1"/>
  <c r="U317" i="1"/>
  <c r="S317" i="1" a="1"/>
  <c r="R317" i="1" a="1"/>
  <c r="P317" i="1"/>
  <c r="O317" i="1"/>
  <c r="N317" i="1"/>
  <c r="M317" i="1"/>
  <c r="K317" i="1"/>
  <c r="J317" i="1"/>
  <c r="I317" i="1"/>
  <c r="X317" i="1" s="1"/>
  <c r="H317" i="1" a="1"/>
  <c r="G317" i="1" a="1"/>
  <c r="L317" i="1" s="1"/>
  <c r="Q317" i="1" s="1"/>
  <c r="F317" i="1" a="1"/>
  <c r="E317" i="1"/>
  <c r="D317" i="1" a="1"/>
  <c r="C317" i="1" a="1"/>
  <c r="B317" i="1" a="1"/>
  <c r="T317" i="1" s="1"/>
  <c r="A317" i="1"/>
  <c r="Y316" i="1"/>
  <c r="W316" i="1" a="1"/>
  <c r="V316" i="1" a="1"/>
  <c r="U316" i="1"/>
  <c r="S316" i="1" a="1"/>
  <c r="R316" i="1" a="1"/>
  <c r="P316" i="1"/>
  <c r="O316" i="1"/>
  <c r="N316" i="1"/>
  <c r="M316" i="1"/>
  <c r="K316" i="1"/>
  <c r="J316" i="1"/>
  <c r="I316" i="1"/>
  <c r="X316" i="1" s="1"/>
  <c r="H316" i="1" a="1"/>
  <c r="G316" i="1" a="1"/>
  <c r="L316" i="1" s="1"/>
  <c r="Q316" i="1" s="1"/>
  <c r="F316" i="1" a="1"/>
  <c r="E316" i="1"/>
  <c r="D316" i="1" a="1"/>
  <c r="C316" i="1" a="1"/>
  <c r="B316" i="1" a="1"/>
  <c r="T316" i="1" s="1"/>
  <c r="A316" i="1"/>
  <c r="Y315" i="1"/>
  <c r="W315" i="1" a="1"/>
  <c r="V315" i="1" a="1"/>
  <c r="U315" i="1"/>
  <c r="S315" i="1" a="1"/>
  <c r="R315" i="1" a="1"/>
  <c r="P315" i="1"/>
  <c r="O315" i="1"/>
  <c r="N315" i="1"/>
  <c r="M315" i="1"/>
  <c r="K315" i="1"/>
  <c r="J315" i="1" s="1"/>
  <c r="I315" i="1"/>
  <c r="X315" i="1" s="1"/>
  <c r="H315" i="1" a="1"/>
  <c r="G315" i="1" a="1"/>
  <c r="L315" i="1" s="1"/>
  <c r="Q315" i="1" s="1"/>
  <c r="F315" i="1" a="1"/>
  <c r="E315" i="1"/>
  <c r="D315" i="1" a="1"/>
  <c r="C315" i="1" a="1"/>
  <c r="B315" i="1" a="1"/>
  <c r="T315" i="1" s="1"/>
  <c r="A315" i="1"/>
  <c r="Y314" i="1"/>
  <c r="W314" i="1" a="1"/>
  <c r="V314" i="1" a="1"/>
  <c r="U314" i="1"/>
  <c r="S314" i="1" a="1"/>
  <c r="R314" i="1" a="1"/>
  <c r="P314" i="1"/>
  <c r="O314" i="1"/>
  <c r="N314" i="1"/>
  <c r="M314" i="1"/>
  <c r="K314" i="1"/>
  <c r="I314" i="1"/>
  <c r="H314" i="1" a="1"/>
  <c r="G314" i="1" a="1"/>
  <c r="L314" i="1" s="1"/>
  <c r="Q314" i="1" s="1"/>
  <c r="F314" i="1" a="1"/>
  <c r="E314" i="1"/>
  <c r="D314" i="1" a="1"/>
  <c r="C314" i="1" a="1"/>
  <c r="B314" i="1" a="1"/>
  <c r="T314" i="1" s="1"/>
  <c r="A314" i="1"/>
  <c r="Y313" i="1"/>
  <c r="W313" i="1" a="1"/>
  <c r="V313" i="1" a="1"/>
  <c r="U313" i="1"/>
  <c r="S313" i="1" a="1"/>
  <c r="R313" i="1" a="1"/>
  <c r="P313" i="1"/>
  <c r="O313" i="1"/>
  <c r="N313" i="1"/>
  <c r="M313" i="1"/>
  <c r="K313" i="1"/>
  <c r="I313" i="1"/>
  <c r="H313" i="1" a="1"/>
  <c r="G313" i="1" a="1"/>
  <c r="L313" i="1" s="1"/>
  <c r="Q313" i="1" s="1"/>
  <c r="F313" i="1" a="1"/>
  <c r="E313" i="1"/>
  <c r="D313" i="1" a="1"/>
  <c r="C313" i="1" a="1"/>
  <c r="B313" i="1" a="1"/>
  <c r="T313" i="1" s="1"/>
  <c r="A313" i="1"/>
  <c r="Y312" i="1"/>
  <c r="W312" i="1" a="1"/>
  <c r="V312" i="1" a="1"/>
  <c r="U312" i="1"/>
  <c r="S312" i="1" a="1"/>
  <c r="R312" i="1" a="1"/>
  <c r="P312" i="1"/>
  <c r="O312" i="1"/>
  <c r="N312" i="1"/>
  <c r="M312" i="1"/>
  <c r="K312" i="1"/>
  <c r="I312" i="1"/>
  <c r="H312" i="1" a="1"/>
  <c r="G312" i="1" a="1"/>
  <c r="L312" i="1" s="1"/>
  <c r="Q312" i="1" s="1"/>
  <c r="F312" i="1" a="1"/>
  <c r="E312" i="1"/>
  <c r="D312" i="1" a="1"/>
  <c r="C312" i="1" a="1"/>
  <c r="B312" i="1" a="1"/>
  <c r="T312" i="1" s="1"/>
  <c r="A312" i="1"/>
  <c r="Y311" i="1"/>
  <c r="W311" i="1" a="1"/>
  <c r="V311" i="1" a="1"/>
  <c r="U311" i="1"/>
  <c r="S311" i="1" a="1"/>
  <c r="R311" i="1" a="1"/>
  <c r="P311" i="1"/>
  <c r="O311" i="1"/>
  <c r="N311" i="1"/>
  <c r="M311" i="1"/>
  <c r="K311" i="1"/>
  <c r="J311" i="1"/>
  <c r="I311" i="1"/>
  <c r="X311" i="1" s="1"/>
  <c r="H311" i="1" a="1"/>
  <c r="G311" i="1" a="1"/>
  <c r="L311" i="1" s="1"/>
  <c r="Q311" i="1" s="1"/>
  <c r="F311" i="1" a="1"/>
  <c r="E311" i="1"/>
  <c r="D311" i="1" a="1"/>
  <c r="C311" i="1" a="1"/>
  <c r="B311" i="1" a="1"/>
  <c r="T311" i="1" s="1"/>
  <c r="A311" i="1"/>
  <c r="Y310" i="1"/>
  <c r="W310" i="1" a="1"/>
  <c r="V310" i="1" a="1"/>
  <c r="U310" i="1"/>
  <c r="S310" i="1" a="1"/>
  <c r="R310" i="1" a="1"/>
  <c r="P310" i="1"/>
  <c r="O310" i="1"/>
  <c r="N310" i="1"/>
  <c r="M310" i="1"/>
  <c r="K310" i="1"/>
  <c r="I310" i="1"/>
  <c r="H310" i="1" a="1"/>
  <c r="G310" i="1" a="1"/>
  <c r="L310" i="1" s="1"/>
  <c r="Q310" i="1" s="1"/>
  <c r="F310" i="1" a="1"/>
  <c r="E310" i="1"/>
  <c r="D310" i="1" a="1"/>
  <c r="C310" i="1" a="1"/>
  <c r="B310" i="1" a="1"/>
  <c r="T310" i="1" s="1"/>
  <c r="A310" i="1"/>
  <c r="Y309" i="1"/>
  <c r="W309" i="1" a="1"/>
  <c r="V309" i="1" a="1"/>
  <c r="U309" i="1"/>
  <c r="S309" i="1" a="1"/>
  <c r="R309" i="1" a="1"/>
  <c r="P309" i="1"/>
  <c r="O309" i="1"/>
  <c r="N309" i="1"/>
  <c r="M309" i="1"/>
  <c r="K309" i="1"/>
  <c r="J309" i="1"/>
  <c r="I309" i="1"/>
  <c r="X309" i="1" s="1"/>
  <c r="H309" i="1" a="1"/>
  <c r="G309" i="1" a="1"/>
  <c r="L309" i="1" s="1"/>
  <c r="Q309" i="1" s="1"/>
  <c r="F309" i="1" a="1"/>
  <c r="E309" i="1"/>
  <c r="D309" i="1" a="1"/>
  <c r="C309" i="1" a="1"/>
  <c r="B309" i="1" a="1"/>
  <c r="T309" i="1" s="1"/>
  <c r="A309" i="1"/>
  <c r="Y308" i="1"/>
  <c r="W308" i="1" a="1"/>
  <c r="V308" i="1" a="1"/>
  <c r="U308" i="1"/>
  <c r="S308" i="1" a="1"/>
  <c r="R308" i="1" a="1"/>
  <c r="P308" i="1"/>
  <c r="O308" i="1"/>
  <c r="N308" i="1"/>
  <c r="M308" i="1"/>
  <c r="K308" i="1"/>
  <c r="I308" i="1"/>
  <c r="H308" i="1" a="1"/>
  <c r="G308" i="1" a="1"/>
  <c r="L308" i="1" s="1"/>
  <c r="Q308" i="1" s="1"/>
  <c r="F308" i="1" a="1"/>
  <c r="E308" i="1"/>
  <c r="D308" i="1" a="1"/>
  <c r="C308" i="1" a="1"/>
  <c r="B308" i="1" a="1"/>
  <c r="T308" i="1" s="1"/>
  <c r="A308" i="1"/>
  <c r="Y307" i="1"/>
  <c r="W307" i="1" a="1"/>
  <c r="V307" i="1" a="1"/>
  <c r="U307" i="1"/>
  <c r="S307" i="1" a="1"/>
  <c r="R307" i="1" a="1"/>
  <c r="P307" i="1"/>
  <c r="O307" i="1"/>
  <c r="N307" i="1"/>
  <c r="M307" i="1"/>
  <c r="K307" i="1"/>
  <c r="I307" i="1"/>
  <c r="H307" i="1" a="1"/>
  <c r="G307" i="1" a="1"/>
  <c r="L307" i="1" s="1"/>
  <c r="Q307" i="1" s="1"/>
  <c r="F307" i="1" a="1"/>
  <c r="E307" i="1"/>
  <c r="D307" i="1" a="1"/>
  <c r="C307" i="1" a="1"/>
  <c r="B307" i="1" a="1"/>
  <c r="T307" i="1" s="1"/>
  <c r="A307" i="1"/>
  <c r="Y306" i="1"/>
  <c r="W306" i="1" a="1"/>
  <c r="V306" i="1" a="1"/>
  <c r="U306" i="1"/>
  <c r="S306" i="1" a="1"/>
  <c r="R306" i="1" a="1"/>
  <c r="P306" i="1"/>
  <c r="O306" i="1"/>
  <c r="N306" i="1"/>
  <c r="M306" i="1"/>
  <c r="K306" i="1"/>
  <c r="I306" i="1"/>
  <c r="H306" i="1" a="1"/>
  <c r="G306" i="1" a="1"/>
  <c r="L306" i="1" s="1"/>
  <c r="Q306" i="1" s="1"/>
  <c r="F306" i="1" a="1"/>
  <c r="E306" i="1"/>
  <c r="D306" i="1" a="1"/>
  <c r="C306" i="1" a="1"/>
  <c r="B306" i="1" a="1"/>
  <c r="T306" i="1" s="1"/>
  <c r="A306" i="1"/>
  <c r="Y305" i="1"/>
  <c r="W305" i="1" a="1"/>
  <c r="V305" i="1" a="1"/>
  <c r="U305" i="1"/>
  <c r="S305" i="1" a="1"/>
  <c r="R305" i="1" a="1"/>
  <c r="P305" i="1"/>
  <c r="O305" i="1"/>
  <c r="N305" i="1"/>
  <c r="M305" i="1"/>
  <c r="K305" i="1"/>
  <c r="J305" i="1"/>
  <c r="I305" i="1"/>
  <c r="X305" i="1" s="1"/>
  <c r="H305" i="1" a="1"/>
  <c r="G305" i="1" a="1"/>
  <c r="L305" i="1" s="1"/>
  <c r="Q305" i="1" s="1"/>
  <c r="F305" i="1" a="1"/>
  <c r="E305" i="1"/>
  <c r="D305" i="1" a="1"/>
  <c r="C305" i="1" a="1"/>
  <c r="B305" i="1" a="1"/>
  <c r="T305" i="1" s="1"/>
  <c r="A305" i="1"/>
  <c r="Y304" i="1"/>
  <c r="W304" i="1" a="1"/>
  <c r="V304" i="1" a="1"/>
  <c r="U304" i="1"/>
  <c r="S304" i="1" a="1"/>
  <c r="R304" i="1" a="1"/>
  <c r="P304" i="1"/>
  <c r="O304" i="1"/>
  <c r="N304" i="1"/>
  <c r="M304" i="1"/>
  <c r="K304" i="1"/>
  <c r="J304" i="1"/>
  <c r="I304" i="1"/>
  <c r="X304" i="1" s="1"/>
  <c r="H304" i="1" a="1"/>
  <c r="G304" i="1" a="1"/>
  <c r="L304" i="1" s="1"/>
  <c r="Q304" i="1" s="1"/>
  <c r="F304" i="1" a="1"/>
  <c r="E304" i="1"/>
  <c r="D304" i="1" a="1"/>
  <c r="C304" i="1" a="1"/>
  <c r="B304" i="1" a="1"/>
  <c r="T304" i="1" s="1"/>
  <c r="A304" i="1"/>
  <c r="Y303" i="1"/>
  <c r="W303" i="1" a="1"/>
  <c r="V303" i="1" a="1"/>
  <c r="U303" i="1"/>
  <c r="S303" i="1" a="1"/>
  <c r="R303" i="1" a="1"/>
  <c r="P303" i="1"/>
  <c r="O303" i="1"/>
  <c r="N303" i="1"/>
  <c r="M303" i="1"/>
  <c r="K303" i="1"/>
  <c r="I303" i="1"/>
  <c r="H303" i="1" a="1"/>
  <c r="G303" i="1" a="1"/>
  <c r="L303" i="1" s="1"/>
  <c r="Q303" i="1" s="1"/>
  <c r="F303" i="1" a="1"/>
  <c r="E303" i="1"/>
  <c r="D303" i="1" a="1"/>
  <c r="C303" i="1" a="1"/>
  <c r="B303" i="1" a="1"/>
  <c r="T303" i="1" s="1"/>
  <c r="A303" i="1"/>
  <c r="Y302" i="1"/>
  <c r="W302" i="1" a="1"/>
  <c r="V302" i="1" a="1"/>
  <c r="U302" i="1"/>
  <c r="S302" i="1" a="1"/>
  <c r="R302" i="1" a="1"/>
  <c r="P302" i="1"/>
  <c r="O302" i="1"/>
  <c r="N302" i="1"/>
  <c r="M302" i="1"/>
  <c r="K302" i="1"/>
  <c r="J302" i="1"/>
  <c r="I302" i="1"/>
  <c r="X302" i="1" s="1"/>
  <c r="H302" i="1" a="1"/>
  <c r="G302" i="1" a="1"/>
  <c r="L302" i="1" s="1"/>
  <c r="Q302" i="1" s="1"/>
  <c r="F302" i="1" a="1"/>
  <c r="E302" i="1"/>
  <c r="D302" i="1" a="1"/>
  <c r="C302" i="1" a="1"/>
  <c r="B302" i="1" a="1"/>
  <c r="T302" i="1" s="1"/>
  <c r="A302" i="1"/>
  <c r="Y301" i="1"/>
  <c r="W301" i="1" a="1"/>
  <c r="V301" i="1" a="1"/>
  <c r="U301" i="1"/>
  <c r="S301" i="1" a="1"/>
  <c r="R301" i="1" a="1"/>
  <c r="P301" i="1"/>
  <c r="O301" i="1"/>
  <c r="N301" i="1"/>
  <c r="M301" i="1"/>
  <c r="K301" i="1"/>
  <c r="J301" i="1"/>
  <c r="I301" i="1"/>
  <c r="X301" i="1" s="1"/>
  <c r="H301" i="1" a="1"/>
  <c r="G301" i="1" a="1"/>
  <c r="L301" i="1" s="1"/>
  <c r="Q301" i="1" s="1"/>
  <c r="F301" i="1" a="1"/>
  <c r="E301" i="1"/>
  <c r="D301" i="1" a="1"/>
  <c r="C301" i="1" a="1"/>
  <c r="B301" i="1" a="1"/>
  <c r="T301" i="1" s="1"/>
  <c r="A301" i="1"/>
  <c r="Y300" i="1"/>
  <c r="W300" i="1" a="1"/>
  <c r="V300" i="1" a="1"/>
  <c r="U300" i="1"/>
  <c r="S300" i="1" a="1"/>
  <c r="R300" i="1" a="1"/>
  <c r="P300" i="1"/>
  <c r="O300" i="1"/>
  <c r="N300" i="1"/>
  <c r="M300" i="1"/>
  <c r="K300" i="1"/>
  <c r="J300" i="1"/>
  <c r="I300" i="1"/>
  <c r="X300" i="1" s="1"/>
  <c r="H300" i="1" a="1"/>
  <c r="G300" i="1" a="1"/>
  <c r="L300" i="1" s="1"/>
  <c r="Q300" i="1" s="1"/>
  <c r="F300" i="1" a="1"/>
  <c r="E300" i="1"/>
  <c r="D300" i="1" a="1"/>
  <c r="C300" i="1" a="1"/>
  <c r="B300" i="1" a="1"/>
  <c r="T300" i="1" s="1"/>
  <c r="A300" i="1"/>
  <c r="Y299" i="1"/>
  <c r="W299" i="1" a="1"/>
  <c r="V299" i="1" a="1"/>
  <c r="U299" i="1"/>
  <c r="S299" i="1" a="1"/>
  <c r="R299" i="1" a="1"/>
  <c r="P299" i="1"/>
  <c r="O299" i="1"/>
  <c r="N299" i="1"/>
  <c r="M299" i="1"/>
  <c r="K299" i="1"/>
  <c r="I299" i="1"/>
  <c r="H299" i="1" a="1"/>
  <c r="G299" i="1" a="1"/>
  <c r="L299" i="1" s="1"/>
  <c r="Q299" i="1" s="1"/>
  <c r="F299" i="1" a="1"/>
  <c r="E299" i="1"/>
  <c r="D299" i="1" a="1"/>
  <c r="C299" i="1" a="1"/>
  <c r="B299" i="1" a="1"/>
  <c r="T299" i="1" s="1"/>
  <c r="A299" i="1"/>
  <c r="Y298" i="1"/>
  <c r="W298" i="1" a="1"/>
  <c r="V298" i="1" a="1"/>
  <c r="U298" i="1"/>
  <c r="S298" i="1" a="1"/>
  <c r="R298" i="1" a="1"/>
  <c r="P298" i="1"/>
  <c r="O298" i="1"/>
  <c r="N298" i="1"/>
  <c r="M298" i="1"/>
  <c r="K298" i="1"/>
  <c r="I298" i="1"/>
  <c r="H298" i="1" a="1"/>
  <c r="G298" i="1" a="1"/>
  <c r="L298" i="1" s="1"/>
  <c r="Q298" i="1" s="1"/>
  <c r="F298" i="1" a="1"/>
  <c r="E298" i="1"/>
  <c r="D298" i="1" a="1"/>
  <c r="C298" i="1" a="1"/>
  <c r="B298" i="1" a="1"/>
  <c r="T298" i="1" s="1"/>
  <c r="A298" i="1"/>
  <c r="Y297" i="1"/>
  <c r="W297" i="1" a="1"/>
  <c r="V297" i="1" a="1"/>
  <c r="U297" i="1"/>
  <c r="S297" i="1" a="1"/>
  <c r="R297" i="1" a="1"/>
  <c r="P297" i="1"/>
  <c r="O297" i="1"/>
  <c r="N297" i="1"/>
  <c r="M297" i="1"/>
  <c r="K297" i="1"/>
  <c r="J297" i="1"/>
  <c r="I297" i="1"/>
  <c r="X297" i="1" s="1"/>
  <c r="H297" i="1" a="1"/>
  <c r="G297" i="1" a="1"/>
  <c r="L297" i="1" s="1"/>
  <c r="Q297" i="1" s="1"/>
  <c r="F297" i="1" a="1"/>
  <c r="E297" i="1"/>
  <c r="D297" i="1" a="1"/>
  <c r="C297" i="1" a="1"/>
  <c r="B297" i="1" a="1"/>
  <c r="T297" i="1" s="1"/>
  <c r="A297" i="1"/>
  <c r="Y296" i="1"/>
  <c r="W296" i="1" a="1"/>
  <c r="V296" i="1" a="1"/>
  <c r="U296" i="1"/>
  <c r="S296" i="1" a="1"/>
  <c r="R296" i="1" a="1"/>
  <c r="P296" i="1"/>
  <c r="O296" i="1"/>
  <c r="N296" i="1"/>
  <c r="M296" i="1"/>
  <c r="K296" i="1"/>
  <c r="J296" i="1"/>
  <c r="I296" i="1"/>
  <c r="X296" i="1" s="1"/>
  <c r="H296" i="1" a="1"/>
  <c r="G296" i="1" a="1"/>
  <c r="L296" i="1" s="1"/>
  <c r="Q296" i="1" s="1"/>
  <c r="F296" i="1" a="1"/>
  <c r="E296" i="1"/>
  <c r="D296" i="1" a="1"/>
  <c r="C296" i="1" a="1"/>
  <c r="B296" i="1" a="1"/>
  <c r="T296" i="1" s="1"/>
  <c r="A296" i="1"/>
  <c r="Y295" i="1"/>
  <c r="W295" i="1" a="1"/>
  <c r="V295" i="1" a="1"/>
  <c r="U295" i="1"/>
  <c r="S295" i="1" a="1"/>
  <c r="R295" i="1" a="1"/>
  <c r="P295" i="1"/>
  <c r="O295" i="1"/>
  <c r="N295" i="1"/>
  <c r="M295" i="1"/>
  <c r="K295" i="1"/>
  <c r="J295" i="1"/>
  <c r="I295" i="1"/>
  <c r="X295" i="1" s="1"/>
  <c r="H295" i="1" a="1"/>
  <c r="G295" i="1" a="1"/>
  <c r="L295" i="1" s="1"/>
  <c r="Q295" i="1" s="1"/>
  <c r="F295" i="1" a="1"/>
  <c r="E295" i="1"/>
  <c r="D295" i="1" a="1"/>
  <c r="C295" i="1" a="1"/>
  <c r="B295" i="1" a="1"/>
  <c r="T295" i="1" s="1"/>
  <c r="A295" i="1"/>
  <c r="Y294" i="1"/>
  <c r="W294" i="1" a="1"/>
  <c r="V294" i="1" a="1"/>
  <c r="U294" i="1"/>
  <c r="S294" i="1" a="1"/>
  <c r="R294" i="1" a="1"/>
  <c r="P294" i="1"/>
  <c r="O294" i="1"/>
  <c r="N294" i="1"/>
  <c r="M294" i="1"/>
  <c r="K294" i="1"/>
  <c r="J294" i="1"/>
  <c r="I294" i="1"/>
  <c r="X294" i="1" s="1"/>
  <c r="H294" i="1" a="1"/>
  <c r="G294" i="1" a="1"/>
  <c r="L294" i="1" s="1"/>
  <c r="Q294" i="1" s="1"/>
  <c r="F294" i="1" a="1"/>
  <c r="E294" i="1"/>
  <c r="D294" i="1" a="1"/>
  <c r="C294" i="1" a="1"/>
  <c r="B294" i="1" a="1"/>
  <c r="T294" i="1" s="1"/>
  <c r="A294" i="1"/>
  <c r="Y293" i="1"/>
  <c r="W293" i="1" a="1"/>
  <c r="V293" i="1" a="1"/>
  <c r="U293" i="1"/>
  <c r="S293" i="1" a="1"/>
  <c r="R293" i="1" a="1"/>
  <c r="P293" i="1"/>
  <c r="O293" i="1"/>
  <c r="N293" i="1"/>
  <c r="M293" i="1"/>
  <c r="K293" i="1"/>
  <c r="I293" i="1"/>
  <c r="H293" i="1" a="1"/>
  <c r="G293" i="1" a="1"/>
  <c r="L293" i="1" s="1"/>
  <c r="Q293" i="1" s="1"/>
  <c r="F293" i="1" a="1"/>
  <c r="E293" i="1"/>
  <c r="D293" i="1" a="1"/>
  <c r="C293" i="1" a="1"/>
  <c r="B293" i="1" a="1"/>
  <c r="T293" i="1" s="1"/>
  <c r="A293" i="1"/>
  <c r="Y292" i="1"/>
  <c r="W292" i="1" a="1"/>
  <c r="V292" i="1" a="1"/>
  <c r="U292" i="1"/>
  <c r="S292" i="1" a="1"/>
  <c r="R292" i="1" a="1"/>
  <c r="P292" i="1"/>
  <c r="O292" i="1"/>
  <c r="N292" i="1"/>
  <c r="M292" i="1"/>
  <c r="K292" i="1"/>
  <c r="J292" i="1"/>
  <c r="I292" i="1"/>
  <c r="X292" i="1" s="1"/>
  <c r="H292" i="1" a="1"/>
  <c r="G292" i="1" a="1"/>
  <c r="L292" i="1" s="1"/>
  <c r="Q292" i="1" s="1"/>
  <c r="F292" i="1" a="1"/>
  <c r="E292" i="1"/>
  <c r="D292" i="1" a="1"/>
  <c r="C292" i="1" a="1"/>
  <c r="B292" i="1" a="1"/>
  <c r="T292" i="1" s="1"/>
  <c r="A292" i="1"/>
  <c r="Y291" i="1"/>
  <c r="W291" i="1" a="1"/>
  <c r="V291" i="1" a="1"/>
  <c r="U291" i="1"/>
  <c r="S291" i="1" a="1"/>
  <c r="R291" i="1" a="1"/>
  <c r="P291" i="1"/>
  <c r="O291" i="1"/>
  <c r="N291" i="1"/>
  <c r="M291" i="1"/>
  <c r="K291" i="1"/>
  <c r="J291" i="1"/>
  <c r="I291" i="1"/>
  <c r="X291" i="1" s="1"/>
  <c r="H291" i="1" a="1"/>
  <c r="G291" i="1" a="1"/>
  <c r="L291" i="1" s="1"/>
  <c r="Q291" i="1" s="1"/>
  <c r="F291" i="1" a="1"/>
  <c r="E291" i="1"/>
  <c r="D291" i="1" a="1"/>
  <c r="C291" i="1" a="1"/>
  <c r="B291" i="1" a="1"/>
  <c r="T291" i="1" s="1"/>
  <c r="A291" i="1"/>
  <c r="Y290" i="1"/>
  <c r="W290" i="1" a="1"/>
  <c r="V290" i="1" a="1"/>
  <c r="U290" i="1"/>
  <c r="S290" i="1" a="1"/>
  <c r="R290" i="1" a="1"/>
  <c r="P290" i="1"/>
  <c r="O290" i="1"/>
  <c r="N290" i="1"/>
  <c r="M290" i="1"/>
  <c r="K290" i="1"/>
  <c r="J290" i="1"/>
  <c r="I290" i="1"/>
  <c r="X290" i="1" s="1"/>
  <c r="H290" i="1" a="1"/>
  <c r="G290" i="1" a="1"/>
  <c r="L290" i="1" s="1"/>
  <c r="Q290" i="1" s="1"/>
  <c r="F290" i="1" a="1"/>
  <c r="E290" i="1"/>
  <c r="D290" i="1" a="1"/>
  <c r="C290" i="1" a="1"/>
  <c r="B290" i="1" a="1"/>
  <c r="T290" i="1" s="1"/>
  <c r="A290" i="1"/>
  <c r="Y289" i="1"/>
  <c r="W289" i="1" a="1"/>
  <c r="V289" i="1" a="1"/>
  <c r="U289" i="1"/>
  <c r="S289" i="1" a="1"/>
  <c r="R289" i="1" a="1"/>
  <c r="P289" i="1"/>
  <c r="O289" i="1"/>
  <c r="N289" i="1"/>
  <c r="M289" i="1"/>
  <c r="K289" i="1"/>
  <c r="J289" i="1"/>
  <c r="I289" i="1"/>
  <c r="X289" i="1" s="1"/>
  <c r="H289" i="1" a="1"/>
  <c r="G289" i="1" a="1"/>
  <c r="L289" i="1" s="1"/>
  <c r="Q289" i="1" s="1"/>
  <c r="F289" i="1" a="1"/>
  <c r="E289" i="1"/>
  <c r="D289" i="1" a="1"/>
  <c r="C289" i="1" a="1"/>
  <c r="B289" i="1" a="1"/>
  <c r="T289" i="1" s="1"/>
  <c r="A289" i="1"/>
  <c r="Y288" i="1"/>
  <c r="W288" i="1" a="1"/>
  <c r="V288" i="1" a="1"/>
  <c r="U288" i="1"/>
  <c r="S288" i="1" a="1"/>
  <c r="R288" i="1" a="1"/>
  <c r="P288" i="1"/>
  <c r="O288" i="1"/>
  <c r="N288" i="1"/>
  <c r="M288" i="1"/>
  <c r="K288" i="1"/>
  <c r="J288" i="1"/>
  <c r="I288" i="1"/>
  <c r="X288" i="1" s="1"/>
  <c r="H288" i="1" a="1"/>
  <c r="G288" i="1" a="1"/>
  <c r="L288" i="1" s="1"/>
  <c r="Q288" i="1" s="1"/>
  <c r="F288" i="1" a="1"/>
  <c r="E288" i="1"/>
  <c r="D288" i="1" a="1"/>
  <c r="C288" i="1" a="1"/>
  <c r="B288" i="1" a="1"/>
  <c r="T288" i="1" s="1"/>
  <c r="A288" i="1"/>
  <c r="Y287" i="1"/>
  <c r="W287" i="1" a="1"/>
  <c r="V287" i="1" a="1"/>
  <c r="U287" i="1"/>
  <c r="S287" i="1" a="1"/>
  <c r="R287" i="1" a="1"/>
  <c r="P287" i="1"/>
  <c r="O287" i="1"/>
  <c r="N287" i="1"/>
  <c r="M287" i="1"/>
  <c r="K287" i="1"/>
  <c r="J287" i="1"/>
  <c r="I287" i="1"/>
  <c r="X287" i="1" s="1"/>
  <c r="H287" i="1" a="1"/>
  <c r="G287" i="1" a="1"/>
  <c r="L287" i="1" s="1"/>
  <c r="Q287" i="1" s="1"/>
  <c r="F287" i="1" a="1"/>
  <c r="E287" i="1"/>
  <c r="D287" i="1" a="1"/>
  <c r="C287" i="1" a="1"/>
  <c r="B287" i="1" a="1"/>
  <c r="T287" i="1" s="1"/>
  <c r="A287" i="1"/>
  <c r="Y286" i="1"/>
  <c r="W286" i="1" a="1"/>
  <c r="V286" i="1" a="1"/>
  <c r="U286" i="1"/>
  <c r="S286" i="1" a="1"/>
  <c r="R286" i="1" a="1"/>
  <c r="P286" i="1"/>
  <c r="O286" i="1"/>
  <c r="N286" i="1"/>
  <c r="M286" i="1"/>
  <c r="K286" i="1"/>
  <c r="I286" i="1"/>
  <c r="H286" i="1" a="1"/>
  <c r="G286" i="1" a="1"/>
  <c r="L286" i="1" s="1"/>
  <c r="Q286" i="1" s="1"/>
  <c r="F286" i="1" a="1"/>
  <c r="E286" i="1"/>
  <c r="D286" i="1" a="1"/>
  <c r="C286" i="1" a="1"/>
  <c r="B286" i="1" a="1"/>
  <c r="T286" i="1" s="1"/>
  <c r="A286" i="1"/>
  <c r="Y285" i="1"/>
  <c r="W285" i="1" a="1"/>
  <c r="V285" i="1" a="1"/>
  <c r="U285" i="1"/>
  <c r="S285" i="1" a="1"/>
  <c r="R285" i="1" a="1"/>
  <c r="P285" i="1"/>
  <c r="O285" i="1"/>
  <c r="N285" i="1"/>
  <c r="M285" i="1"/>
  <c r="K285" i="1"/>
  <c r="J285" i="1"/>
  <c r="I285" i="1"/>
  <c r="X285" i="1" s="1"/>
  <c r="H285" i="1" a="1"/>
  <c r="G285" i="1" a="1"/>
  <c r="L285" i="1" s="1"/>
  <c r="Q285" i="1" s="1"/>
  <c r="F285" i="1" a="1"/>
  <c r="E285" i="1"/>
  <c r="D285" i="1" a="1"/>
  <c r="C285" i="1" a="1"/>
  <c r="B285" i="1" a="1"/>
  <c r="T285" i="1" s="1"/>
  <c r="A285" i="1"/>
  <c r="Y284" i="1"/>
  <c r="W284" i="1" a="1"/>
  <c r="V284" i="1" a="1"/>
  <c r="U284" i="1"/>
  <c r="S284" i="1" a="1"/>
  <c r="R284" i="1" a="1"/>
  <c r="P284" i="1"/>
  <c r="O284" i="1"/>
  <c r="N284" i="1"/>
  <c r="M284" i="1"/>
  <c r="K284" i="1"/>
  <c r="J284" i="1"/>
  <c r="I284" i="1"/>
  <c r="X284" i="1" s="1"/>
  <c r="H284" i="1" a="1"/>
  <c r="G284" i="1" a="1"/>
  <c r="L284" i="1" s="1"/>
  <c r="Q284" i="1" s="1"/>
  <c r="F284" i="1" a="1"/>
  <c r="E284" i="1"/>
  <c r="D284" i="1" a="1"/>
  <c r="C284" i="1" a="1"/>
  <c r="B284" i="1" a="1"/>
  <c r="T284" i="1" s="1"/>
  <c r="A284" i="1"/>
  <c r="Y283" i="1"/>
  <c r="W283" i="1" a="1"/>
  <c r="V283" i="1" a="1"/>
  <c r="U283" i="1"/>
  <c r="S283" i="1" a="1"/>
  <c r="R283" i="1" a="1"/>
  <c r="P283" i="1"/>
  <c r="O283" i="1"/>
  <c r="N283" i="1"/>
  <c r="M283" i="1"/>
  <c r="K283" i="1"/>
  <c r="J283" i="1"/>
  <c r="I283" i="1"/>
  <c r="X283" i="1" s="1"/>
  <c r="H283" i="1" a="1"/>
  <c r="G283" i="1" a="1"/>
  <c r="L283" i="1" s="1"/>
  <c r="Q283" i="1" s="1"/>
  <c r="F283" i="1" a="1"/>
  <c r="E283" i="1"/>
  <c r="D283" i="1" a="1"/>
  <c r="C283" i="1" a="1"/>
  <c r="B283" i="1" a="1"/>
  <c r="T283" i="1" s="1"/>
  <c r="A283" i="1"/>
  <c r="Y282" i="1"/>
  <c r="W282" i="1" a="1"/>
  <c r="V282" i="1" a="1"/>
  <c r="U282" i="1"/>
  <c r="S282" i="1" a="1"/>
  <c r="R282" i="1" a="1"/>
  <c r="P282" i="1"/>
  <c r="O282" i="1"/>
  <c r="N282" i="1"/>
  <c r="M282" i="1"/>
  <c r="K282" i="1"/>
  <c r="J282" i="1"/>
  <c r="I282" i="1"/>
  <c r="X282" i="1" s="1"/>
  <c r="H282" i="1" a="1"/>
  <c r="G282" i="1" a="1"/>
  <c r="L282" i="1" s="1"/>
  <c r="Q282" i="1" s="1"/>
  <c r="F282" i="1" a="1"/>
  <c r="E282" i="1"/>
  <c r="D282" i="1" a="1"/>
  <c r="C282" i="1" a="1"/>
  <c r="B282" i="1" a="1"/>
  <c r="T282" i="1" s="1"/>
  <c r="A282" i="1"/>
  <c r="Y281" i="1"/>
  <c r="W281" i="1" a="1"/>
  <c r="V281" i="1" a="1"/>
  <c r="U281" i="1"/>
  <c r="S281" i="1" a="1"/>
  <c r="R281" i="1" a="1"/>
  <c r="P281" i="1"/>
  <c r="O281" i="1"/>
  <c r="N281" i="1"/>
  <c r="M281" i="1"/>
  <c r="K281" i="1"/>
  <c r="J281" i="1"/>
  <c r="I281" i="1"/>
  <c r="X281" i="1" s="1"/>
  <c r="H281" i="1" a="1"/>
  <c r="G281" i="1" a="1"/>
  <c r="L281" i="1" s="1"/>
  <c r="Q281" i="1" s="1"/>
  <c r="F281" i="1" a="1"/>
  <c r="E281" i="1"/>
  <c r="D281" i="1" a="1"/>
  <c r="C281" i="1" a="1"/>
  <c r="B281" i="1" a="1"/>
  <c r="T281" i="1" s="1"/>
  <c r="A281" i="1"/>
  <c r="Y280" i="1"/>
  <c r="W280" i="1" a="1"/>
  <c r="V280" i="1" a="1"/>
  <c r="U280" i="1"/>
  <c r="S280" i="1" a="1"/>
  <c r="R280" i="1" a="1"/>
  <c r="P280" i="1"/>
  <c r="O280" i="1"/>
  <c r="N280" i="1"/>
  <c r="M280" i="1"/>
  <c r="K280" i="1"/>
  <c r="J280" i="1"/>
  <c r="I280" i="1"/>
  <c r="X280" i="1" s="1"/>
  <c r="H280" i="1" a="1"/>
  <c r="G280" i="1" a="1"/>
  <c r="L280" i="1" s="1"/>
  <c r="Q280" i="1" s="1"/>
  <c r="F280" i="1" a="1"/>
  <c r="E280" i="1"/>
  <c r="D280" i="1" a="1"/>
  <c r="C280" i="1" a="1"/>
  <c r="B280" i="1" a="1"/>
  <c r="T280" i="1" s="1"/>
  <c r="A280" i="1"/>
  <c r="Y279" i="1"/>
  <c r="W279" i="1" a="1"/>
  <c r="V279" i="1" a="1"/>
  <c r="U279" i="1"/>
  <c r="S279" i="1" a="1"/>
  <c r="R279" i="1" a="1"/>
  <c r="P279" i="1"/>
  <c r="O279" i="1"/>
  <c r="N279" i="1"/>
  <c r="M279" i="1"/>
  <c r="K279" i="1"/>
  <c r="J279" i="1"/>
  <c r="I279" i="1"/>
  <c r="X279" i="1" s="1"/>
  <c r="H279" i="1" a="1"/>
  <c r="G279" i="1" a="1"/>
  <c r="L279" i="1" s="1"/>
  <c r="Q279" i="1" s="1"/>
  <c r="F279" i="1" a="1"/>
  <c r="E279" i="1"/>
  <c r="D279" i="1" a="1"/>
  <c r="C279" i="1" a="1"/>
  <c r="B279" i="1" a="1"/>
  <c r="T279" i="1" s="1"/>
  <c r="A279" i="1"/>
  <c r="Y278" i="1"/>
  <c r="W278" i="1" a="1"/>
  <c r="V278" i="1" a="1"/>
  <c r="U278" i="1"/>
  <c r="S278" i="1" a="1"/>
  <c r="R278" i="1" a="1"/>
  <c r="P278" i="1"/>
  <c r="O278" i="1"/>
  <c r="N278" i="1"/>
  <c r="M278" i="1"/>
  <c r="K278" i="1"/>
  <c r="J278" i="1"/>
  <c r="I278" i="1"/>
  <c r="X278" i="1" s="1"/>
  <c r="H278" i="1" a="1"/>
  <c r="G278" i="1" a="1"/>
  <c r="L278" i="1" s="1"/>
  <c r="Q278" i="1" s="1"/>
  <c r="F278" i="1" a="1"/>
  <c r="E278" i="1"/>
  <c r="D278" i="1" a="1"/>
  <c r="C278" i="1" a="1"/>
  <c r="B278" i="1" a="1"/>
  <c r="T278" i="1" s="1"/>
  <c r="A278" i="1"/>
  <c r="Y277" i="1"/>
  <c r="W277" i="1" a="1"/>
  <c r="V277" i="1" a="1"/>
  <c r="U277" i="1"/>
  <c r="S277" i="1" a="1"/>
  <c r="R277" i="1" a="1"/>
  <c r="P277" i="1"/>
  <c r="O277" i="1"/>
  <c r="N277" i="1"/>
  <c r="M277" i="1"/>
  <c r="K277" i="1"/>
  <c r="I277" i="1"/>
  <c r="H277" i="1" a="1"/>
  <c r="G277" i="1" a="1"/>
  <c r="L277" i="1" s="1"/>
  <c r="Q277" i="1" s="1"/>
  <c r="F277" i="1" a="1"/>
  <c r="E277" i="1"/>
  <c r="D277" i="1" a="1"/>
  <c r="C277" i="1" a="1"/>
  <c r="B277" i="1" a="1"/>
  <c r="T277" i="1" s="1"/>
  <c r="A277" i="1"/>
  <c r="Y276" i="1"/>
  <c r="W276" i="1" a="1"/>
  <c r="V276" i="1" a="1"/>
  <c r="U276" i="1"/>
  <c r="S276" i="1" a="1"/>
  <c r="R276" i="1" a="1"/>
  <c r="P276" i="1"/>
  <c r="O276" i="1"/>
  <c r="N276" i="1"/>
  <c r="M276" i="1"/>
  <c r="K276" i="1"/>
  <c r="I276" i="1"/>
  <c r="H276" i="1" a="1"/>
  <c r="G276" i="1" a="1"/>
  <c r="L276" i="1" s="1"/>
  <c r="Q276" i="1" s="1"/>
  <c r="F276" i="1" a="1"/>
  <c r="E276" i="1"/>
  <c r="D276" i="1" a="1"/>
  <c r="C276" i="1" a="1"/>
  <c r="B276" i="1" a="1"/>
  <c r="T276" i="1" s="1"/>
  <c r="A276" i="1"/>
  <c r="Y275" i="1"/>
  <c r="W275" i="1" a="1"/>
  <c r="V275" i="1" a="1"/>
  <c r="U275" i="1"/>
  <c r="S275" i="1" a="1"/>
  <c r="R275" i="1" a="1"/>
  <c r="P275" i="1"/>
  <c r="O275" i="1"/>
  <c r="N275" i="1"/>
  <c r="M275" i="1"/>
  <c r="K275" i="1"/>
  <c r="I275" i="1"/>
  <c r="H275" i="1" a="1"/>
  <c r="G275" i="1" a="1"/>
  <c r="L275" i="1" s="1"/>
  <c r="Q275" i="1" s="1"/>
  <c r="F275" i="1" a="1"/>
  <c r="E275" i="1"/>
  <c r="D275" i="1" a="1"/>
  <c r="C275" i="1" a="1"/>
  <c r="B275" i="1" a="1"/>
  <c r="T275" i="1" s="1"/>
  <c r="A275" i="1"/>
  <c r="Y274" i="1"/>
  <c r="W274" i="1" a="1"/>
  <c r="V274" i="1" a="1"/>
  <c r="U274" i="1"/>
  <c r="S274" i="1" a="1"/>
  <c r="R274" i="1" a="1"/>
  <c r="P274" i="1"/>
  <c r="O274" i="1"/>
  <c r="N274" i="1"/>
  <c r="M274" i="1"/>
  <c r="K274" i="1"/>
  <c r="J274" i="1"/>
  <c r="I274" i="1"/>
  <c r="X274" i="1" s="1"/>
  <c r="H274" i="1" a="1"/>
  <c r="G274" i="1" a="1"/>
  <c r="L274" i="1" s="1"/>
  <c r="Q274" i="1" s="1"/>
  <c r="F274" i="1" a="1"/>
  <c r="E274" i="1"/>
  <c r="D274" i="1" a="1"/>
  <c r="C274" i="1" a="1"/>
  <c r="B274" i="1" a="1"/>
  <c r="T274" i="1" s="1"/>
  <c r="A274" i="1"/>
  <c r="Y273" i="1"/>
  <c r="W273" i="1" a="1"/>
  <c r="V273" i="1" a="1"/>
  <c r="U273" i="1"/>
  <c r="S273" i="1" a="1"/>
  <c r="R273" i="1" a="1"/>
  <c r="P273" i="1"/>
  <c r="O273" i="1"/>
  <c r="N273" i="1"/>
  <c r="M273" i="1"/>
  <c r="K273" i="1"/>
  <c r="J273" i="1"/>
  <c r="I273" i="1"/>
  <c r="X273" i="1" s="1"/>
  <c r="H273" i="1" a="1"/>
  <c r="G273" i="1" a="1"/>
  <c r="L273" i="1" s="1"/>
  <c r="Q273" i="1" s="1"/>
  <c r="F273" i="1" a="1"/>
  <c r="E273" i="1"/>
  <c r="D273" i="1" a="1"/>
  <c r="C273" i="1" a="1"/>
  <c r="B273" i="1" a="1"/>
  <c r="T273" i="1" s="1"/>
  <c r="A273" i="1"/>
  <c r="Y272" i="1"/>
  <c r="W272" i="1" a="1"/>
  <c r="V272" i="1" a="1"/>
  <c r="U272" i="1"/>
  <c r="S272" i="1" a="1"/>
  <c r="R272" i="1" a="1"/>
  <c r="P272" i="1"/>
  <c r="O272" i="1"/>
  <c r="N272" i="1"/>
  <c r="M272" i="1"/>
  <c r="K272" i="1"/>
  <c r="J272" i="1"/>
  <c r="I272" i="1"/>
  <c r="X272" i="1" s="1"/>
  <c r="H272" i="1" a="1"/>
  <c r="G272" i="1" a="1"/>
  <c r="L272" i="1" s="1"/>
  <c r="Q272" i="1" s="1"/>
  <c r="F272" i="1" a="1"/>
  <c r="E272" i="1"/>
  <c r="D272" i="1" a="1"/>
  <c r="C272" i="1" a="1"/>
  <c r="B272" i="1" a="1"/>
  <c r="T272" i="1" s="1"/>
  <c r="A272" i="1"/>
  <c r="Y271" i="1"/>
  <c r="W271" i="1" a="1"/>
  <c r="V271" i="1" a="1"/>
  <c r="U271" i="1"/>
  <c r="S271" i="1" a="1"/>
  <c r="R271" i="1" a="1"/>
  <c r="P271" i="1"/>
  <c r="O271" i="1"/>
  <c r="N271" i="1"/>
  <c r="M271" i="1"/>
  <c r="K271" i="1"/>
  <c r="I271" i="1"/>
  <c r="H271" i="1" a="1"/>
  <c r="G271" i="1" a="1"/>
  <c r="L271" i="1" s="1"/>
  <c r="Q271" i="1" s="1"/>
  <c r="F271" i="1" a="1"/>
  <c r="E271" i="1"/>
  <c r="D271" i="1" a="1"/>
  <c r="C271" i="1" a="1"/>
  <c r="B271" i="1" a="1"/>
  <c r="T271" i="1" s="1"/>
  <c r="A271" i="1"/>
  <c r="Y270" i="1"/>
  <c r="W270" i="1" a="1"/>
  <c r="V270" i="1" a="1"/>
  <c r="U270" i="1"/>
  <c r="S270" i="1" a="1"/>
  <c r="R270" i="1" a="1"/>
  <c r="P270" i="1"/>
  <c r="O270" i="1"/>
  <c r="N270" i="1"/>
  <c r="M270" i="1"/>
  <c r="K270" i="1"/>
  <c r="I270" i="1"/>
  <c r="H270" i="1" a="1"/>
  <c r="G270" i="1" a="1"/>
  <c r="L270" i="1" s="1"/>
  <c r="Q270" i="1" s="1"/>
  <c r="F270" i="1" a="1"/>
  <c r="E270" i="1"/>
  <c r="D270" i="1" a="1"/>
  <c r="C270" i="1" a="1"/>
  <c r="B270" i="1" a="1"/>
  <c r="T270" i="1" s="1"/>
  <c r="A270" i="1"/>
  <c r="Y269" i="1"/>
  <c r="W269" i="1" a="1"/>
  <c r="V269" i="1" a="1"/>
  <c r="U269" i="1"/>
  <c r="S269" i="1" a="1"/>
  <c r="R269" i="1" a="1"/>
  <c r="P269" i="1"/>
  <c r="O269" i="1"/>
  <c r="N269" i="1"/>
  <c r="M269" i="1"/>
  <c r="K269" i="1"/>
  <c r="J269" i="1"/>
  <c r="I269" i="1"/>
  <c r="X269" i="1" s="1"/>
  <c r="H269" i="1" a="1"/>
  <c r="G269" i="1" a="1"/>
  <c r="L269" i="1" s="1"/>
  <c r="Q269" i="1" s="1"/>
  <c r="F269" i="1" a="1"/>
  <c r="E269" i="1"/>
  <c r="D269" i="1" a="1"/>
  <c r="C269" i="1" a="1"/>
  <c r="B269" i="1" a="1"/>
  <c r="T269" i="1" s="1"/>
  <c r="A269" i="1"/>
  <c r="Y268" i="1"/>
  <c r="W268" i="1" a="1"/>
  <c r="V268" i="1" a="1"/>
  <c r="U268" i="1"/>
  <c r="S268" i="1" a="1"/>
  <c r="R268" i="1" a="1"/>
  <c r="P268" i="1"/>
  <c r="O268" i="1"/>
  <c r="N268" i="1"/>
  <c r="M268" i="1"/>
  <c r="K268" i="1"/>
  <c r="J268" i="1"/>
  <c r="I268" i="1"/>
  <c r="X268" i="1" s="1"/>
  <c r="H268" i="1" a="1"/>
  <c r="G268" i="1" a="1"/>
  <c r="L268" i="1" s="1"/>
  <c r="Q268" i="1" s="1"/>
  <c r="F268" i="1" a="1"/>
  <c r="E268" i="1"/>
  <c r="D268" i="1" a="1"/>
  <c r="C268" i="1" a="1"/>
  <c r="B268" i="1" a="1"/>
  <c r="T268" i="1" s="1"/>
  <c r="A268" i="1"/>
  <c r="Y267" i="1"/>
  <c r="W267" i="1" a="1"/>
  <c r="V267" i="1" a="1"/>
  <c r="U267" i="1"/>
  <c r="S267" i="1" a="1"/>
  <c r="R267" i="1" a="1"/>
  <c r="P267" i="1"/>
  <c r="O267" i="1"/>
  <c r="N267" i="1"/>
  <c r="M267" i="1"/>
  <c r="K267" i="1"/>
  <c r="I267" i="1"/>
  <c r="H267" i="1" a="1"/>
  <c r="G267" i="1" a="1"/>
  <c r="L267" i="1" s="1"/>
  <c r="Q267" i="1" s="1"/>
  <c r="F267" i="1" a="1"/>
  <c r="E267" i="1"/>
  <c r="D267" i="1" a="1"/>
  <c r="C267" i="1" a="1"/>
  <c r="B267" i="1" a="1"/>
  <c r="T267" i="1" s="1"/>
  <c r="A267" i="1"/>
  <c r="Y266" i="1"/>
  <c r="W266" i="1" a="1"/>
  <c r="V266" i="1" a="1"/>
  <c r="U266" i="1"/>
  <c r="S266" i="1" a="1"/>
  <c r="R266" i="1" a="1"/>
  <c r="P266" i="1"/>
  <c r="O266" i="1"/>
  <c r="N266" i="1"/>
  <c r="M266" i="1"/>
  <c r="K266" i="1"/>
  <c r="I266" i="1"/>
  <c r="H266" i="1" a="1"/>
  <c r="G266" i="1" a="1"/>
  <c r="L266" i="1" s="1"/>
  <c r="Q266" i="1" s="1"/>
  <c r="F266" i="1" a="1"/>
  <c r="E266" i="1"/>
  <c r="D266" i="1" a="1"/>
  <c r="C266" i="1" a="1"/>
  <c r="B266" i="1" a="1"/>
  <c r="T266" i="1" s="1"/>
  <c r="A266" i="1"/>
  <c r="Y265" i="1"/>
  <c r="W265" i="1" a="1"/>
  <c r="V265" i="1" a="1"/>
  <c r="U265" i="1"/>
  <c r="S265" i="1" a="1"/>
  <c r="R265" i="1" a="1"/>
  <c r="P265" i="1"/>
  <c r="O265" i="1"/>
  <c r="N265" i="1"/>
  <c r="M265" i="1"/>
  <c r="K265" i="1"/>
  <c r="J265" i="1"/>
  <c r="I265" i="1"/>
  <c r="X265" i="1" s="1"/>
  <c r="H265" i="1" a="1"/>
  <c r="G265" i="1" a="1"/>
  <c r="L265" i="1" s="1"/>
  <c r="Q265" i="1" s="1"/>
  <c r="F265" i="1" a="1"/>
  <c r="E265" i="1"/>
  <c r="D265" i="1" a="1"/>
  <c r="C265" i="1" a="1"/>
  <c r="B265" i="1" a="1"/>
  <c r="T265" i="1" s="1"/>
  <c r="A265" i="1"/>
  <c r="Y264" i="1"/>
  <c r="W264" i="1" a="1"/>
  <c r="V264" i="1" a="1"/>
  <c r="U264" i="1"/>
  <c r="S264" i="1" a="1"/>
  <c r="R264" i="1" a="1"/>
  <c r="P264" i="1"/>
  <c r="O264" i="1"/>
  <c r="N264" i="1"/>
  <c r="M264" i="1"/>
  <c r="K264" i="1"/>
  <c r="I264" i="1"/>
  <c r="H264" i="1" a="1"/>
  <c r="G264" i="1" a="1"/>
  <c r="L264" i="1" s="1"/>
  <c r="Q264" i="1" s="1"/>
  <c r="F264" i="1" a="1"/>
  <c r="E264" i="1"/>
  <c r="D264" i="1" a="1"/>
  <c r="C264" i="1" a="1"/>
  <c r="B264" i="1" a="1"/>
  <c r="T264" i="1" s="1"/>
  <c r="A264" i="1"/>
  <c r="Y263" i="1"/>
  <c r="W263" i="1" a="1"/>
  <c r="V263" i="1" a="1"/>
  <c r="U263" i="1"/>
  <c r="S263" i="1" a="1"/>
  <c r="R263" i="1" a="1"/>
  <c r="P263" i="1"/>
  <c r="O263" i="1"/>
  <c r="N263" i="1"/>
  <c r="M263" i="1"/>
  <c r="K263" i="1"/>
  <c r="I263" i="1"/>
  <c r="H263" i="1" a="1"/>
  <c r="G263" i="1" a="1"/>
  <c r="L263" i="1" s="1"/>
  <c r="Q263" i="1" s="1"/>
  <c r="F263" i="1" a="1"/>
  <c r="E263" i="1"/>
  <c r="D263" i="1" a="1"/>
  <c r="C263" i="1" a="1"/>
  <c r="B263" i="1" a="1"/>
  <c r="T263" i="1" s="1"/>
  <c r="A263" i="1"/>
  <c r="Y262" i="1"/>
  <c r="W262" i="1" a="1"/>
  <c r="V262" i="1" a="1"/>
  <c r="U262" i="1"/>
  <c r="S262" i="1" a="1"/>
  <c r="R262" i="1" a="1"/>
  <c r="P262" i="1"/>
  <c r="O262" i="1"/>
  <c r="N262" i="1"/>
  <c r="M262" i="1"/>
  <c r="K262" i="1"/>
  <c r="J262" i="1"/>
  <c r="I262" i="1"/>
  <c r="X262" i="1" s="1"/>
  <c r="H262" i="1" a="1"/>
  <c r="G262" i="1" a="1"/>
  <c r="L262" i="1" s="1"/>
  <c r="Q262" i="1" s="1"/>
  <c r="F262" i="1" a="1"/>
  <c r="E262" i="1"/>
  <c r="D262" i="1" a="1"/>
  <c r="C262" i="1" a="1"/>
  <c r="B262" i="1" a="1"/>
  <c r="T262" i="1" s="1"/>
  <c r="A262" i="1"/>
  <c r="Y261" i="1"/>
  <c r="W261" i="1" a="1"/>
  <c r="V261" i="1" a="1"/>
  <c r="U261" i="1"/>
  <c r="S261" i="1" a="1"/>
  <c r="R261" i="1" a="1"/>
  <c r="P261" i="1"/>
  <c r="O261" i="1"/>
  <c r="N261" i="1"/>
  <c r="M261" i="1"/>
  <c r="K261" i="1"/>
  <c r="J261" i="1"/>
  <c r="I261" i="1"/>
  <c r="X261" i="1" s="1"/>
  <c r="H261" i="1" a="1"/>
  <c r="G261" i="1" a="1"/>
  <c r="L261" i="1" s="1"/>
  <c r="Q261" i="1" s="1"/>
  <c r="F261" i="1" a="1"/>
  <c r="E261" i="1"/>
  <c r="D261" i="1" a="1"/>
  <c r="C261" i="1" a="1"/>
  <c r="B261" i="1" a="1"/>
  <c r="T261" i="1" s="1"/>
  <c r="A261" i="1"/>
  <c r="Y260" i="1"/>
  <c r="W260" i="1" a="1"/>
  <c r="V260" i="1" a="1"/>
  <c r="U260" i="1"/>
  <c r="S260" i="1" a="1"/>
  <c r="R260" i="1" a="1"/>
  <c r="P260" i="1"/>
  <c r="O260" i="1"/>
  <c r="N260" i="1"/>
  <c r="M260" i="1"/>
  <c r="K260" i="1"/>
  <c r="J260" i="1"/>
  <c r="I260" i="1"/>
  <c r="X260" i="1" s="1"/>
  <c r="H260" i="1" a="1"/>
  <c r="G260" i="1" a="1"/>
  <c r="L260" i="1" s="1"/>
  <c r="Q260" i="1" s="1"/>
  <c r="F260" i="1" a="1"/>
  <c r="E260" i="1"/>
  <c r="D260" i="1" a="1"/>
  <c r="C260" i="1" a="1"/>
  <c r="B260" i="1" a="1"/>
  <c r="T260" i="1" s="1"/>
  <c r="A260" i="1"/>
  <c r="Y259" i="1"/>
  <c r="W259" i="1" a="1"/>
  <c r="V259" i="1" a="1"/>
  <c r="U259" i="1"/>
  <c r="S259" i="1" a="1"/>
  <c r="R259" i="1" a="1"/>
  <c r="P259" i="1"/>
  <c r="O259" i="1"/>
  <c r="N259" i="1"/>
  <c r="M259" i="1"/>
  <c r="K259" i="1"/>
  <c r="I259" i="1"/>
  <c r="H259" i="1" a="1"/>
  <c r="G259" i="1" a="1"/>
  <c r="L259" i="1" s="1"/>
  <c r="Q259" i="1" s="1"/>
  <c r="F259" i="1" a="1"/>
  <c r="E259" i="1"/>
  <c r="D259" i="1" a="1"/>
  <c r="C259" i="1" a="1"/>
  <c r="B259" i="1" a="1"/>
  <c r="T259" i="1" s="1"/>
  <c r="A259" i="1"/>
  <c r="Y258" i="1"/>
  <c r="W258" i="1" a="1"/>
  <c r="V258" i="1" a="1"/>
  <c r="U258" i="1"/>
  <c r="S258" i="1" a="1"/>
  <c r="R258" i="1" a="1"/>
  <c r="P258" i="1"/>
  <c r="O258" i="1"/>
  <c r="N258" i="1"/>
  <c r="M258" i="1"/>
  <c r="K258" i="1"/>
  <c r="J258" i="1" s="1"/>
  <c r="I258" i="1"/>
  <c r="X258" i="1" s="1"/>
  <c r="H258" i="1" a="1"/>
  <c r="G258" i="1" a="1"/>
  <c r="L258" i="1" s="1"/>
  <c r="Q258" i="1" s="1"/>
  <c r="F258" i="1" a="1"/>
  <c r="E258" i="1"/>
  <c r="D258" i="1" a="1"/>
  <c r="C258" i="1" a="1"/>
  <c r="B258" i="1" a="1"/>
  <c r="T258" i="1" s="1"/>
  <c r="A258" i="1"/>
  <c r="Y257" i="1"/>
  <c r="W257" i="1" a="1"/>
  <c r="V257" i="1" a="1"/>
  <c r="U257" i="1"/>
  <c r="S257" i="1" a="1"/>
  <c r="R257" i="1" a="1"/>
  <c r="P257" i="1"/>
  <c r="O257" i="1"/>
  <c r="N257" i="1"/>
  <c r="M257" i="1"/>
  <c r="K257" i="1"/>
  <c r="I257" i="1"/>
  <c r="H257" i="1" a="1"/>
  <c r="G257" i="1" a="1"/>
  <c r="L257" i="1" s="1"/>
  <c r="Q257" i="1" s="1"/>
  <c r="F257" i="1" a="1"/>
  <c r="E257" i="1"/>
  <c r="D257" i="1" a="1"/>
  <c r="C257" i="1" a="1"/>
  <c r="B257" i="1" a="1"/>
  <c r="T257" i="1" s="1"/>
  <c r="A257" i="1"/>
  <c r="Y256" i="1"/>
  <c r="W256" i="1" a="1"/>
  <c r="V256" i="1" a="1"/>
  <c r="U256" i="1"/>
  <c r="S256" i="1" a="1"/>
  <c r="R256" i="1" a="1"/>
  <c r="P256" i="1"/>
  <c r="O256" i="1"/>
  <c r="N256" i="1"/>
  <c r="M256" i="1"/>
  <c r="K256" i="1"/>
  <c r="J256" i="1"/>
  <c r="I256" i="1"/>
  <c r="X256" i="1" s="1"/>
  <c r="H256" i="1" a="1"/>
  <c r="G256" i="1" a="1"/>
  <c r="L256" i="1" s="1"/>
  <c r="Q256" i="1" s="1"/>
  <c r="F256" i="1" a="1"/>
  <c r="E256" i="1"/>
  <c r="D256" i="1" a="1"/>
  <c r="C256" i="1" a="1"/>
  <c r="B256" i="1" a="1"/>
  <c r="T256" i="1" s="1"/>
  <c r="A256" i="1"/>
  <c r="Y255" i="1"/>
  <c r="W255" i="1" a="1"/>
  <c r="V255" i="1" a="1"/>
  <c r="U255" i="1"/>
  <c r="S255" i="1" a="1"/>
  <c r="R255" i="1" a="1"/>
  <c r="P255" i="1"/>
  <c r="O255" i="1"/>
  <c r="N255" i="1"/>
  <c r="M255" i="1"/>
  <c r="K255" i="1"/>
  <c r="J255" i="1"/>
  <c r="I255" i="1"/>
  <c r="X255" i="1" s="1"/>
  <c r="H255" i="1" a="1"/>
  <c r="G255" i="1" a="1"/>
  <c r="L255" i="1" s="1"/>
  <c r="Q255" i="1" s="1"/>
  <c r="F255" i="1" a="1"/>
  <c r="E255" i="1"/>
  <c r="D255" i="1" a="1"/>
  <c r="C255" i="1" a="1"/>
  <c r="B255" i="1" a="1"/>
  <c r="T255" i="1" s="1"/>
  <c r="A255" i="1"/>
  <c r="Y254" i="1"/>
  <c r="W254" i="1" a="1"/>
  <c r="V254" i="1" a="1"/>
  <c r="U254" i="1"/>
  <c r="S254" i="1" a="1"/>
  <c r="R254" i="1" a="1"/>
  <c r="P254" i="1"/>
  <c r="O254" i="1"/>
  <c r="N254" i="1"/>
  <c r="M254" i="1"/>
  <c r="K254" i="1"/>
  <c r="I254" i="1"/>
  <c r="H254" i="1" a="1"/>
  <c r="G254" i="1" a="1"/>
  <c r="L254" i="1" s="1"/>
  <c r="Q254" i="1" s="1"/>
  <c r="F254" i="1" a="1"/>
  <c r="E254" i="1"/>
  <c r="D254" i="1" a="1"/>
  <c r="C254" i="1" a="1"/>
  <c r="B254" i="1" a="1"/>
  <c r="T254" i="1" s="1"/>
  <c r="A254" i="1"/>
  <c r="Y253" i="1"/>
  <c r="W253" i="1" a="1"/>
  <c r="V253" i="1" a="1"/>
  <c r="U253" i="1"/>
  <c r="S253" i="1" a="1"/>
  <c r="R253" i="1" a="1"/>
  <c r="P253" i="1"/>
  <c r="O253" i="1"/>
  <c r="N253" i="1"/>
  <c r="M253" i="1"/>
  <c r="K253" i="1"/>
  <c r="J253" i="1"/>
  <c r="I253" i="1"/>
  <c r="X253" i="1" s="1"/>
  <c r="H253" i="1" a="1"/>
  <c r="G253" i="1" a="1"/>
  <c r="L253" i="1" s="1"/>
  <c r="Q253" i="1" s="1"/>
  <c r="F253" i="1" a="1"/>
  <c r="E253" i="1"/>
  <c r="D253" i="1" a="1"/>
  <c r="C253" i="1" a="1"/>
  <c r="B253" i="1" a="1"/>
  <c r="T253" i="1" s="1"/>
  <c r="A253" i="1"/>
  <c r="Y252" i="1"/>
  <c r="W252" i="1" a="1"/>
  <c r="V252" i="1" a="1"/>
  <c r="U252" i="1"/>
  <c r="S252" i="1" a="1"/>
  <c r="R252" i="1" a="1"/>
  <c r="P252" i="1"/>
  <c r="O252" i="1"/>
  <c r="N252" i="1"/>
  <c r="M252" i="1"/>
  <c r="K252" i="1"/>
  <c r="J252" i="1"/>
  <c r="I252" i="1"/>
  <c r="X252" i="1" s="1"/>
  <c r="H252" i="1" a="1"/>
  <c r="G252" i="1" a="1"/>
  <c r="L252" i="1" s="1"/>
  <c r="Q252" i="1" s="1"/>
  <c r="F252" i="1" a="1"/>
  <c r="E252" i="1"/>
  <c r="D252" i="1" a="1"/>
  <c r="C252" i="1" a="1"/>
  <c r="B252" i="1" a="1"/>
  <c r="T252" i="1" s="1"/>
  <c r="A252" i="1"/>
  <c r="Y251" i="1"/>
  <c r="W251" i="1" a="1"/>
  <c r="V251" i="1" a="1"/>
  <c r="U251" i="1"/>
  <c r="S251" i="1" a="1"/>
  <c r="R251" i="1" a="1"/>
  <c r="P251" i="1"/>
  <c r="O251" i="1"/>
  <c r="N251" i="1"/>
  <c r="M251" i="1"/>
  <c r="K251" i="1"/>
  <c r="J251" i="1" s="1"/>
  <c r="I251" i="1"/>
  <c r="X251" i="1" s="1"/>
  <c r="H251" i="1" a="1"/>
  <c r="G251" i="1" a="1"/>
  <c r="L251" i="1" s="1"/>
  <c r="Q251" i="1" s="1"/>
  <c r="F251" i="1" a="1"/>
  <c r="E251" i="1"/>
  <c r="D251" i="1" a="1"/>
  <c r="C251" i="1" a="1"/>
  <c r="B251" i="1" a="1"/>
  <c r="T251" i="1" s="1"/>
  <c r="A251" i="1"/>
  <c r="Y250" i="1"/>
  <c r="W250" i="1" a="1"/>
  <c r="V250" i="1" a="1"/>
  <c r="U250" i="1"/>
  <c r="S250" i="1" a="1"/>
  <c r="R250" i="1" a="1"/>
  <c r="P250" i="1"/>
  <c r="O250" i="1"/>
  <c r="N250" i="1"/>
  <c r="M250" i="1"/>
  <c r="K250" i="1"/>
  <c r="I250" i="1"/>
  <c r="H250" i="1" a="1"/>
  <c r="G250" i="1" a="1"/>
  <c r="L250" i="1" s="1"/>
  <c r="Q250" i="1" s="1"/>
  <c r="F250" i="1" a="1"/>
  <c r="E250" i="1"/>
  <c r="D250" i="1" a="1"/>
  <c r="C250" i="1" a="1"/>
  <c r="B250" i="1" a="1"/>
  <c r="T250" i="1" s="1"/>
  <c r="A250" i="1"/>
  <c r="Y249" i="1"/>
  <c r="W249" i="1" a="1"/>
  <c r="V249" i="1" a="1"/>
  <c r="U249" i="1"/>
  <c r="S249" i="1" a="1"/>
  <c r="R249" i="1" a="1"/>
  <c r="P249" i="1"/>
  <c r="O249" i="1"/>
  <c r="N249" i="1"/>
  <c r="M249" i="1"/>
  <c r="K249" i="1"/>
  <c r="J249" i="1"/>
  <c r="I249" i="1"/>
  <c r="X249" i="1" s="1"/>
  <c r="H249" i="1" a="1"/>
  <c r="G249" i="1" a="1"/>
  <c r="L249" i="1" s="1"/>
  <c r="Q249" i="1" s="1"/>
  <c r="F249" i="1" a="1"/>
  <c r="E249" i="1"/>
  <c r="D249" i="1" a="1"/>
  <c r="C249" i="1" a="1"/>
  <c r="B249" i="1" a="1"/>
  <c r="T249" i="1" s="1"/>
  <c r="A249" i="1"/>
  <c r="Y248" i="1"/>
  <c r="W248" i="1" a="1"/>
  <c r="V248" i="1" a="1"/>
  <c r="U248" i="1"/>
  <c r="S248" i="1" a="1"/>
  <c r="R248" i="1" a="1"/>
  <c r="P248" i="1"/>
  <c r="O248" i="1"/>
  <c r="N248" i="1"/>
  <c r="M248" i="1"/>
  <c r="K248" i="1"/>
  <c r="J248" i="1"/>
  <c r="I248" i="1"/>
  <c r="X248" i="1" s="1"/>
  <c r="H248" i="1" a="1"/>
  <c r="G248" i="1" a="1"/>
  <c r="L248" i="1" s="1"/>
  <c r="Q248" i="1" s="1"/>
  <c r="F248" i="1" a="1"/>
  <c r="E248" i="1"/>
  <c r="D248" i="1" a="1"/>
  <c r="C248" i="1" a="1"/>
  <c r="B248" i="1" a="1"/>
  <c r="T248" i="1" s="1"/>
  <c r="A248" i="1"/>
  <c r="Y247" i="1"/>
  <c r="W247" i="1" a="1"/>
  <c r="V247" i="1" a="1"/>
  <c r="U247" i="1"/>
  <c r="S247" i="1" a="1"/>
  <c r="R247" i="1" a="1"/>
  <c r="P247" i="1"/>
  <c r="O247" i="1"/>
  <c r="N247" i="1"/>
  <c r="M247" i="1"/>
  <c r="K247" i="1"/>
  <c r="J247" i="1"/>
  <c r="I247" i="1"/>
  <c r="X247" i="1" s="1"/>
  <c r="H247" i="1" a="1"/>
  <c r="G247" i="1" a="1"/>
  <c r="L247" i="1" s="1"/>
  <c r="Q247" i="1" s="1"/>
  <c r="F247" i="1" a="1"/>
  <c r="E247" i="1"/>
  <c r="D247" i="1" a="1"/>
  <c r="C247" i="1" a="1"/>
  <c r="B247" i="1" a="1"/>
  <c r="T247" i="1" s="1"/>
  <c r="A247" i="1"/>
  <c r="Y246" i="1"/>
  <c r="W246" i="1" a="1"/>
  <c r="V246" i="1" a="1"/>
  <c r="U246" i="1"/>
  <c r="S246" i="1" a="1"/>
  <c r="R246" i="1" a="1"/>
  <c r="P246" i="1"/>
  <c r="O246" i="1"/>
  <c r="N246" i="1"/>
  <c r="M246" i="1"/>
  <c r="K246" i="1"/>
  <c r="I246" i="1"/>
  <c r="H246" i="1" a="1"/>
  <c r="G246" i="1" a="1"/>
  <c r="L246" i="1" s="1"/>
  <c r="Q246" i="1" s="1"/>
  <c r="F246" i="1" a="1"/>
  <c r="E246" i="1"/>
  <c r="D246" i="1" a="1"/>
  <c r="C246" i="1" a="1"/>
  <c r="B246" i="1" a="1"/>
  <c r="T246" i="1" s="1"/>
  <c r="A246" i="1"/>
  <c r="Y245" i="1"/>
  <c r="W245" i="1" a="1"/>
  <c r="V245" i="1" a="1"/>
  <c r="U245" i="1"/>
  <c r="S245" i="1" a="1"/>
  <c r="R245" i="1" a="1"/>
  <c r="P245" i="1"/>
  <c r="O245" i="1"/>
  <c r="N245" i="1"/>
  <c r="M245" i="1"/>
  <c r="K245" i="1"/>
  <c r="J245" i="1"/>
  <c r="I245" i="1"/>
  <c r="X245" i="1" s="1"/>
  <c r="H245" i="1" a="1"/>
  <c r="G245" i="1" a="1"/>
  <c r="L245" i="1" s="1"/>
  <c r="Q245" i="1" s="1"/>
  <c r="F245" i="1" a="1"/>
  <c r="E245" i="1"/>
  <c r="D245" i="1" a="1"/>
  <c r="C245" i="1" a="1"/>
  <c r="B245" i="1" a="1"/>
  <c r="T245" i="1" s="1"/>
  <c r="A245" i="1"/>
  <c r="Y244" i="1"/>
  <c r="W244" i="1" a="1"/>
  <c r="V244" i="1" a="1"/>
  <c r="U244" i="1"/>
  <c r="S244" i="1" a="1"/>
  <c r="R244" i="1" a="1"/>
  <c r="P244" i="1"/>
  <c r="O244" i="1"/>
  <c r="N244" i="1"/>
  <c r="M244" i="1"/>
  <c r="K244" i="1"/>
  <c r="J244" i="1"/>
  <c r="I244" i="1"/>
  <c r="X244" i="1" s="1"/>
  <c r="H244" i="1" a="1"/>
  <c r="G244" i="1" a="1"/>
  <c r="L244" i="1" s="1"/>
  <c r="Q244" i="1" s="1"/>
  <c r="F244" i="1" a="1"/>
  <c r="E244" i="1"/>
  <c r="D244" i="1" a="1"/>
  <c r="C244" i="1" a="1"/>
  <c r="B244" i="1" a="1"/>
  <c r="T244" i="1" s="1"/>
  <c r="A244" i="1"/>
  <c r="Y243" i="1"/>
  <c r="W243" i="1" a="1"/>
  <c r="V243" i="1" a="1"/>
  <c r="U243" i="1"/>
  <c r="S243" i="1" a="1"/>
  <c r="R243" i="1" a="1"/>
  <c r="P243" i="1"/>
  <c r="O243" i="1"/>
  <c r="N243" i="1"/>
  <c r="M243" i="1"/>
  <c r="K243" i="1"/>
  <c r="J243" i="1"/>
  <c r="I243" i="1"/>
  <c r="X243" i="1" s="1"/>
  <c r="H243" i="1" a="1"/>
  <c r="G243" i="1" a="1"/>
  <c r="L243" i="1" s="1"/>
  <c r="Q243" i="1" s="1"/>
  <c r="F243" i="1" a="1"/>
  <c r="E243" i="1"/>
  <c r="D243" i="1" a="1"/>
  <c r="C243" i="1" a="1"/>
  <c r="B243" i="1" a="1"/>
  <c r="T243" i="1" s="1"/>
  <c r="A243" i="1"/>
  <c r="Y242" i="1"/>
  <c r="W242" i="1" a="1"/>
  <c r="V242" i="1" a="1"/>
  <c r="U242" i="1"/>
  <c r="S242" i="1" a="1"/>
  <c r="R242" i="1" a="1"/>
  <c r="P242" i="1"/>
  <c r="O242" i="1"/>
  <c r="N242" i="1"/>
  <c r="M242" i="1"/>
  <c r="K242" i="1"/>
  <c r="J242" i="1"/>
  <c r="I242" i="1"/>
  <c r="X242" i="1" s="1"/>
  <c r="H242" i="1" a="1"/>
  <c r="G242" i="1" a="1"/>
  <c r="L242" i="1" s="1"/>
  <c r="Q242" i="1" s="1"/>
  <c r="F242" i="1" a="1"/>
  <c r="E242" i="1"/>
  <c r="D242" i="1" a="1"/>
  <c r="C242" i="1" a="1"/>
  <c r="B242" i="1" a="1"/>
  <c r="T242" i="1" s="1"/>
  <c r="A242" i="1"/>
  <c r="Y241" i="1"/>
  <c r="W241" i="1" a="1"/>
  <c r="V241" i="1" a="1"/>
  <c r="U241" i="1"/>
  <c r="S241" i="1" a="1"/>
  <c r="R241" i="1" a="1"/>
  <c r="P241" i="1"/>
  <c r="O241" i="1"/>
  <c r="N241" i="1"/>
  <c r="M241" i="1"/>
  <c r="K241" i="1"/>
  <c r="J241" i="1"/>
  <c r="I241" i="1"/>
  <c r="X241" i="1" s="1"/>
  <c r="H241" i="1" a="1"/>
  <c r="G241" i="1" a="1"/>
  <c r="L241" i="1" s="1"/>
  <c r="Q241" i="1" s="1"/>
  <c r="F241" i="1" a="1"/>
  <c r="E241" i="1"/>
  <c r="D241" i="1" a="1"/>
  <c r="C241" i="1" a="1"/>
  <c r="B241" i="1" a="1"/>
  <c r="T241" i="1" s="1"/>
  <c r="A241" i="1"/>
  <c r="Y240" i="1"/>
  <c r="W240" i="1" a="1"/>
  <c r="V240" i="1" a="1"/>
  <c r="U240" i="1"/>
  <c r="S240" i="1" a="1"/>
  <c r="R240" i="1" a="1"/>
  <c r="P240" i="1"/>
  <c r="O240" i="1"/>
  <c r="N240" i="1"/>
  <c r="M240" i="1"/>
  <c r="K240" i="1"/>
  <c r="I240" i="1"/>
  <c r="H240" i="1" a="1"/>
  <c r="G240" i="1" a="1"/>
  <c r="L240" i="1" s="1"/>
  <c r="Q240" i="1" s="1"/>
  <c r="F240" i="1" a="1"/>
  <c r="E240" i="1"/>
  <c r="D240" i="1" a="1"/>
  <c r="C240" i="1" a="1"/>
  <c r="B240" i="1" a="1"/>
  <c r="T240" i="1" s="1"/>
  <c r="A240" i="1"/>
  <c r="Y239" i="1"/>
  <c r="W239" i="1" a="1"/>
  <c r="V239" i="1" a="1"/>
  <c r="U239" i="1"/>
  <c r="S239" i="1" a="1"/>
  <c r="R239" i="1" a="1"/>
  <c r="P239" i="1"/>
  <c r="O239" i="1"/>
  <c r="N239" i="1"/>
  <c r="M239" i="1"/>
  <c r="K239" i="1"/>
  <c r="I239" i="1"/>
  <c r="H239" i="1" a="1"/>
  <c r="G239" i="1" a="1"/>
  <c r="L239" i="1" s="1"/>
  <c r="Q239" i="1" s="1"/>
  <c r="F239" i="1" a="1"/>
  <c r="E239" i="1"/>
  <c r="D239" i="1" a="1"/>
  <c r="C239" i="1" a="1"/>
  <c r="B239" i="1" a="1"/>
  <c r="T239" i="1" s="1"/>
  <c r="A239" i="1"/>
  <c r="Y238" i="1"/>
  <c r="W238" i="1" a="1"/>
  <c r="V238" i="1" a="1"/>
  <c r="U238" i="1"/>
  <c r="S238" i="1" a="1"/>
  <c r="R238" i="1" a="1"/>
  <c r="P238" i="1"/>
  <c r="O238" i="1"/>
  <c r="N238" i="1"/>
  <c r="M238" i="1"/>
  <c r="K238" i="1"/>
  <c r="J238" i="1"/>
  <c r="I238" i="1"/>
  <c r="X238" i="1" s="1"/>
  <c r="H238" i="1" a="1"/>
  <c r="G238" i="1" a="1"/>
  <c r="L238" i="1" s="1"/>
  <c r="Q238" i="1" s="1"/>
  <c r="F238" i="1" a="1"/>
  <c r="E238" i="1"/>
  <c r="D238" i="1" a="1"/>
  <c r="C238" i="1" a="1"/>
  <c r="B238" i="1" a="1"/>
  <c r="T238" i="1" s="1"/>
  <c r="A238" i="1"/>
  <c r="Y237" i="1"/>
  <c r="W237" i="1" a="1"/>
  <c r="V237" i="1" a="1"/>
  <c r="U237" i="1"/>
  <c r="S237" i="1" a="1"/>
  <c r="R237" i="1" a="1"/>
  <c r="P237" i="1"/>
  <c r="O237" i="1"/>
  <c r="N237" i="1"/>
  <c r="M237" i="1"/>
  <c r="K237" i="1"/>
  <c r="J237" i="1"/>
  <c r="I237" i="1"/>
  <c r="X237" i="1" s="1"/>
  <c r="H237" i="1" a="1"/>
  <c r="G237" i="1" a="1"/>
  <c r="L237" i="1" s="1"/>
  <c r="Q237" i="1" s="1"/>
  <c r="F237" i="1" a="1"/>
  <c r="E237" i="1"/>
  <c r="D237" i="1" a="1"/>
  <c r="C237" i="1" a="1"/>
  <c r="B237" i="1" a="1"/>
  <c r="T237" i="1" s="1"/>
  <c r="A237" i="1"/>
  <c r="Y236" i="1"/>
  <c r="W236" i="1" a="1"/>
  <c r="V236" i="1" a="1"/>
  <c r="U236" i="1"/>
  <c r="S236" i="1" a="1"/>
  <c r="R236" i="1" a="1"/>
  <c r="P236" i="1"/>
  <c r="O236" i="1"/>
  <c r="N236" i="1"/>
  <c r="M236" i="1"/>
  <c r="K236" i="1"/>
  <c r="J236" i="1"/>
  <c r="I236" i="1"/>
  <c r="X236" i="1" s="1"/>
  <c r="H236" i="1" a="1"/>
  <c r="G236" i="1" a="1"/>
  <c r="L236" i="1" s="1"/>
  <c r="Q236" i="1" s="1"/>
  <c r="F236" i="1" a="1"/>
  <c r="E236" i="1"/>
  <c r="D236" i="1" a="1"/>
  <c r="C236" i="1" a="1"/>
  <c r="B236" i="1" a="1"/>
  <c r="T236" i="1" s="1"/>
  <c r="A236" i="1"/>
  <c r="Y235" i="1"/>
  <c r="W235" i="1" a="1"/>
  <c r="V235" i="1" a="1"/>
  <c r="U235" i="1"/>
  <c r="S235" i="1" a="1"/>
  <c r="R235" i="1" a="1"/>
  <c r="P235" i="1"/>
  <c r="O235" i="1"/>
  <c r="N235" i="1"/>
  <c r="M235" i="1"/>
  <c r="K235" i="1"/>
  <c r="J235" i="1"/>
  <c r="I235" i="1"/>
  <c r="X235" i="1" s="1"/>
  <c r="H235" i="1" a="1"/>
  <c r="G235" i="1" a="1"/>
  <c r="L235" i="1" s="1"/>
  <c r="Q235" i="1" s="1"/>
  <c r="F235" i="1" a="1"/>
  <c r="E235" i="1"/>
  <c r="D235" i="1" a="1"/>
  <c r="C235" i="1" a="1"/>
  <c r="B235" i="1" a="1"/>
  <c r="T235" i="1" s="1"/>
  <c r="A235" i="1"/>
  <c r="Y234" i="1"/>
  <c r="W234" i="1" a="1"/>
  <c r="V234" i="1" a="1"/>
  <c r="U234" i="1"/>
  <c r="S234" i="1" a="1"/>
  <c r="R234" i="1" a="1"/>
  <c r="P234" i="1"/>
  <c r="O234" i="1"/>
  <c r="N234" i="1"/>
  <c r="M234" i="1"/>
  <c r="K234" i="1"/>
  <c r="J234" i="1"/>
  <c r="I234" i="1"/>
  <c r="X234" i="1" s="1"/>
  <c r="H234" i="1" a="1"/>
  <c r="G234" i="1" a="1"/>
  <c r="L234" i="1" s="1"/>
  <c r="Q234" i="1" s="1"/>
  <c r="F234" i="1" a="1"/>
  <c r="E234" i="1"/>
  <c r="D234" i="1" a="1"/>
  <c r="C234" i="1" a="1"/>
  <c r="B234" i="1" a="1"/>
  <c r="T234" i="1" s="1"/>
  <c r="A234" i="1"/>
  <c r="Y233" i="1"/>
  <c r="W233" i="1" a="1"/>
  <c r="V233" i="1" a="1"/>
  <c r="U233" i="1"/>
  <c r="S233" i="1" a="1"/>
  <c r="R233" i="1" a="1"/>
  <c r="P233" i="1"/>
  <c r="O233" i="1"/>
  <c r="N233" i="1"/>
  <c r="M233" i="1"/>
  <c r="K233" i="1"/>
  <c r="J233" i="1"/>
  <c r="I233" i="1"/>
  <c r="X233" i="1" s="1"/>
  <c r="H233" i="1" a="1"/>
  <c r="G233" i="1" a="1"/>
  <c r="L233" i="1" s="1"/>
  <c r="Q233" i="1" s="1"/>
  <c r="F233" i="1" a="1"/>
  <c r="E233" i="1"/>
  <c r="D233" i="1" a="1"/>
  <c r="C233" i="1" a="1"/>
  <c r="B233" i="1" a="1"/>
  <c r="T233" i="1" s="1"/>
  <c r="A233" i="1"/>
  <c r="Y232" i="1"/>
  <c r="W232" i="1" a="1"/>
  <c r="V232" i="1" a="1"/>
  <c r="U232" i="1"/>
  <c r="S232" i="1" a="1"/>
  <c r="R232" i="1" a="1"/>
  <c r="P232" i="1"/>
  <c r="O232" i="1"/>
  <c r="N232" i="1"/>
  <c r="M232" i="1"/>
  <c r="K232" i="1"/>
  <c r="I232" i="1"/>
  <c r="H232" i="1" a="1"/>
  <c r="G232" i="1" a="1"/>
  <c r="L232" i="1" s="1"/>
  <c r="Q232" i="1" s="1"/>
  <c r="F232" i="1" a="1"/>
  <c r="E232" i="1"/>
  <c r="D232" i="1" a="1"/>
  <c r="C232" i="1" a="1"/>
  <c r="B232" i="1" a="1"/>
  <c r="T232" i="1" s="1"/>
  <c r="A232" i="1"/>
  <c r="Y231" i="1"/>
  <c r="W231" i="1" a="1"/>
  <c r="V231" i="1" a="1"/>
  <c r="U231" i="1"/>
  <c r="S231" i="1" a="1"/>
  <c r="R231" i="1" a="1"/>
  <c r="P231" i="1"/>
  <c r="O231" i="1"/>
  <c r="N231" i="1"/>
  <c r="M231" i="1"/>
  <c r="K231" i="1"/>
  <c r="J231" i="1"/>
  <c r="I231" i="1"/>
  <c r="X231" i="1" s="1"/>
  <c r="H231" i="1" a="1"/>
  <c r="G231" i="1" a="1"/>
  <c r="L231" i="1" s="1"/>
  <c r="Q231" i="1" s="1"/>
  <c r="F231" i="1" a="1"/>
  <c r="E231" i="1"/>
  <c r="D231" i="1" a="1"/>
  <c r="C231" i="1" a="1"/>
  <c r="B231" i="1" a="1"/>
  <c r="T231" i="1" s="1"/>
  <c r="A231" i="1"/>
  <c r="Y230" i="1"/>
  <c r="W230" i="1" a="1"/>
  <c r="V230" i="1" a="1"/>
  <c r="U230" i="1"/>
  <c r="S230" i="1" a="1"/>
  <c r="R230" i="1" a="1"/>
  <c r="P230" i="1"/>
  <c r="O230" i="1"/>
  <c r="N230" i="1"/>
  <c r="M230" i="1"/>
  <c r="K230" i="1"/>
  <c r="J230" i="1"/>
  <c r="I230" i="1"/>
  <c r="X230" i="1" s="1"/>
  <c r="H230" i="1" a="1"/>
  <c r="G230" i="1" a="1"/>
  <c r="L230" i="1" s="1"/>
  <c r="Q230" i="1" s="1"/>
  <c r="F230" i="1" a="1"/>
  <c r="E230" i="1"/>
  <c r="D230" i="1" a="1"/>
  <c r="C230" i="1" a="1"/>
  <c r="B230" i="1" a="1"/>
  <c r="T230" i="1" s="1"/>
  <c r="A230" i="1"/>
  <c r="Y229" i="1"/>
  <c r="W229" i="1" a="1"/>
  <c r="V229" i="1" a="1"/>
  <c r="U229" i="1"/>
  <c r="S229" i="1" a="1"/>
  <c r="R229" i="1" a="1"/>
  <c r="P229" i="1"/>
  <c r="O229" i="1"/>
  <c r="N229" i="1"/>
  <c r="M229" i="1"/>
  <c r="K229" i="1"/>
  <c r="I229" i="1"/>
  <c r="H229" i="1" a="1"/>
  <c r="G229" i="1" a="1"/>
  <c r="L229" i="1" s="1"/>
  <c r="Q229" i="1" s="1"/>
  <c r="F229" i="1" a="1"/>
  <c r="E229" i="1"/>
  <c r="D229" i="1" a="1"/>
  <c r="C229" i="1" a="1"/>
  <c r="B229" i="1" a="1"/>
  <c r="T229" i="1" s="1"/>
  <c r="A229" i="1"/>
  <c r="Y228" i="1"/>
  <c r="W228" i="1" a="1"/>
  <c r="V228" i="1" a="1"/>
  <c r="U228" i="1"/>
  <c r="S228" i="1" a="1"/>
  <c r="R228" i="1" a="1"/>
  <c r="P228" i="1"/>
  <c r="O228" i="1"/>
  <c r="N228" i="1"/>
  <c r="M228" i="1"/>
  <c r="K228" i="1"/>
  <c r="J228" i="1"/>
  <c r="I228" i="1"/>
  <c r="X228" i="1" s="1"/>
  <c r="H228" i="1" a="1"/>
  <c r="G228" i="1" a="1"/>
  <c r="L228" i="1" s="1"/>
  <c r="Q228" i="1" s="1"/>
  <c r="F228" i="1" a="1"/>
  <c r="E228" i="1"/>
  <c r="D228" i="1" a="1"/>
  <c r="C228" i="1" a="1"/>
  <c r="B228" i="1" a="1"/>
  <c r="T228" i="1" s="1"/>
  <c r="A228" i="1"/>
  <c r="Y227" i="1"/>
  <c r="W227" i="1" a="1"/>
  <c r="V227" i="1" a="1"/>
  <c r="U227" i="1"/>
  <c r="S227" i="1" a="1"/>
  <c r="R227" i="1" a="1"/>
  <c r="P227" i="1"/>
  <c r="O227" i="1"/>
  <c r="N227" i="1"/>
  <c r="M227" i="1"/>
  <c r="K227" i="1"/>
  <c r="J227" i="1"/>
  <c r="I227" i="1"/>
  <c r="X227" i="1" s="1"/>
  <c r="H227" i="1" a="1"/>
  <c r="G227" i="1" a="1"/>
  <c r="L227" i="1" s="1"/>
  <c r="Q227" i="1" s="1"/>
  <c r="F227" i="1" a="1"/>
  <c r="E227" i="1"/>
  <c r="D227" i="1" a="1"/>
  <c r="C227" i="1" a="1"/>
  <c r="B227" i="1" a="1"/>
  <c r="T227" i="1" s="1"/>
  <c r="A227" i="1"/>
  <c r="Y226" i="1"/>
  <c r="W226" i="1" a="1"/>
  <c r="V226" i="1" a="1"/>
  <c r="U226" i="1"/>
  <c r="S226" i="1" a="1"/>
  <c r="R226" i="1" a="1"/>
  <c r="P226" i="1"/>
  <c r="O226" i="1"/>
  <c r="N226" i="1"/>
  <c r="M226" i="1"/>
  <c r="K226" i="1"/>
  <c r="J226" i="1"/>
  <c r="I226" i="1"/>
  <c r="X226" i="1" s="1"/>
  <c r="H226" i="1" a="1"/>
  <c r="G226" i="1" a="1"/>
  <c r="L226" i="1" s="1"/>
  <c r="Q226" i="1" s="1"/>
  <c r="F226" i="1" a="1"/>
  <c r="E226" i="1"/>
  <c r="D226" i="1" a="1"/>
  <c r="C226" i="1" a="1"/>
  <c r="B226" i="1" a="1"/>
  <c r="T226" i="1" s="1"/>
  <c r="A226" i="1"/>
  <c r="Y225" i="1"/>
  <c r="W225" i="1" a="1"/>
  <c r="V225" i="1" a="1"/>
  <c r="U225" i="1"/>
  <c r="S225" i="1" a="1"/>
  <c r="R225" i="1" a="1"/>
  <c r="P225" i="1"/>
  <c r="O225" i="1"/>
  <c r="N225" i="1"/>
  <c r="M225" i="1"/>
  <c r="K225" i="1"/>
  <c r="I225" i="1"/>
  <c r="H225" i="1" a="1"/>
  <c r="G225" i="1" a="1"/>
  <c r="L225" i="1" s="1"/>
  <c r="Q225" i="1" s="1"/>
  <c r="F225" i="1" a="1"/>
  <c r="E225" i="1"/>
  <c r="D225" i="1" a="1"/>
  <c r="C225" i="1" a="1"/>
  <c r="B225" i="1" a="1"/>
  <c r="T225" i="1" s="1"/>
  <c r="A225" i="1"/>
  <c r="Y224" i="1"/>
  <c r="W224" i="1" a="1"/>
  <c r="V224" i="1" a="1"/>
  <c r="U224" i="1"/>
  <c r="S224" i="1" a="1"/>
  <c r="R224" i="1" a="1"/>
  <c r="P224" i="1"/>
  <c r="O224" i="1"/>
  <c r="N224" i="1"/>
  <c r="M224" i="1"/>
  <c r="K224" i="1"/>
  <c r="J224" i="1"/>
  <c r="I224" i="1"/>
  <c r="X224" i="1" s="1"/>
  <c r="H224" i="1" a="1"/>
  <c r="G224" i="1" a="1"/>
  <c r="L224" i="1" s="1"/>
  <c r="Q224" i="1" s="1"/>
  <c r="F224" i="1" a="1"/>
  <c r="E224" i="1"/>
  <c r="D224" i="1" a="1"/>
  <c r="C224" i="1" a="1"/>
  <c r="B224" i="1" a="1"/>
  <c r="T224" i="1" s="1"/>
  <c r="A224" i="1"/>
  <c r="Y223" i="1"/>
  <c r="W223" i="1" a="1"/>
  <c r="V223" i="1" a="1"/>
  <c r="U223" i="1"/>
  <c r="S223" i="1" a="1"/>
  <c r="R223" i="1" a="1"/>
  <c r="P223" i="1"/>
  <c r="O223" i="1"/>
  <c r="N223" i="1"/>
  <c r="M223" i="1"/>
  <c r="K223" i="1"/>
  <c r="J223" i="1"/>
  <c r="I223" i="1"/>
  <c r="X223" i="1" s="1"/>
  <c r="H223" i="1" a="1"/>
  <c r="G223" i="1" a="1"/>
  <c r="L223" i="1" s="1"/>
  <c r="Q223" i="1" s="1"/>
  <c r="F223" i="1" a="1"/>
  <c r="E223" i="1"/>
  <c r="D223" i="1" a="1"/>
  <c r="C223" i="1" a="1"/>
  <c r="B223" i="1" a="1"/>
  <c r="T223" i="1" s="1"/>
  <c r="A223" i="1"/>
  <c r="Y222" i="1"/>
  <c r="W222" i="1" a="1"/>
  <c r="V222" i="1" a="1"/>
  <c r="U222" i="1"/>
  <c r="S222" i="1" a="1"/>
  <c r="R222" i="1" a="1"/>
  <c r="P222" i="1"/>
  <c r="O222" i="1"/>
  <c r="N222" i="1"/>
  <c r="M222" i="1"/>
  <c r="K222" i="1"/>
  <c r="J222" i="1"/>
  <c r="I222" i="1"/>
  <c r="X222" i="1" s="1"/>
  <c r="H222" i="1" a="1"/>
  <c r="G222" i="1" a="1"/>
  <c r="L222" i="1" s="1"/>
  <c r="Q222" i="1" s="1"/>
  <c r="F222" i="1" a="1"/>
  <c r="E222" i="1"/>
  <c r="D222" i="1" a="1"/>
  <c r="C222" i="1" a="1"/>
  <c r="B222" i="1" a="1"/>
  <c r="T222" i="1" s="1"/>
  <c r="A222" i="1"/>
  <c r="Y221" i="1"/>
  <c r="W221" i="1" a="1"/>
  <c r="V221" i="1" a="1"/>
  <c r="U221" i="1"/>
  <c r="S221" i="1" a="1"/>
  <c r="R221" i="1" a="1"/>
  <c r="P221" i="1"/>
  <c r="O221" i="1"/>
  <c r="N221" i="1"/>
  <c r="M221" i="1"/>
  <c r="K221" i="1"/>
  <c r="J221" i="1" s="1"/>
  <c r="I221" i="1"/>
  <c r="X221" i="1" s="1"/>
  <c r="H221" i="1" a="1"/>
  <c r="G221" i="1" a="1"/>
  <c r="L221" i="1" s="1"/>
  <c r="Q221" i="1" s="1"/>
  <c r="F221" i="1" a="1"/>
  <c r="E221" i="1"/>
  <c r="D221" i="1" a="1"/>
  <c r="C221" i="1" a="1"/>
  <c r="B221" i="1" a="1"/>
  <c r="T221" i="1" s="1"/>
  <c r="A221" i="1"/>
  <c r="Y220" i="1"/>
  <c r="W220" i="1" a="1"/>
  <c r="V220" i="1" a="1"/>
  <c r="U220" i="1"/>
  <c r="S220" i="1" a="1"/>
  <c r="R220" i="1" a="1"/>
  <c r="P220" i="1"/>
  <c r="O220" i="1"/>
  <c r="N220" i="1"/>
  <c r="M220" i="1"/>
  <c r="K220" i="1"/>
  <c r="I220" i="1"/>
  <c r="H220" i="1" a="1"/>
  <c r="G220" i="1" a="1"/>
  <c r="L220" i="1" s="1"/>
  <c r="Q220" i="1" s="1"/>
  <c r="F220" i="1" a="1"/>
  <c r="E220" i="1"/>
  <c r="D220" i="1" a="1"/>
  <c r="C220" i="1" a="1"/>
  <c r="B220" i="1" a="1"/>
  <c r="T220" i="1" s="1"/>
  <c r="A220" i="1"/>
  <c r="Y219" i="1"/>
  <c r="W219" i="1" a="1"/>
  <c r="V219" i="1" a="1"/>
  <c r="U219" i="1"/>
  <c r="S219" i="1" a="1"/>
  <c r="R219" i="1" a="1"/>
  <c r="P219" i="1"/>
  <c r="O219" i="1"/>
  <c r="N219" i="1"/>
  <c r="M219" i="1"/>
  <c r="K219" i="1"/>
  <c r="J219" i="1"/>
  <c r="I219" i="1"/>
  <c r="X219" i="1" s="1"/>
  <c r="H219" i="1" a="1"/>
  <c r="G219" i="1" a="1"/>
  <c r="L219" i="1" s="1"/>
  <c r="Q219" i="1" s="1"/>
  <c r="F219" i="1" a="1"/>
  <c r="E219" i="1"/>
  <c r="D219" i="1" a="1"/>
  <c r="C219" i="1" a="1"/>
  <c r="B219" i="1" a="1"/>
  <c r="T219" i="1" s="1"/>
  <c r="A219" i="1"/>
  <c r="Y218" i="1"/>
  <c r="W218" i="1" a="1"/>
  <c r="V218" i="1" a="1"/>
  <c r="U218" i="1"/>
  <c r="S218" i="1" a="1"/>
  <c r="R218" i="1" a="1"/>
  <c r="P218" i="1"/>
  <c r="O218" i="1"/>
  <c r="N218" i="1"/>
  <c r="M218" i="1"/>
  <c r="K218" i="1"/>
  <c r="I218" i="1"/>
  <c r="H218" i="1" a="1"/>
  <c r="G218" i="1" a="1"/>
  <c r="L218" i="1" s="1"/>
  <c r="Q218" i="1" s="1"/>
  <c r="F218" i="1" a="1"/>
  <c r="E218" i="1"/>
  <c r="D218" i="1" a="1"/>
  <c r="C218" i="1" a="1"/>
  <c r="B218" i="1" a="1"/>
  <c r="T218" i="1" s="1"/>
  <c r="A218" i="1"/>
  <c r="Y217" i="1"/>
  <c r="W217" i="1" a="1"/>
  <c r="V217" i="1" a="1"/>
  <c r="U217" i="1"/>
  <c r="S217" i="1" a="1"/>
  <c r="R217" i="1" a="1"/>
  <c r="P217" i="1"/>
  <c r="O217" i="1"/>
  <c r="N217" i="1"/>
  <c r="M217" i="1"/>
  <c r="K217" i="1"/>
  <c r="J217" i="1"/>
  <c r="I217" i="1"/>
  <c r="X217" i="1" s="1"/>
  <c r="H217" i="1" a="1"/>
  <c r="G217" i="1" a="1"/>
  <c r="L217" i="1" s="1"/>
  <c r="Q217" i="1" s="1"/>
  <c r="F217" i="1" a="1"/>
  <c r="E217" i="1"/>
  <c r="D217" i="1" a="1"/>
  <c r="C217" i="1" a="1"/>
  <c r="B217" i="1" a="1"/>
  <c r="T217" i="1" s="1"/>
  <c r="A217" i="1"/>
  <c r="Y216" i="1"/>
  <c r="W216" i="1" a="1"/>
  <c r="V216" i="1" a="1"/>
  <c r="U216" i="1"/>
  <c r="S216" i="1" a="1"/>
  <c r="R216" i="1" a="1"/>
  <c r="P216" i="1"/>
  <c r="O216" i="1"/>
  <c r="N216" i="1"/>
  <c r="M216" i="1"/>
  <c r="K216" i="1"/>
  <c r="J216" i="1"/>
  <c r="I216" i="1"/>
  <c r="X216" i="1" s="1"/>
  <c r="H216" i="1" a="1"/>
  <c r="G216" i="1" a="1"/>
  <c r="L216" i="1" s="1"/>
  <c r="Q216" i="1" s="1"/>
  <c r="F216" i="1" a="1"/>
  <c r="E216" i="1"/>
  <c r="D216" i="1" a="1"/>
  <c r="C216" i="1" a="1"/>
  <c r="B216" i="1" a="1"/>
  <c r="T216" i="1" s="1"/>
  <c r="A216" i="1"/>
  <c r="Y215" i="1"/>
  <c r="W215" i="1" a="1"/>
  <c r="V215" i="1" a="1"/>
  <c r="U215" i="1"/>
  <c r="S215" i="1" a="1"/>
  <c r="R215" i="1" a="1"/>
  <c r="P215" i="1"/>
  <c r="O215" i="1"/>
  <c r="N215" i="1"/>
  <c r="M215" i="1"/>
  <c r="K215" i="1"/>
  <c r="I215" i="1"/>
  <c r="H215" i="1" a="1"/>
  <c r="G215" i="1" a="1"/>
  <c r="L215" i="1" s="1"/>
  <c r="Q215" i="1" s="1"/>
  <c r="F215" i="1" a="1"/>
  <c r="E215" i="1"/>
  <c r="D215" i="1" a="1"/>
  <c r="C215" i="1" a="1"/>
  <c r="B215" i="1" a="1"/>
  <c r="T215" i="1" s="1"/>
  <c r="A215" i="1"/>
  <c r="Y214" i="1"/>
  <c r="W214" i="1" a="1"/>
  <c r="V214" i="1" a="1"/>
  <c r="U214" i="1"/>
  <c r="S214" i="1" a="1"/>
  <c r="R214" i="1" a="1"/>
  <c r="P214" i="1"/>
  <c r="O214" i="1"/>
  <c r="N214" i="1"/>
  <c r="M214" i="1"/>
  <c r="K214" i="1"/>
  <c r="J214" i="1"/>
  <c r="I214" i="1"/>
  <c r="X214" i="1" s="1"/>
  <c r="H214" i="1" a="1"/>
  <c r="G214" i="1" a="1"/>
  <c r="L214" i="1" s="1"/>
  <c r="Q214" i="1" s="1"/>
  <c r="F214" i="1" a="1"/>
  <c r="E214" i="1"/>
  <c r="D214" i="1" a="1"/>
  <c r="C214" i="1" a="1"/>
  <c r="B214" i="1" a="1"/>
  <c r="T214" i="1" s="1"/>
  <c r="A214" i="1"/>
  <c r="Y213" i="1"/>
  <c r="W213" i="1" a="1"/>
  <c r="V213" i="1" a="1"/>
  <c r="U213" i="1"/>
  <c r="S213" i="1" a="1"/>
  <c r="R213" i="1" a="1"/>
  <c r="P213" i="1"/>
  <c r="O213" i="1"/>
  <c r="N213" i="1"/>
  <c r="M213" i="1"/>
  <c r="K213" i="1"/>
  <c r="J213" i="1"/>
  <c r="I213" i="1"/>
  <c r="X213" i="1" s="1"/>
  <c r="H213" i="1" a="1"/>
  <c r="G213" i="1" a="1"/>
  <c r="L213" i="1" s="1"/>
  <c r="Q213" i="1" s="1"/>
  <c r="F213" i="1" a="1"/>
  <c r="E213" i="1"/>
  <c r="D213" i="1" a="1"/>
  <c r="C213" i="1" a="1"/>
  <c r="B213" i="1" a="1"/>
  <c r="T213" i="1" s="1"/>
  <c r="A213" i="1"/>
  <c r="Y212" i="1"/>
  <c r="W212" i="1" a="1"/>
  <c r="V212" i="1" a="1"/>
  <c r="U212" i="1"/>
  <c r="S212" i="1" a="1"/>
  <c r="R212" i="1" a="1"/>
  <c r="P212" i="1"/>
  <c r="O212" i="1"/>
  <c r="N212" i="1"/>
  <c r="M212" i="1"/>
  <c r="K212" i="1"/>
  <c r="J212" i="1"/>
  <c r="I212" i="1"/>
  <c r="X212" i="1" s="1"/>
  <c r="H212" i="1" a="1"/>
  <c r="G212" i="1" a="1"/>
  <c r="L212" i="1" s="1"/>
  <c r="Q212" i="1" s="1"/>
  <c r="F212" i="1" a="1"/>
  <c r="E212" i="1"/>
  <c r="D212" i="1" a="1"/>
  <c r="C212" i="1" a="1"/>
  <c r="B212" i="1" a="1"/>
  <c r="T212" i="1" s="1"/>
  <c r="A212" i="1"/>
  <c r="Y211" i="1"/>
  <c r="W211" i="1" a="1"/>
  <c r="V211" i="1" a="1"/>
  <c r="U211" i="1"/>
  <c r="S211" i="1" a="1"/>
  <c r="R211" i="1" a="1"/>
  <c r="P211" i="1"/>
  <c r="O211" i="1"/>
  <c r="N211" i="1"/>
  <c r="M211" i="1"/>
  <c r="K211" i="1"/>
  <c r="J211" i="1"/>
  <c r="I211" i="1"/>
  <c r="X211" i="1" s="1"/>
  <c r="H211" i="1" a="1"/>
  <c r="G211" i="1" a="1"/>
  <c r="L211" i="1" s="1"/>
  <c r="Q211" i="1" s="1"/>
  <c r="F211" i="1" a="1"/>
  <c r="E211" i="1"/>
  <c r="D211" i="1" a="1"/>
  <c r="C211" i="1" a="1"/>
  <c r="B211" i="1" a="1"/>
  <c r="T211" i="1" s="1"/>
  <c r="A211" i="1"/>
  <c r="Y210" i="1"/>
  <c r="W210" i="1" a="1"/>
  <c r="V210" i="1" a="1"/>
  <c r="U210" i="1"/>
  <c r="S210" i="1" a="1"/>
  <c r="R210" i="1" a="1"/>
  <c r="P210" i="1"/>
  <c r="O210" i="1"/>
  <c r="N210" i="1"/>
  <c r="M210" i="1"/>
  <c r="K210" i="1"/>
  <c r="I210" i="1"/>
  <c r="H210" i="1" a="1"/>
  <c r="G210" i="1" a="1"/>
  <c r="L210" i="1" s="1"/>
  <c r="Q210" i="1" s="1"/>
  <c r="F210" i="1" a="1"/>
  <c r="E210" i="1"/>
  <c r="D210" i="1" a="1"/>
  <c r="C210" i="1" a="1"/>
  <c r="B210" i="1" a="1"/>
  <c r="T210" i="1" s="1"/>
  <c r="A210" i="1"/>
  <c r="Y209" i="1"/>
  <c r="W209" i="1" a="1"/>
  <c r="V209" i="1" a="1"/>
  <c r="U209" i="1"/>
  <c r="S209" i="1" a="1"/>
  <c r="R209" i="1" a="1"/>
  <c r="P209" i="1"/>
  <c r="O209" i="1"/>
  <c r="N209" i="1"/>
  <c r="M209" i="1"/>
  <c r="K209" i="1"/>
  <c r="J209" i="1" s="1"/>
  <c r="I209" i="1"/>
  <c r="X209" i="1" s="1"/>
  <c r="H209" i="1" a="1"/>
  <c r="G209" i="1" a="1"/>
  <c r="L209" i="1" s="1"/>
  <c r="Q209" i="1" s="1"/>
  <c r="F209" i="1" a="1"/>
  <c r="E209" i="1"/>
  <c r="D209" i="1" a="1"/>
  <c r="C209" i="1" a="1"/>
  <c r="B209" i="1" a="1"/>
  <c r="T209" i="1" s="1"/>
  <c r="A209" i="1"/>
  <c r="Y208" i="1"/>
  <c r="W208" i="1" a="1"/>
  <c r="V208" i="1" a="1"/>
  <c r="U208" i="1"/>
  <c r="S208" i="1" a="1"/>
  <c r="R208" i="1" a="1"/>
  <c r="P208" i="1"/>
  <c r="O208" i="1"/>
  <c r="N208" i="1"/>
  <c r="M208" i="1"/>
  <c r="K208" i="1"/>
  <c r="J208" i="1"/>
  <c r="I208" i="1"/>
  <c r="X208" i="1" s="1"/>
  <c r="H208" i="1" a="1"/>
  <c r="G208" i="1" a="1"/>
  <c r="L208" i="1" s="1"/>
  <c r="Q208" i="1" s="1"/>
  <c r="F208" i="1" a="1"/>
  <c r="E208" i="1"/>
  <c r="D208" i="1" a="1"/>
  <c r="C208" i="1" a="1"/>
  <c r="B208" i="1" a="1"/>
  <c r="T208" i="1" s="1"/>
  <c r="A208" i="1"/>
  <c r="Y207" i="1"/>
  <c r="W207" i="1" a="1"/>
  <c r="V207" i="1" a="1"/>
  <c r="U207" i="1"/>
  <c r="S207" i="1" a="1"/>
  <c r="R207" i="1" a="1"/>
  <c r="P207" i="1"/>
  <c r="O207" i="1"/>
  <c r="N207" i="1"/>
  <c r="M207" i="1"/>
  <c r="K207" i="1"/>
  <c r="I207" i="1"/>
  <c r="X207" i="1" s="1"/>
  <c r="H207" i="1" a="1"/>
  <c r="G207" i="1" a="1"/>
  <c r="L207" i="1" s="1"/>
  <c r="Q207" i="1" s="1"/>
  <c r="F207" i="1" a="1"/>
  <c r="E207" i="1"/>
  <c r="D207" i="1" a="1"/>
  <c r="C207" i="1" a="1"/>
  <c r="B207" i="1" a="1"/>
  <c r="T207" i="1" s="1"/>
  <c r="A207" i="1"/>
  <c r="Y206" i="1"/>
  <c r="W206" i="1" a="1"/>
  <c r="V206" i="1" a="1"/>
  <c r="U206" i="1"/>
  <c r="S206" i="1" a="1"/>
  <c r="R206" i="1" a="1"/>
  <c r="P206" i="1"/>
  <c r="O206" i="1"/>
  <c r="N206" i="1"/>
  <c r="M206" i="1"/>
  <c r="K206" i="1"/>
  <c r="I206" i="1"/>
  <c r="H206" i="1" a="1"/>
  <c r="G206" i="1" a="1"/>
  <c r="L206" i="1" s="1"/>
  <c r="Q206" i="1" s="1"/>
  <c r="F206" i="1" a="1"/>
  <c r="E206" i="1"/>
  <c r="D206" i="1" a="1"/>
  <c r="C206" i="1" a="1"/>
  <c r="B206" i="1" a="1"/>
  <c r="T206" i="1" s="1"/>
  <c r="A206" i="1"/>
  <c r="Y205" i="1"/>
  <c r="W205" i="1" a="1"/>
  <c r="V205" i="1" a="1"/>
  <c r="U205" i="1"/>
  <c r="S205" i="1" a="1"/>
  <c r="R205" i="1" a="1"/>
  <c r="P205" i="1"/>
  <c r="O205" i="1"/>
  <c r="N205" i="1"/>
  <c r="M205" i="1"/>
  <c r="K205" i="1"/>
  <c r="J205" i="1"/>
  <c r="I205" i="1"/>
  <c r="X205" i="1" s="1"/>
  <c r="H205" i="1" a="1"/>
  <c r="G205" i="1" a="1"/>
  <c r="L205" i="1" s="1"/>
  <c r="Q205" i="1" s="1"/>
  <c r="F205" i="1" a="1"/>
  <c r="E205" i="1"/>
  <c r="D205" i="1" a="1"/>
  <c r="C205" i="1" a="1"/>
  <c r="B205" i="1" a="1"/>
  <c r="T205" i="1" s="1"/>
  <c r="A205" i="1"/>
  <c r="Y204" i="1"/>
  <c r="W204" i="1" a="1"/>
  <c r="V204" i="1" a="1"/>
  <c r="U204" i="1"/>
  <c r="S204" i="1" a="1"/>
  <c r="R204" i="1" a="1"/>
  <c r="P204" i="1"/>
  <c r="O204" i="1"/>
  <c r="N204" i="1"/>
  <c r="M204" i="1"/>
  <c r="K204" i="1"/>
  <c r="J204" i="1"/>
  <c r="I204" i="1"/>
  <c r="X204" i="1" s="1"/>
  <c r="H204" i="1" a="1"/>
  <c r="G204" i="1" a="1"/>
  <c r="L204" i="1" s="1"/>
  <c r="Q204" i="1" s="1"/>
  <c r="F204" i="1" a="1"/>
  <c r="E204" i="1"/>
  <c r="D204" i="1" a="1"/>
  <c r="C204" i="1" a="1"/>
  <c r="B204" i="1" a="1"/>
  <c r="T204" i="1" s="1"/>
  <c r="A204" i="1"/>
  <c r="Y203" i="1"/>
  <c r="W203" i="1" a="1"/>
  <c r="V203" i="1" a="1"/>
  <c r="U203" i="1"/>
  <c r="S203" i="1" a="1"/>
  <c r="R203" i="1" a="1"/>
  <c r="P203" i="1"/>
  <c r="O203" i="1"/>
  <c r="N203" i="1"/>
  <c r="M203" i="1"/>
  <c r="K203" i="1"/>
  <c r="J203" i="1"/>
  <c r="I203" i="1"/>
  <c r="X203" i="1" s="1"/>
  <c r="H203" i="1" a="1"/>
  <c r="G203" i="1" a="1"/>
  <c r="L203" i="1" s="1"/>
  <c r="Q203" i="1" s="1"/>
  <c r="F203" i="1" a="1"/>
  <c r="E203" i="1"/>
  <c r="D203" i="1" a="1"/>
  <c r="C203" i="1" a="1"/>
  <c r="B203" i="1" a="1"/>
  <c r="T203" i="1" s="1"/>
  <c r="A203" i="1"/>
  <c r="Y202" i="1"/>
  <c r="W202" i="1" a="1"/>
  <c r="V202" i="1" a="1"/>
  <c r="U202" i="1"/>
  <c r="S202" i="1" a="1"/>
  <c r="R202" i="1" a="1"/>
  <c r="P202" i="1"/>
  <c r="O202" i="1"/>
  <c r="N202" i="1"/>
  <c r="M202" i="1"/>
  <c r="K202" i="1"/>
  <c r="J202" i="1"/>
  <c r="I202" i="1"/>
  <c r="X202" i="1" s="1"/>
  <c r="H202" i="1" a="1"/>
  <c r="G202" i="1" a="1"/>
  <c r="L202" i="1" s="1"/>
  <c r="Q202" i="1" s="1"/>
  <c r="F202" i="1" a="1"/>
  <c r="E202" i="1"/>
  <c r="D202" i="1" a="1"/>
  <c r="C202" i="1" a="1"/>
  <c r="B202" i="1" a="1"/>
  <c r="T202" i="1" s="1"/>
  <c r="A202" i="1"/>
  <c r="Y201" i="1"/>
  <c r="W201" i="1" a="1"/>
  <c r="V201" i="1" a="1"/>
  <c r="U201" i="1"/>
  <c r="S201" i="1" a="1"/>
  <c r="R201" i="1" a="1"/>
  <c r="P201" i="1"/>
  <c r="O201" i="1"/>
  <c r="N201" i="1"/>
  <c r="M201" i="1"/>
  <c r="K201" i="1"/>
  <c r="J201" i="1" s="1"/>
  <c r="I201" i="1"/>
  <c r="X201" i="1" s="1"/>
  <c r="H201" i="1" a="1"/>
  <c r="G201" i="1" a="1"/>
  <c r="L201" i="1" s="1"/>
  <c r="Q201" i="1" s="1"/>
  <c r="F201" i="1" a="1"/>
  <c r="E201" i="1"/>
  <c r="D201" i="1" a="1"/>
  <c r="C201" i="1" a="1"/>
  <c r="B201" i="1" a="1"/>
  <c r="T201" i="1" s="1"/>
  <c r="A201" i="1"/>
  <c r="Y200" i="1"/>
  <c r="W200" i="1" a="1"/>
  <c r="V200" i="1" a="1"/>
  <c r="U200" i="1"/>
  <c r="S200" i="1" a="1"/>
  <c r="R200" i="1" a="1"/>
  <c r="P200" i="1"/>
  <c r="O200" i="1"/>
  <c r="N200" i="1"/>
  <c r="M200" i="1"/>
  <c r="K200" i="1"/>
  <c r="J200" i="1" s="1"/>
  <c r="I200" i="1"/>
  <c r="X200" i="1" s="1"/>
  <c r="H200" i="1" a="1"/>
  <c r="G200" i="1" a="1"/>
  <c r="L200" i="1" s="1"/>
  <c r="Q200" i="1" s="1"/>
  <c r="F200" i="1" a="1"/>
  <c r="E200" i="1"/>
  <c r="D200" i="1" a="1"/>
  <c r="C200" i="1" a="1"/>
  <c r="B200" i="1" a="1"/>
  <c r="T200" i="1" s="1"/>
  <c r="A200" i="1"/>
  <c r="Y199" i="1"/>
  <c r="W199" i="1" a="1"/>
  <c r="V199" i="1" a="1"/>
  <c r="U199" i="1"/>
  <c r="S199" i="1" a="1"/>
  <c r="R199" i="1" a="1"/>
  <c r="P199" i="1"/>
  <c r="O199" i="1"/>
  <c r="N199" i="1"/>
  <c r="M199" i="1"/>
  <c r="K199" i="1"/>
  <c r="J199" i="1" s="1"/>
  <c r="I199" i="1"/>
  <c r="X199" i="1" s="1"/>
  <c r="H199" i="1" a="1"/>
  <c r="G199" i="1" a="1"/>
  <c r="L199" i="1" s="1"/>
  <c r="Q199" i="1" s="1"/>
  <c r="F199" i="1" a="1"/>
  <c r="E199" i="1"/>
  <c r="D199" i="1" a="1"/>
  <c r="C199" i="1" a="1"/>
  <c r="B199" i="1" a="1"/>
  <c r="T199" i="1" s="1"/>
  <c r="A199" i="1"/>
  <c r="Y198" i="1"/>
  <c r="W198" i="1" a="1"/>
  <c r="V198" i="1" a="1"/>
  <c r="U198" i="1"/>
  <c r="S198" i="1" a="1"/>
  <c r="R198" i="1" a="1"/>
  <c r="P198" i="1"/>
  <c r="O198" i="1"/>
  <c r="N198" i="1"/>
  <c r="M198" i="1"/>
  <c r="K198" i="1"/>
  <c r="J198" i="1" s="1"/>
  <c r="I198" i="1"/>
  <c r="X198" i="1" s="1"/>
  <c r="H198" i="1" a="1"/>
  <c r="G198" i="1" a="1"/>
  <c r="L198" i="1" s="1"/>
  <c r="Q198" i="1" s="1"/>
  <c r="F198" i="1" a="1"/>
  <c r="E198" i="1"/>
  <c r="D198" i="1" a="1"/>
  <c r="C198" i="1" a="1"/>
  <c r="B198" i="1" a="1"/>
  <c r="T198" i="1" s="1"/>
  <c r="A198" i="1"/>
  <c r="Y197" i="1"/>
  <c r="W197" i="1" a="1"/>
  <c r="V197" i="1" a="1"/>
  <c r="U197" i="1"/>
  <c r="S197" i="1" a="1"/>
  <c r="R197" i="1" a="1"/>
  <c r="P197" i="1"/>
  <c r="O197" i="1"/>
  <c r="N197" i="1"/>
  <c r="M197" i="1"/>
  <c r="K197" i="1"/>
  <c r="J197" i="1" s="1"/>
  <c r="I197" i="1"/>
  <c r="X197" i="1" s="1"/>
  <c r="H197" i="1" a="1"/>
  <c r="G197" i="1" a="1"/>
  <c r="L197" i="1" s="1"/>
  <c r="Q197" i="1" s="1"/>
  <c r="F197" i="1" a="1"/>
  <c r="E197" i="1"/>
  <c r="D197" i="1" a="1"/>
  <c r="C197" i="1" a="1"/>
  <c r="B197" i="1" a="1"/>
  <c r="T197" i="1" s="1"/>
  <c r="A197" i="1"/>
  <c r="Y196" i="1"/>
  <c r="W196" i="1" a="1"/>
  <c r="V196" i="1" a="1"/>
  <c r="U196" i="1"/>
  <c r="S196" i="1" a="1"/>
  <c r="R196" i="1" a="1"/>
  <c r="P196" i="1"/>
  <c r="O196" i="1"/>
  <c r="N196" i="1"/>
  <c r="M196" i="1"/>
  <c r="K196" i="1"/>
  <c r="I196" i="1"/>
  <c r="X196" i="1" s="1"/>
  <c r="H196" i="1" a="1"/>
  <c r="G196" i="1" a="1"/>
  <c r="L196" i="1" s="1"/>
  <c r="Q196" i="1" s="1"/>
  <c r="F196" i="1" a="1"/>
  <c r="E196" i="1"/>
  <c r="D196" i="1" a="1"/>
  <c r="C196" i="1" a="1"/>
  <c r="B196" i="1" a="1"/>
  <c r="T196" i="1" s="1"/>
  <c r="A196" i="1"/>
  <c r="Y195" i="1"/>
  <c r="W195" i="1" a="1"/>
  <c r="V195" i="1" a="1"/>
  <c r="U195" i="1"/>
  <c r="S195" i="1" a="1"/>
  <c r="R195" i="1" a="1"/>
  <c r="P195" i="1"/>
  <c r="O195" i="1"/>
  <c r="N195" i="1"/>
  <c r="M195" i="1"/>
  <c r="K195" i="1"/>
  <c r="J195" i="1" s="1"/>
  <c r="I195" i="1"/>
  <c r="X195" i="1" s="1"/>
  <c r="H195" i="1" a="1"/>
  <c r="G195" i="1" a="1"/>
  <c r="L195" i="1" s="1"/>
  <c r="Q195" i="1" s="1"/>
  <c r="F195" i="1" a="1"/>
  <c r="E195" i="1"/>
  <c r="D195" i="1" a="1"/>
  <c r="C195" i="1" a="1"/>
  <c r="B195" i="1" a="1"/>
  <c r="T195" i="1" s="1"/>
  <c r="A195" i="1"/>
  <c r="Y194" i="1"/>
  <c r="W194" i="1" a="1"/>
  <c r="V194" i="1" a="1"/>
  <c r="U194" i="1"/>
  <c r="S194" i="1" a="1"/>
  <c r="R194" i="1" a="1"/>
  <c r="P194" i="1"/>
  <c r="O194" i="1"/>
  <c r="N194" i="1"/>
  <c r="M194" i="1"/>
  <c r="K194" i="1"/>
  <c r="J194" i="1" s="1"/>
  <c r="I194" i="1"/>
  <c r="X194" i="1" s="1"/>
  <c r="H194" i="1" a="1"/>
  <c r="G194" i="1" a="1"/>
  <c r="L194" i="1" s="1"/>
  <c r="Q194" i="1" s="1"/>
  <c r="F194" i="1" a="1"/>
  <c r="E194" i="1"/>
  <c r="D194" i="1" a="1"/>
  <c r="C194" i="1" a="1"/>
  <c r="B194" i="1" a="1"/>
  <c r="T194" i="1" s="1"/>
  <c r="A194" i="1"/>
  <c r="Y193" i="1"/>
  <c r="W193" i="1" a="1"/>
  <c r="V193" i="1" a="1"/>
  <c r="U193" i="1"/>
  <c r="S193" i="1" a="1"/>
  <c r="R193" i="1" a="1"/>
  <c r="P193" i="1"/>
  <c r="O193" i="1"/>
  <c r="N193" i="1"/>
  <c r="M193" i="1"/>
  <c r="K193" i="1"/>
  <c r="J193" i="1" s="1"/>
  <c r="I193" i="1"/>
  <c r="X193" i="1" s="1"/>
  <c r="H193" i="1" a="1"/>
  <c r="G193" i="1" a="1"/>
  <c r="L193" i="1" s="1"/>
  <c r="Q193" i="1" s="1"/>
  <c r="F193" i="1" a="1"/>
  <c r="E193" i="1"/>
  <c r="D193" i="1" a="1"/>
  <c r="C193" i="1" a="1"/>
  <c r="B193" i="1" a="1"/>
  <c r="T193" i="1" s="1"/>
  <c r="A193" i="1"/>
  <c r="Y192" i="1"/>
  <c r="W192" i="1" a="1"/>
  <c r="V192" i="1" a="1"/>
  <c r="U192" i="1"/>
  <c r="S192" i="1" a="1"/>
  <c r="R192" i="1" a="1"/>
  <c r="P192" i="1"/>
  <c r="O192" i="1"/>
  <c r="N192" i="1"/>
  <c r="M192" i="1"/>
  <c r="K192" i="1"/>
  <c r="J192" i="1" s="1"/>
  <c r="I192" i="1"/>
  <c r="X192" i="1" s="1"/>
  <c r="H192" i="1" a="1"/>
  <c r="G192" i="1" a="1"/>
  <c r="L192" i="1" s="1"/>
  <c r="Q192" i="1" s="1"/>
  <c r="F192" i="1" a="1"/>
  <c r="E192" i="1"/>
  <c r="D192" i="1" a="1"/>
  <c r="C192" i="1" a="1"/>
  <c r="B192" i="1" a="1"/>
  <c r="T192" i="1" s="1"/>
  <c r="A192" i="1"/>
  <c r="Y191" i="1"/>
  <c r="W191" i="1" a="1"/>
  <c r="V191" i="1" a="1"/>
  <c r="U191" i="1"/>
  <c r="S191" i="1" a="1"/>
  <c r="R191" i="1" a="1"/>
  <c r="P191" i="1"/>
  <c r="O191" i="1"/>
  <c r="N191" i="1"/>
  <c r="M191" i="1"/>
  <c r="K191" i="1"/>
  <c r="J191" i="1" s="1"/>
  <c r="I191" i="1"/>
  <c r="X191" i="1" s="1"/>
  <c r="H191" i="1" a="1"/>
  <c r="G191" i="1" a="1"/>
  <c r="L191" i="1" s="1"/>
  <c r="Q191" i="1" s="1"/>
  <c r="F191" i="1" a="1"/>
  <c r="E191" i="1"/>
  <c r="D191" i="1" a="1"/>
  <c r="C191" i="1" a="1"/>
  <c r="B191" i="1" a="1"/>
  <c r="T191" i="1" s="1"/>
  <c r="A191" i="1"/>
  <c r="Y190" i="1"/>
  <c r="W190" i="1" a="1"/>
  <c r="V190" i="1" a="1"/>
  <c r="U190" i="1"/>
  <c r="S190" i="1" a="1"/>
  <c r="R190" i="1" a="1"/>
  <c r="P190" i="1"/>
  <c r="O190" i="1"/>
  <c r="N190" i="1"/>
  <c r="M190" i="1"/>
  <c r="K190" i="1"/>
  <c r="I190" i="1"/>
  <c r="H190" i="1" a="1"/>
  <c r="G190" i="1" a="1"/>
  <c r="L190" i="1" s="1"/>
  <c r="Q190" i="1" s="1"/>
  <c r="F190" i="1" a="1"/>
  <c r="E190" i="1"/>
  <c r="D190" i="1" a="1"/>
  <c r="C190" i="1" a="1"/>
  <c r="B190" i="1" a="1"/>
  <c r="T190" i="1" s="1"/>
  <c r="A190" i="1"/>
  <c r="Y189" i="1"/>
  <c r="W189" i="1" a="1"/>
  <c r="V189" i="1" a="1"/>
  <c r="U189" i="1"/>
  <c r="S189" i="1" a="1"/>
  <c r="R189" i="1" a="1"/>
  <c r="P189" i="1"/>
  <c r="O189" i="1"/>
  <c r="N189" i="1"/>
  <c r="M189" i="1"/>
  <c r="K189" i="1"/>
  <c r="I189" i="1"/>
  <c r="H189" i="1" a="1"/>
  <c r="G189" i="1" a="1"/>
  <c r="L189" i="1" s="1"/>
  <c r="Q189" i="1" s="1"/>
  <c r="F189" i="1" a="1"/>
  <c r="E189" i="1"/>
  <c r="D189" i="1" a="1"/>
  <c r="C189" i="1" a="1"/>
  <c r="B189" i="1" a="1"/>
  <c r="T189" i="1" s="1"/>
  <c r="A189" i="1"/>
  <c r="Y188" i="1"/>
  <c r="W188" i="1" a="1"/>
  <c r="V188" i="1" a="1"/>
  <c r="U188" i="1"/>
  <c r="S188" i="1" a="1"/>
  <c r="R188" i="1" a="1"/>
  <c r="P188" i="1"/>
  <c r="O188" i="1"/>
  <c r="N188" i="1"/>
  <c r="M188" i="1"/>
  <c r="K188" i="1"/>
  <c r="I188" i="1"/>
  <c r="H188" i="1" a="1"/>
  <c r="G188" i="1" a="1"/>
  <c r="L188" i="1" s="1"/>
  <c r="Q188" i="1" s="1"/>
  <c r="F188" i="1" a="1"/>
  <c r="E188" i="1"/>
  <c r="D188" i="1" a="1"/>
  <c r="C188" i="1" a="1"/>
  <c r="B188" i="1" a="1"/>
  <c r="T188" i="1" s="1"/>
  <c r="A188" i="1"/>
  <c r="Y187" i="1"/>
  <c r="W187" i="1" a="1"/>
  <c r="V187" i="1" a="1"/>
  <c r="U187" i="1"/>
  <c r="S187" i="1" a="1"/>
  <c r="R187" i="1" a="1"/>
  <c r="P187" i="1"/>
  <c r="O187" i="1"/>
  <c r="N187" i="1"/>
  <c r="M187" i="1"/>
  <c r="K187" i="1"/>
  <c r="J187" i="1"/>
  <c r="I187" i="1"/>
  <c r="X187" i="1" s="1"/>
  <c r="H187" i="1" a="1"/>
  <c r="G187" i="1" a="1"/>
  <c r="L187" i="1" s="1"/>
  <c r="Q187" i="1" s="1"/>
  <c r="F187" i="1" a="1"/>
  <c r="E187" i="1"/>
  <c r="D187" i="1" a="1"/>
  <c r="C187" i="1" a="1"/>
  <c r="B187" i="1" a="1"/>
  <c r="T187" i="1" s="1"/>
  <c r="A187" i="1"/>
  <c r="Y186" i="1"/>
  <c r="W186" i="1" a="1"/>
  <c r="V186" i="1" a="1"/>
  <c r="U186" i="1"/>
  <c r="S186" i="1" a="1"/>
  <c r="R186" i="1" a="1"/>
  <c r="P186" i="1"/>
  <c r="O186" i="1"/>
  <c r="N186" i="1"/>
  <c r="M186" i="1"/>
  <c r="K186" i="1"/>
  <c r="J186" i="1"/>
  <c r="I186" i="1"/>
  <c r="X186" i="1" s="1"/>
  <c r="H186" i="1" a="1"/>
  <c r="G186" i="1" a="1"/>
  <c r="L186" i="1" s="1"/>
  <c r="Q186" i="1" s="1"/>
  <c r="F186" i="1" a="1"/>
  <c r="E186" i="1"/>
  <c r="D186" i="1" a="1"/>
  <c r="C186" i="1" a="1"/>
  <c r="B186" i="1" a="1"/>
  <c r="T186" i="1" s="1"/>
  <c r="A186" i="1"/>
  <c r="Y185" i="1"/>
  <c r="W185" i="1" a="1"/>
  <c r="V185" i="1" a="1"/>
  <c r="U185" i="1"/>
  <c r="S185" i="1" a="1"/>
  <c r="R185" i="1" a="1"/>
  <c r="P185" i="1"/>
  <c r="O185" i="1"/>
  <c r="N185" i="1"/>
  <c r="M185" i="1"/>
  <c r="K185" i="1"/>
  <c r="J185" i="1"/>
  <c r="I185" i="1"/>
  <c r="X185" i="1" s="1"/>
  <c r="H185" i="1" a="1"/>
  <c r="G185" i="1" a="1"/>
  <c r="L185" i="1" s="1"/>
  <c r="Q185" i="1" s="1"/>
  <c r="F185" i="1" a="1"/>
  <c r="E185" i="1"/>
  <c r="D185" i="1" a="1"/>
  <c r="C185" i="1" a="1"/>
  <c r="B185" i="1" a="1"/>
  <c r="T185" i="1" s="1"/>
  <c r="A185" i="1"/>
  <c r="Y184" i="1"/>
  <c r="W184" i="1" a="1"/>
  <c r="V184" i="1" a="1"/>
  <c r="U184" i="1"/>
  <c r="S184" i="1" a="1"/>
  <c r="R184" i="1" a="1"/>
  <c r="P184" i="1"/>
  <c r="O184" i="1"/>
  <c r="N184" i="1"/>
  <c r="M184" i="1"/>
  <c r="K184" i="1"/>
  <c r="J184" i="1"/>
  <c r="I184" i="1"/>
  <c r="X184" i="1" s="1"/>
  <c r="H184" i="1" a="1"/>
  <c r="G184" i="1" a="1"/>
  <c r="L184" i="1" s="1"/>
  <c r="Q184" i="1" s="1"/>
  <c r="F184" i="1" a="1"/>
  <c r="E184" i="1"/>
  <c r="D184" i="1" a="1"/>
  <c r="C184" i="1" a="1"/>
  <c r="B184" i="1" a="1"/>
  <c r="T184" i="1" s="1"/>
  <c r="A184" i="1"/>
  <c r="Y183" i="1"/>
  <c r="W183" i="1" a="1"/>
  <c r="V183" i="1" a="1"/>
  <c r="U183" i="1"/>
  <c r="S183" i="1" a="1"/>
  <c r="R183" i="1" a="1"/>
  <c r="P183" i="1"/>
  <c r="O183" i="1"/>
  <c r="N183" i="1"/>
  <c r="M183" i="1"/>
  <c r="K183" i="1"/>
  <c r="J183" i="1"/>
  <c r="I183" i="1"/>
  <c r="X183" i="1" s="1"/>
  <c r="H183" i="1" a="1"/>
  <c r="G183" i="1" a="1"/>
  <c r="L183" i="1" s="1"/>
  <c r="Q183" i="1" s="1"/>
  <c r="F183" i="1" a="1"/>
  <c r="E183" i="1"/>
  <c r="D183" i="1" a="1"/>
  <c r="C183" i="1" a="1"/>
  <c r="B183" i="1" a="1"/>
  <c r="T183" i="1" s="1"/>
  <c r="A183" i="1"/>
  <c r="Y182" i="1"/>
  <c r="W182" i="1" a="1"/>
  <c r="V182" i="1" a="1"/>
  <c r="U182" i="1"/>
  <c r="S182" i="1" a="1"/>
  <c r="R182" i="1" a="1"/>
  <c r="P182" i="1"/>
  <c r="O182" i="1"/>
  <c r="N182" i="1"/>
  <c r="M182" i="1"/>
  <c r="K182" i="1"/>
  <c r="I182" i="1"/>
  <c r="H182" i="1" a="1"/>
  <c r="G182" i="1" a="1"/>
  <c r="L182" i="1" s="1"/>
  <c r="Q182" i="1" s="1"/>
  <c r="F182" i="1" a="1"/>
  <c r="E182" i="1"/>
  <c r="D182" i="1" a="1"/>
  <c r="C182" i="1" a="1"/>
  <c r="B182" i="1" a="1"/>
  <c r="T182" i="1" s="1"/>
  <c r="A182" i="1"/>
  <c r="Y181" i="1"/>
  <c r="W181" i="1" a="1"/>
  <c r="V181" i="1" a="1"/>
  <c r="U181" i="1"/>
  <c r="S181" i="1" a="1"/>
  <c r="R181" i="1" a="1"/>
  <c r="P181" i="1"/>
  <c r="O181" i="1"/>
  <c r="N181" i="1"/>
  <c r="M181" i="1"/>
  <c r="K181" i="1"/>
  <c r="I181" i="1"/>
  <c r="H181" i="1" a="1"/>
  <c r="G181" i="1" a="1"/>
  <c r="L181" i="1" s="1"/>
  <c r="Q181" i="1" s="1"/>
  <c r="F181" i="1" a="1"/>
  <c r="E181" i="1"/>
  <c r="D181" i="1" a="1"/>
  <c r="C181" i="1" a="1"/>
  <c r="B181" i="1" a="1"/>
  <c r="T181" i="1" s="1"/>
  <c r="A181" i="1"/>
  <c r="Y180" i="1"/>
  <c r="W180" i="1" a="1"/>
  <c r="V180" i="1" a="1"/>
  <c r="U180" i="1"/>
  <c r="S180" i="1" a="1"/>
  <c r="R180" i="1" a="1"/>
  <c r="P180" i="1"/>
  <c r="O180" i="1"/>
  <c r="N180" i="1"/>
  <c r="M180" i="1"/>
  <c r="K180" i="1"/>
  <c r="J180" i="1"/>
  <c r="I180" i="1"/>
  <c r="X180" i="1" s="1"/>
  <c r="H180" i="1" a="1"/>
  <c r="G180" i="1" a="1"/>
  <c r="L180" i="1" s="1"/>
  <c r="Q180" i="1" s="1"/>
  <c r="F180" i="1" a="1"/>
  <c r="E180" i="1"/>
  <c r="D180" i="1" a="1"/>
  <c r="C180" i="1" a="1"/>
  <c r="B180" i="1" a="1"/>
  <c r="T180" i="1" s="1"/>
  <c r="A180" i="1"/>
  <c r="Y179" i="1"/>
  <c r="W179" i="1" a="1"/>
  <c r="V179" i="1" a="1"/>
  <c r="U179" i="1"/>
  <c r="S179" i="1" a="1"/>
  <c r="R179" i="1" a="1"/>
  <c r="P179" i="1"/>
  <c r="O179" i="1"/>
  <c r="N179" i="1"/>
  <c r="M179" i="1"/>
  <c r="K179" i="1"/>
  <c r="I179" i="1"/>
  <c r="H179" i="1" a="1"/>
  <c r="G179" i="1" a="1"/>
  <c r="L179" i="1" s="1"/>
  <c r="Q179" i="1" s="1"/>
  <c r="F179" i="1" a="1"/>
  <c r="E179" i="1"/>
  <c r="D179" i="1" a="1"/>
  <c r="C179" i="1" a="1"/>
  <c r="B179" i="1" a="1"/>
  <c r="T179" i="1" s="1"/>
  <c r="A179" i="1"/>
  <c r="Y178" i="1"/>
  <c r="W178" i="1" a="1"/>
  <c r="V178" i="1" a="1"/>
  <c r="U178" i="1"/>
  <c r="S178" i="1" a="1"/>
  <c r="R178" i="1" a="1"/>
  <c r="P178" i="1"/>
  <c r="O178" i="1"/>
  <c r="N178" i="1"/>
  <c r="M178" i="1"/>
  <c r="K178" i="1"/>
  <c r="J178" i="1"/>
  <c r="I178" i="1"/>
  <c r="X178" i="1" s="1"/>
  <c r="H178" i="1" a="1"/>
  <c r="G178" i="1" a="1"/>
  <c r="L178" i="1" s="1"/>
  <c r="Q178" i="1" s="1"/>
  <c r="F178" i="1" a="1"/>
  <c r="E178" i="1"/>
  <c r="D178" i="1" a="1"/>
  <c r="C178" i="1" a="1"/>
  <c r="B178" i="1" a="1"/>
  <c r="T178" i="1" s="1"/>
  <c r="A178" i="1"/>
  <c r="Y177" i="1"/>
  <c r="W177" i="1" a="1"/>
  <c r="V177" i="1" a="1"/>
  <c r="U177" i="1"/>
  <c r="S177" i="1" a="1"/>
  <c r="R177" i="1" a="1"/>
  <c r="P177" i="1"/>
  <c r="O177" i="1"/>
  <c r="N177" i="1"/>
  <c r="M177" i="1"/>
  <c r="K177" i="1"/>
  <c r="J177" i="1"/>
  <c r="I177" i="1"/>
  <c r="X177" i="1" s="1"/>
  <c r="H177" i="1" a="1"/>
  <c r="G177" i="1" a="1"/>
  <c r="L177" i="1" s="1"/>
  <c r="Q177" i="1" s="1"/>
  <c r="F177" i="1" a="1"/>
  <c r="E177" i="1"/>
  <c r="D177" i="1" a="1"/>
  <c r="C177" i="1" a="1"/>
  <c r="B177" i="1" a="1"/>
  <c r="T177" i="1" s="1"/>
  <c r="A177" i="1"/>
  <c r="Y176" i="1"/>
  <c r="W176" i="1" a="1"/>
  <c r="V176" i="1" a="1"/>
  <c r="U176" i="1"/>
  <c r="S176" i="1" a="1"/>
  <c r="R176" i="1" a="1"/>
  <c r="P176" i="1"/>
  <c r="O176" i="1"/>
  <c r="N176" i="1"/>
  <c r="M176" i="1"/>
  <c r="K176" i="1"/>
  <c r="J176" i="1"/>
  <c r="I176" i="1"/>
  <c r="X176" i="1" s="1"/>
  <c r="H176" i="1" a="1"/>
  <c r="G176" i="1" a="1"/>
  <c r="L176" i="1" s="1"/>
  <c r="Q176" i="1" s="1"/>
  <c r="F176" i="1" a="1"/>
  <c r="E176" i="1"/>
  <c r="D176" i="1" a="1"/>
  <c r="C176" i="1" a="1"/>
  <c r="B176" i="1" a="1"/>
  <c r="T176" i="1" s="1"/>
  <c r="A176" i="1"/>
  <c r="Y175" i="1"/>
  <c r="W175" i="1" a="1"/>
  <c r="V175" i="1" a="1"/>
  <c r="U175" i="1"/>
  <c r="S175" i="1" a="1"/>
  <c r="R175" i="1" a="1"/>
  <c r="P175" i="1"/>
  <c r="O175" i="1"/>
  <c r="N175" i="1"/>
  <c r="M175" i="1"/>
  <c r="K175" i="1"/>
  <c r="J175" i="1"/>
  <c r="I175" i="1"/>
  <c r="X175" i="1" s="1"/>
  <c r="H175" i="1" a="1"/>
  <c r="G175" i="1" a="1"/>
  <c r="L175" i="1" s="1"/>
  <c r="Q175" i="1" s="1"/>
  <c r="F175" i="1" a="1"/>
  <c r="E175" i="1"/>
  <c r="D175" i="1" a="1"/>
  <c r="C175" i="1" a="1"/>
  <c r="B175" i="1" a="1"/>
  <c r="T175" i="1" s="1"/>
  <c r="A175" i="1"/>
  <c r="Y174" i="1"/>
  <c r="W174" i="1" a="1"/>
  <c r="V174" i="1" a="1"/>
  <c r="U174" i="1"/>
  <c r="S174" i="1" a="1"/>
  <c r="R174" i="1" a="1"/>
  <c r="P174" i="1"/>
  <c r="O174" i="1"/>
  <c r="N174" i="1"/>
  <c r="M174" i="1"/>
  <c r="K174" i="1"/>
  <c r="J174" i="1"/>
  <c r="I174" i="1"/>
  <c r="X174" i="1" s="1"/>
  <c r="H174" i="1" a="1"/>
  <c r="G174" i="1" a="1"/>
  <c r="L174" i="1" s="1"/>
  <c r="Q174" i="1" s="1"/>
  <c r="F174" i="1" a="1"/>
  <c r="E174" i="1"/>
  <c r="D174" i="1" a="1"/>
  <c r="C174" i="1" a="1"/>
  <c r="B174" i="1" a="1"/>
  <c r="T174" i="1" s="1"/>
  <c r="A174" i="1"/>
  <c r="Y173" i="1"/>
  <c r="W173" i="1" a="1"/>
  <c r="V173" i="1" a="1"/>
  <c r="U173" i="1"/>
  <c r="S173" i="1" a="1"/>
  <c r="R173" i="1" a="1"/>
  <c r="P173" i="1"/>
  <c r="O173" i="1"/>
  <c r="N173" i="1"/>
  <c r="M173" i="1"/>
  <c r="K173" i="1"/>
  <c r="J173" i="1"/>
  <c r="I173" i="1"/>
  <c r="X173" i="1" s="1"/>
  <c r="H173" i="1" a="1"/>
  <c r="G173" i="1" a="1"/>
  <c r="L173" i="1" s="1"/>
  <c r="Q173" i="1" s="1"/>
  <c r="F173" i="1" a="1"/>
  <c r="E173" i="1"/>
  <c r="D173" i="1" a="1"/>
  <c r="C173" i="1" a="1"/>
  <c r="B173" i="1" a="1"/>
  <c r="T173" i="1" s="1"/>
  <c r="A173" i="1"/>
  <c r="Y172" i="1"/>
  <c r="W172" i="1" a="1"/>
  <c r="V172" i="1" a="1"/>
  <c r="U172" i="1"/>
  <c r="S172" i="1" a="1"/>
  <c r="R172" i="1" a="1"/>
  <c r="P172" i="1"/>
  <c r="O172" i="1"/>
  <c r="N172" i="1"/>
  <c r="M172" i="1"/>
  <c r="K172" i="1"/>
  <c r="J172" i="1"/>
  <c r="I172" i="1"/>
  <c r="X172" i="1" s="1"/>
  <c r="H172" i="1" a="1"/>
  <c r="G172" i="1" a="1"/>
  <c r="L172" i="1" s="1"/>
  <c r="Q172" i="1" s="1"/>
  <c r="F172" i="1" a="1"/>
  <c r="E172" i="1"/>
  <c r="D172" i="1" a="1"/>
  <c r="C172" i="1" a="1"/>
  <c r="B172" i="1" a="1"/>
  <c r="T172" i="1" s="1"/>
  <c r="A172" i="1"/>
  <c r="Y171" i="1"/>
  <c r="W171" i="1" a="1"/>
  <c r="V171" i="1" a="1"/>
  <c r="U171" i="1"/>
  <c r="S171" i="1" a="1"/>
  <c r="R171" i="1" a="1"/>
  <c r="P171" i="1"/>
  <c r="O171" i="1"/>
  <c r="N171" i="1"/>
  <c r="M171" i="1"/>
  <c r="K171" i="1"/>
  <c r="I171" i="1"/>
  <c r="H171" i="1" a="1"/>
  <c r="G171" i="1" a="1"/>
  <c r="L171" i="1" s="1"/>
  <c r="Q171" i="1" s="1"/>
  <c r="F171" i="1" a="1"/>
  <c r="E171" i="1"/>
  <c r="D171" i="1" a="1"/>
  <c r="C171" i="1" a="1"/>
  <c r="B171" i="1" a="1"/>
  <c r="T171" i="1" s="1"/>
  <c r="A171" i="1"/>
  <c r="Y170" i="1"/>
  <c r="W170" i="1" a="1"/>
  <c r="V170" i="1" a="1"/>
  <c r="U170" i="1"/>
  <c r="S170" i="1" a="1"/>
  <c r="R170" i="1" a="1"/>
  <c r="P170" i="1"/>
  <c r="O170" i="1"/>
  <c r="N170" i="1"/>
  <c r="M170" i="1"/>
  <c r="K170" i="1"/>
  <c r="I170" i="1"/>
  <c r="H170" i="1" a="1"/>
  <c r="G170" i="1" a="1"/>
  <c r="L170" i="1" s="1"/>
  <c r="Q170" i="1" s="1"/>
  <c r="F170" i="1" a="1"/>
  <c r="E170" i="1"/>
  <c r="D170" i="1" a="1"/>
  <c r="C170" i="1" a="1"/>
  <c r="B170" i="1" a="1"/>
  <c r="T170" i="1" s="1"/>
  <c r="A170" i="1"/>
  <c r="Y169" i="1"/>
  <c r="W169" i="1" a="1"/>
  <c r="V169" i="1" a="1"/>
  <c r="U169" i="1"/>
  <c r="S169" i="1" a="1"/>
  <c r="R169" i="1" a="1"/>
  <c r="P169" i="1"/>
  <c r="O169" i="1"/>
  <c r="N169" i="1"/>
  <c r="M169" i="1"/>
  <c r="K169" i="1"/>
  <c r="I169" i="1"/>
  <c r="H169" i="1" a="1"/>
  <c r="G169" i="1" a="1"/>
  <c r="L169" i="1" s="1"/>
  <c r="Q169" i="1" s="1"/>
  <c r="F169" i="1" a="1"/>
  <c r="E169" i="1"/>
  <c r="D169" i="1" a="1"/>
  <c r="C169" i="1" a="1"/>
  <c r="B169" i="1" a="1"/>
  <c r="T169" i="1" s="1"/>
  <c r="A169" i="1"/>
  <c r="Y168" i="1"/>
  <c r="W168" i="1" a="1"/>
  <c r="V168" i="1" a="1"/>
  <c r="U168" i="1"/>
  <c r="S168" i="1" a="1"/>
  <c r="R168" i="1" a="1"/>
  <c r="P168" i="1"/>
  <c r="O168" i="1"/>
  <c r="N168" i="1"/>
  <c r="M168" i="1"/>
  <c r="K168" i="1"/>
  <c r="J168" i="1"/>
  <c r="I168" i="1"/>
  <c r="X168" i="1" s="1"/>
  <c r="H168" i="1" a="1"/>
  <c r="G168" i="1" a="1"/>
  <c r="L168" i="1" s="1"/>
  <c r="Q168" i="1" s="1"/>
  <c r="F168" i="1" a="1"/>
  <c r="E168" i="1"/>
  <c r="D168" i="1" a="1"/>
  <c r="C168" i="1" a="1"/>
  <c r="B168" i="1" a="1"/>
  <c r="T168" i="1" s="1"/>
  <c r="A168" i="1"/>
  <c r="Y167" i="1"/>
  <c r="W167" i="1" a="1"/>
  <c r="V167" i="1" a="1"/>
  <c r="U167" i="1"/>
  <c r="S167" i="1" a="1"/>
  <c r="R167" i="1" a="1"/>
  <c r="P167" i="1"/>
  <c r="O167" i="1"/>
  <c r="N167" i="1"/>
  <c r="M167" i="1"/>
  <c r="K167" i="1"/>
  <c r="J167" i="1"/>
  <c r="I167" i="1"/>
  <c r="X167" i="1" s="1"/>
  <c r="H167" i="1" a="1"/>
  <c r="G167" i="1" a="1"/>
  <c r="L167" i="1" s="1"/>
  <c r="Q167" i="1" s="1"/>
  <c r="F167" i="1" a="1"/>
  <c r="E167" i="1"/>
  <c r="D167" i="1" a="1"/>
  <c r="C167" i="1" a="1"/>
  <c r="B167" i="1" a="1"/>
  <c r="T167" i="1" s="1"/>
  <c r="A167" i="1"/>
  <c r="Y166" i="1"/>
  <c r="W166" i="1" a="1"/>
  <c r="V166" i="1" a="1"/>
  <c r="U166" i="1"/>
  <c r="S166" i="1" a="1"/>
  <c r="R166" i="1" a="1"/>
  <c r="P166" i="1"/>
  <c r="O166" i="1"/>
  <c r="N166" i="1"/>
  <c r="M166" i="1"/>
  <c r="K166" i="1"/>
  <c r="J166" i="1"/>
  <c r="I166" i="1"/>
  <c r="X166" i="1" s="1"/>
  <c r="H166" i="1" a="1"/>
  <c r="G166" i="1" a="1"/>
  <c r="L166" i="1" s="1"/>
  <c r="Q166" i="1" s="1"/>
  <c r="F166" i="1" a="1"/>
  <c r="E166" i="1"/>
  <c r="D166" i="1" a="1"/>
  <c r="C166" i="1" a="1"/>
  <c r="B166" i="1" a="1"/>
  <c r="T166" i="1" s="1"/>
  <c r="A166" i="1"/>
  <c r="Y165" i="1"/>
  <c r="W165" i="1" a="1"/>
  <c r="V165" i="1" a="1"/>
  <c r="U165" i="1"/>
  <c r="S165" i="1" a="1"/>
  <c r="R165" i="1" a="1"/>
  <c r="P165" i="1"/>
  <c r="O165" i="1"/>
  <c r="N165" i="1"/>
  <c r="M165" i="1"/>
  <c r="K165" i="1"/>
  <c r="I165" i="1"/>
  <c r="H165" i="1" a="1"/>
  <c r="G165" i="1" a="1"/>
  <c r="L165" i="1" s="1"/>
  <c r="Q165" i="1" s="1"/>
  <c r="F165" i="1" a="1"/>
  <c r="E165" i="1"/>
  <c r="D165" i="1" a="1"/>
  <c r="C165" i="1" a="1"/>
  <c r="B165" i="1" a="1"/>
  <c r="T165" i="1" s="1"/>
  <c r="A165" i="1"/>
  <c r="Y164" i="1"/>
  <c r="W164" i="1" a="1"/>
  <c r="V164" i="1" a="1"/>
  <c r="U164" i="1"/>
  <c r="S164" i="1" a="1"/>
  <c r="R164" i="1" a="1"/>
  <c r="P164" i="1"/>
  <c r="O164" i="1"/>
  <c r="N164" i="1"/>
  <c r="M164" i="1"/>
  <c r="K164" i="1"/>
  <c r="J164" i="1"/>
  <c r="I164" i="1"/>
  <c r="X164" i="1" s="1"/>
  <c r="H164" i="1" a="1"/>
  <c r="G164" i="1" a="1"/>
  <c r="L164" i="1" s="1"/>
  <c r="Q164" i="1" s="1"/>
  <c r="F164" i="1" a="1"/>
  <c r="E164" i="1"/>
  <c r="D164" i="1" a="1"/>
  <c r="C164" i="1" a="1"/>
  <c r="B164" i="1" a="1"/>
  <c r="T164" i="1" s="1"/>
  <c r="A164" i="1"/>
  <c r="Y163" i="1"/>
  <c r="W163" i="1" a="1"/>
  <c r="V163" i="1" a="1"/>
  <c r="U163" i="1"/>
  <c r="S163" i="1" a="1"/>
  <c r="R163" i="1" a="1"/>
  <c r="P163" i="1"/>
  <c r="O163" i="1"/>
  <c r="N163" i="1"/>
  <c r="M163" i="1"/>
  <c r="K163" i="1"/>
  <c r="J163" i="1"/>
  <c r="I163" i="1"/>
  <c r="X163" i="1" s="1"/>
  <c r="H163" i="1" a="1"/>
  <c r="G163" i="1" a="1"/>
  <c r="L163" i="1" s="1"/>
  <c r="Q163" i="1" s="1"/>
  <c r="F163" i="1" a="1"/>
  <c r="E163" i="1"/>
  <c r="D163" i="1" a="1"/>
  <c r="C163" i="1" a="1"/>
  <c r="B163" i="1" a="1"/>
  <c r="T163" i="1" s="1"/>
  <c r="A163" i="1"/>
  <c r="Y162" i="1"/>
  <c r="W162" i="1" a="1"/>
  <c r="V162" i="1" a="1"/>
  <c r="U162" i="1"/>
  <c r="S162" i="1" a="1"/>
  <c r="R162" i="1" a="1"/>
  <c r="P162" i="1"/>
  <c r="O162" i="1"/>
  <c r="N162" i="1"/>
  <c r="M162" i="1"/>
  <c r="K162" i="1"/>
  <c r="I162" i="1"/>
  <c r="H162" i="1" a="1"/>
  <c r="G162" i="1" a="1"/>
  <c r="L162" i="1" s="1"/>
  <c r="Q162" i="1" s="1"/>
  <c r="F162" i="1" a="1"/>
  <c r="E162" i="1"/>
  <c r="D162" i="1" a="1"/>
  <c r="C162" i="1" a="1"/>
  <c r="B162" i="1" a="1"/>
  <c r="T162" i="1" s="1"/>
  <c r="A162" i="1"/>
  <c r="Y161" i="1"/>
  <c r="W161" i="1" a="1"/>
  <c r="V161" i="1" a="1"/>
  <c r="U161" i="1"/>
  <c r="S161" i="1" a="1"/>
  <c r="R161" i="1" a="1"/>
  <c r="P161" i="1"/>
  <c r="O161" i="1"/>
  <c r="N161" i="1"/>
  <c r="M161" i="1"/>
  <c r="K161" i="1"/>
  <c r="I161" i="1"/>
  <c r="H161" i="1" a="1"/>
  <c r="G161" i="1" a="1"/>
  <c r="L161" i="1" s="1"/>
  <c r="Q161" i="1" s="1"/>
  <c r="F161" i="1" a="1"/>
  <c r="E161" i="1"/>
  <c r="D161" i="1" a="1"/>
  <c r="C161" i="1" a="1"/>
  <c r="B161" i="1" a="1"/>
  <c r="T161" i="1" s="1"/>
  <c r="A161" i="1"/>
  <c r="Y160" i="1"/>
  <c r="W160" i="1" a="1"/>
  <c r="V160" i="1" a="1"/>
  <c r="U160" i="1"/>
  <c r="S160" i="1" a="1"/>
  <c r="R160" i="1" a="1"/>
  <c r="P160" i="1"/>
  <c r="O160" i="1"/>
  <c r="N160" i="1"/>
  <c r="M160" i="1"/>
  <c r="K160" i="1"/>
  <c r="J160" i="1"/>
  <c r="I160" i="1"/>
  <c r="X160" i="1" s="1"/>
  <c r="H160" i="1" a="1"/>
  <c r="G160" i="1" a="1"/>
  <c r="L160" i="1" s="1"/>
  <c r="Q160" i="1" s="1"/>
  <c r="F160" i="1" a="1"/>
  <c r="E160" i="1"/>
  <c r="D160" i="1" a="1"/>
  <c r="C160" i="1" a="1"/>
  <c r="B160" i="1" a="1"/>
  <c r="T160" i="1" s="1"/>
  <c r="A160" i="1"/>
  <c r="Y159" i="1"/>
  <c r="W159" i="1" a="1"/>
  <c r="V159" i="1" a="1"/>
  <c r="U159" i="1"/>
  <c r="S159" i="1" a="1"/>
  <c r="R159" i="1" a="1"/>
  <c r="P159" i="1"/>
  <c r="O159" i="1"/>
  <c r="N159" i="1"/>
  <c r="M159" i="1"/>
  <c r="K159" i="1"/>
  <c r="J159" i="1"/>
  <c r="I159" i="1"/>
  <c r="X159" i="1" s="1"/>
  <c r="H159" i="1" a="1"/>
  <c r="G159" i="1" a="1"/>
  <c r="L159" i="1" s="1"/>
  <c r="Q159" i="1" s="1"/>
  <c r="F159" i="1" a="1"/>
  <c r="E159" i="1"/>
  <c r="D159" i="1" a="1"/>
  <c r="C159" i="1" a="1"/>
  <c r="B159" i="1" a="1"/>
  <c r="T159" i="1" s="1"/>
  <c r="A159" i="1"/>
  <c r="Y158" i="1"/>
  <c r="W158" i="1" a="1"/>
  <c r="V158" i="1" a="1"/>
  <c r="U158" i="1"/>
  <c r="S158" i="1" a="1"/>
  <c r="R158" i="1" a="1"/>
  <c r="P158" i="1"/>
  <c r="O158" i="1"/>
  <c r="N158" i="1"/>
  <c r="M158" i="1"/>
  <c r="K158" i="1"/>
  <c r="I158" i="1"/>
  <c r="H158" i="1" a="1"/>
  <c r="G158" i="1" a="1"/>
  <c r="L158" i="1" s="1"/>
  <c r="Q158" i="1" s="1"/>
  <c r="F158" i="1" a="1"/>
  <c r="E158" i="1"/>
  <c r="D158" i="1" a="1"/>
  <c r="C158" i="1" a="1"/>
  <c r="B158" i="1" a="1"/>
  <c r="T158" i="1" s="1"/>
  <c r="A158" i="1"/>
  <c r="Y157" i="1"/>
  <c r="W157" i="1" a="1"/>
  <c r="V157" i="1" a="1"/>
  <c r="U157" i="1"/>
  <c r="S157" i="1" a="1"/>
  <c r="R157" i="1" a="1"/>
  <c r="P157" i="1"/>
  <c r="O157" i="1"/>
  <c r="N157" i="1"/>
  <c r="M157" i="1"/>
  <c r="K157" i="1"/>
  <c r="I157" i="1"/>
  <c r="H157" i="1" a="1"/>
  <c r="G157" i="1" a="1"/>
  <c r="L157" i="1" s="1"/>
  <c r="Q157" i="1" s="1"/>
  <c r="F157" i="1" a="1"/>
  <c r="E157" i="1"/>
  <c r="D157" i="1" a="1"/>
  <c r="C157" i="1" a="1"/>
  <c r="B157" i="1" a="1"/>
  <c r="T157" i="1" s="1"/>
  <c r="A157" i="1"/>
  <c r="Y156" i="1"/>
  <c r="W156" i="1" a="1"/>
  <c r="V156" i="1" a="1"/>
  <c r="U156" i="1"/>
  <c r="S156" i="1" a="1"/>
  <c r="R156" i="1" a="1"/>
  <c r="P156" i="1"/>
  <c r="O156" i="1"/>
  <c r="N156" i="1"/>
  <c r="M156" i="1"/>
  <c r="K156" i="1"/>
  <c r="J156" i="1"/>
  <c r="I156" i="1"/>
  <c r="X156" i="1" s="1"/>
  <c r="H156" i="1" a="1"/>
  <c r="G156" i="1" a="1"/>
  <c r="L156" i="1" s="1"/>
  <c r="Q156" i="1" s="1"/>
  <c r="F156" i="1" a="1"/>
  <c r="E156" i="1"/>
  <c r="D156" i="1" a="1"/>
  <c r="C156" i="1" a="1"/>
  <c r="B156" i="1" a="1"/>
  <c r="T156" i="1" s="1"/>
  <c r="A156" i="1"/>
  <c r="Y155" i="1"/>
  <c r="W155" i="1" a="1"/>
  <c r="V155" i="1" a="1"/>
  <c r="U155" i="1"/>
  <c r="S155" i="1" a="1"/>
  <c r="R155" i="1" a="1"/>
  <c r="P155" i="1"/>
  <c r="O155" i="1"/>
  <c r="N155" i="1"/>
  <c r="M155" i="1"/>
  <c r="K155" i="1"/>
  <c r="I155" i="1"/>
  <c r="H155" i="1" a="1"/>
  <c r="G155" i="1" a="1"/>
  <c r="L155" i="1" s="1"/>
  <c r="Q155" i="1" s="1"/>
  <c r="F155" i="1" a="1"/>
  <c r="E155" i="1"/>
  <c r="D155" i="1" a="1"/>
  <c r="C155" i="1" a="1"/>
  <c r="B155" i="1" a="1"/>
  <c r="T155" i="1" s="1"/>
  <c r="A155" i="1"/>
  <c r="Y154" i="1"/>
  <c r="W154" i="1" a="1"/>
  <c r="V154" i="1" a="1"/>
  <c r="U154" i="1"/>
  <c r="S154" i="1" a="1"/>
  <c r="R154" i="1" a="1"/>
  <c r="P154" i="1"/>
  <c r="O154" i="1"/>
  <c r="N154" i="1"/>
  <c r="M154" i="1"/>
  <c r="K154" i="1"/>
  <c r="I154" i="1"/>
  <c r="H154" i="1" a="1"/>
  <c r="G154" i="1" a="1"/>
  <c r="L154" i="1" s="1"/>
  <c r="Q154" i="1" s="1"/>
  <c r="F154" i="1" a="1"/>
  <c r="E154" i="1"/>
  <c r="D154" i="1" a="1"/>
  <c r="C154" i="1" a="1"/>
  <c r="B154" i="1" a="1"/>
  <c r="T154" i="1" s="1"/>
  <c r="A154" i="1"/>
  <c r="Y153" i="1"/>
  <c r="W153" i="1" a="1"/>
  <c r="V153" i="1" a="1"/>
  <c r="U153" i="1"/>
  <c r="S153" i="1" a="1"/>
  <c r="R153" i="1" a="1"/>
  <c r="P153" i="1"/>
  <c r="O153" i="1"/>
  <c r="N153" i="1"/>
  <c r="M153" i="1"/>
  <c r="K153" i="1"/>
  <c r="J153" i="1"/>
  <c r="I153" i="1"/>
  <c r="X153" i="1" s="1"/>
  <c r="H153" i="1" a="1"/>
  <c r="G153" i="1" a="1"/>
  <c r="L153" i="1" s="1"/>
  <c r="Q153" i="1" s="1"/>
  <c r="F153" i="1" a="1"/>
  <c r="E153" i="1"/>
  <c r="D153" i="1" a="1"/>
  <c r="C153" i="1" a="1"/>
  <c r="B153" i="1" a="1"/>
  <c r="T153" i="1" s="1"/>
  <c r="A153" i="1"/>
  <c r="Y152" i="1"/>
  <c r="W152" i="1" a="1"/>
  <c r="V152" i="1" a="1"/>
  <c r="U152" i="1"/>
  <c r="S152" i="1" a="1"/>
  <c r="R152" i="1" a="1"/>
  <c r="P152" i="1"/>
  <c r="O152" i="1"/>
  <c r="N152" i="1"/>
  <c r="M152" i="1"/>
  <c r="K152" i="1"/>
  <c r="J152" i="1"/>
  <c r="I152" i="1"/>
  <c r="X152" i="1" s="1"/>
  <c r="H152" i="1" a="1"/>
  <c r="G152" i="1" a="1"/>
  <c r="L152" i="1" s="1"/>
  <c r="Q152" i="1" s="1"/>
  <c r="F152" i="1" a="1"/>
  <c r="E152" i="1"/>
  <c r="D152" i="1" a="1"/>
  <c r="C152" i="1" a="1"/>
  <c r="B152" i="1" a="1"/>
  <c r="T152" i="1" s="1"/>
  <c r="A152" i="1"/>
  <c r="Y151" i="1"/>
  <c r="W151" i="1" a="1"/>
  <c r="V151" i="1" a="1"/>
  <c r="U151" i="1"/>
  <c r="S151" i="1" a="1"/>
  <c r="R151" i="1" a="1"/>
  <c r="P151" i="1"/>
  <c r="O151" i="1"/>
  <c r="N151" i="1"/>
  <c r="M151" i="1"/>
  <c r="K151" i="1"/>
  <c r="J151" i="1"/>
  <c r="I151" i="1"/>
  <c r="X151" i="1" s="1"/>
  <c r="H151" i="1" a="1"/>
  <c r="G151" i="1" a="1"/>
  <c r="L151" i="1" s="1"/>
  <c r="Q151" i="1" s="1"/>
  <c r="F151" i="1" a="1"/>
  <c r="E151" i="1"/>
  <c r="D151" i="1" a="1"/>
  <c r="C151" i="1" a="1"/>
  <c r="B151" i="1" a="1"/>
  <c r="T151" i="1" s="1"/>
  <c r="A151" i="1"/>
  <c r="Y150" i="1"/>
  <c r="W150" i="1" a="1"/>
  <c r="V150" i="1" a="1"/>
  <c r="U150" i="1"/>
  <c r="S150" i="1" a="1"/>
  <c r="R150" i="1" a="1"/>
  <c r="P150" i="1"/>
  <c r="O150" i="1"/>
  <c r="N150" i="1"/>
  <c r="M150" i="1"/>
  <c r="K150" i="1"/>
  <c r="J150" i="1"/>
  <c r="I150" i="1"/>
  <c r="X150" i="1" s="1"/>
  <c r="H150" i="1" a="1"/>
  <c r="G150" i="1" a="1"/>
  <c r="L150" i="1" s="1"/>
  <c r="Q150" i="1" s="1"/>
  <c r="F150" i="1" a="1"/>
  <c r="E150" i="1"/>
  <c r="D150" i="1" a="1"/>
  <c r="C150" i="1" a="1"/>
  <c r="B150" i="1" a="1"/>
  <c r="T150" i="1" s="1"/>
  <c r="A150" i="1"/>
  <c r="Y149" i="1"/>
  <c r="W149" i="1" a="1"/>
  <c r="V149" i="1" a="1"/>
  <c r="U149" i="1"/>
  <c r="S149" i="1" a="1"/>
  <c r="R149" i="1" a="1"/>
  <c r="P149" i="1"/>
  <c r="O149" i="1"/>
  <c r="N149" i="1"/>
  <c r="M149" i="1"/>
  <c r="K149" i="1"/>
  <c r="J149" i="1"/>
  <c r="I149" i="1"/>
  <c r="X149" i="1" s="1"/>
  <c r="H149" i="1" a="1"/>
  <c r="G149" i="1" a="1"/>
  <c r="L149" i="1" s="1"/>
  <c r="Q149" i="1" s="1"/>
  <c r="F149" i="1" a="1"/>
  <c r="E149" i="1"/>
  <c r="D149" i="1" a="1"/>
  <c r="C149" i="1" a="1"/>
  <c r="B149" i="1" a="1"/>
  <c r="T149" i="1" s="1"/>
  <c r="A149" i="1"/>
  <c r="Y148" i="1"/>
  <c r="W148" i="1" a="1"/>
  <c r="V148" i="1" a="1"/>
  <c r="U148" i="1"/>
  <c r="S148" i="1" a="1"/>
  <c r="R148" i="1" a="1"/>
  <c r="P148" i="1"/>
  <c r="O148" i="1"/>
  <c r="N148" i="1"/>
  <c r="M148" i="1"/>
  <c r="K148" i="1"/>
  <c r="I148" i="1"/>
  <c r="H148" i="1" a="1"/>
  <c r="G148" i="1" a="1"/>
  <c r="L148" i="1" s="1"/>
  <c r="Q148" i="1" s="1"/>
  <c r="F148" i="1" a="1"/>
  <c r="E148" i="1"/>
  <c r="D148" i="1" a="1"/>
  <c r="C148" i="1" a="1"/>
  <c r="B148" i="1" a="1"/>
  <c r="T148" i="1" s="1"/>
  <c r="A148" i="1"/>
  <c r="Y147" i="1"/>
  <c r="W147" i="1" a="1"/>
  <c r="V147" i="1" a="1"/>
  <c r="U147" i="1"/>
  <c r="S147" i="1" a="1"/>
  <c r="R147" i="1" a="1"/>
  <c r="P147" i="1"/>
  <c r="O147" i="1"/>
  <c r="N147" i="1"/>
  <c r="M147" i="1"/>
  <c r="K147" i="1"/>
  <c r="J147" i="1"/>
  <c r="I147" i="1"/>
  <c r="X147" i="1" s="1"/>
  <c r="H147" i="1" a="1"/>
  <c r="G147" i="1" a="1"/>
  <c r="L147" i="1" s="1"/>
  <c r="Q147" i="1" s="1"/>
  <c r="F147" i="1" a="1"/>
  <c r="E147" i="1"/>
  <c r="D147" i="1" a="1"/>
  <c r="C147" i="1" a="1"/>
  <c r="B147" i="1" a="1"/>
  <c r="T147" i="1" s="1"/>
  <c r="A147" i="1"/>
  <c r="Y146" i="1"/>
  <c r="W146" i="1" a="1"/>
  <c r="V146" i="1" a="1"/>
  <c r="U146" i="1"/>
  <c r="S146" i="1" a="1"/>
  <c r="R146" i="1" a="1"/>
  <c r="P146" i="1"/>
  <c r="O146" i="1"/>
  <c r="N146" i="1"/>
  <c r="M146" i="1"/>
  <c r="K146" i="1"/>
  <c r="I146" i="1"/>
  <c r="H146" i="1" a="1"/>
  <c r="G146" i="1" a="1"/>
  <c r="L146" i="1" s="1"/>
  <c r="Q146" i="1" s="1"/>
  <c r="F146" i="1" a="1"/>
  <c r="E146" i="1"/>
  <c r="D146" i="1" a="1"/>
  <c r="C146" i="1" a="1"/>
  <c r="B146" i="1" a="1"/>
  <c r="T146" i="1" s="1"/>
  <c r="A146" i="1"/>
  <c r="Y145" i="1"/>
  <c r="W145" i="1" a="1"/>
  <c r="V145" i="1" a="1"/>
  <c r="U145" i="1"/>
  <c r="S145" i="1" a="1"/>
  <c r="R145" i="1" a="1"/>
  <c r="P145" i="1"/>
  <c r="O145" i="1"/>
  <c r="N145" i="1"/>
  <c r="M145" i="1"/>
  <c r="K145" i="1"/>
  <c r="J145" i="1"/>
  <c r="I145" i="1"/>
  <c r="X145" i="1" s="1"/>
  <c r="H145" i="1" a="1"/>
  <c r="G145" i="1" a="1"/>
  <c r="L145" i="1" s="1"/>
  <c r="Q145" i="1" s="1"/>
  <c r="F145" i="1" a="1"/>
  <c r="E145" i="1"/>
  <c r="D145" i="1" a="1"/>
  <c r="C145" i="1" a="1"/>
  <c r="B145" i="1" a="1"/>
  <c r="T145" i="1" s="1"/>
  <c r="A145" i="1"/>
  <c r="Y144" i="1"/>
  <c r="W144" i="1" a="1"/>
  <c r="V144" i="1" a="1"/>
  <c r="U144" i="1"/>
  <c r="S144" i="1" a="1"/>
  <c r="R144" i="1" a="1"/>
  <c r="P144" i="1"/>
  <c r="O144" i="1"/>
  <c r="N144" i="1"/>
  <c r="M144" i="1"/>
  <c r="K144" i="1"/>
  <c r="J144" i="1"/>
  <c r="I144" i="1"/>
  <c r="X144" i="1" s="1"/>
  <c r="H144" i="1" a="1"/>
  <c r="G144" i="1" a="1"/>
  <c r="L144" i="1" s="1"/>
  <c r="Q144" i="1" s="1"/>
  <c r="F144" i="1" a="1"/>
  <c r="E144" i="1"/>
  <c r="D144" i="1" a="1"/>
  <c r="C144" i="1" a="1"/>
  <c r="B144" i="1" a="1"/>
  <c r="T144" i="1" s="1"/>
  <c r="A144" i="1"/>
  <c r="Y143" i="1"/>
  <c r="W143" i="1" a="1"/>
  <c r="V143" i="1" a="1"/>
  <c r="U143" i="1"/>
  <c r="S143" i="1" a="1"/>
  <c r="R143" i="1" a="1"/>
  <c r="P143" i="1"/>
  <c r="O143" i="1"/>
  <c r="N143" i="1"/>
  <c r="M143" i="1"/>
  <c r="K143" i="1"/>
  <c r="J143" i="1" s="1"/>
  <c r="I143" i="1"/>
  <c r="X143" i="1" s="1"/>
  <c r="H143" i="1" a="1"/>
  <c r="G143" i="1" a="1"/>
  <c r="L143" i="1" s="1"/>
  <c r="Q143" i="1" s="1"/>
  <c r="F143" i="1" a="1"/>
  <c r="E143" i="1"/>
  <c r="D143" i="1" a="1"/>
  <c r="C143" i="1" a="1"/>
  <c r="B143" i="1" a="1"/>
  <c r="T143" i="1" s="1"/>
  <c r="A143" i="1"/>
  <c r="Y142" i="1"/>
  <c r="W142" i="1" a="1"/>
  <c r="V142" i="1" a="1"/>
  <c r="U142" i="1"/>
  <c r="S142" i="1" a="1"/>
  <c r="R142" i="1" a="1"/>
  <c r="P142" i="1"/>
  <c r="O142" i="1"/>
  <c r="N142" i="1"/>
  <c r="M142" i="1"/>
  <c r="K142" i="1"/>
  <c r="J142" i="1" s="1"/>
  <c r="I142" i="1"/>
  <c r="X142" i="1" s="1"/>
  <c r="H142" i="1" a="1"/>
  <c r="G142" i="1" a="1"/>
  <c r="L142" i="1" s="1"/>
  <c r="Q142" i="1" s="1"/>
  <c r="F142" i="1" a="1"/>
  <c r="E142" i="1"/>
  <c r="D142" i="1" a="1"/>
  <c r="C142" i="1" a="1"/>
  <c r="B142" i="1" a="1"/>
  <c r="T142" i="1" s="1"/>
  <c r="A142" i="1"/>
  <c r="Y141" i="1"/>
  <c r="W141" i="1" a="1"/>
  <c r="V141" i="1" a="1"/>
  <c r="U141" i="1"/>
  <c r="S141" i="1" a="1"/>
  <c r="R141" i="1" a="1"/>
  <c r="P141" i="1"/>
  <c r="O141" i="1"/>
  <c r="N141" i="1"/>
  <c r="M141" i="1"/>
  <c r="K141" i="1"/>
  <c r="J141" i="1" s="1"/>
  <c r="I141" i="1"/>
  <c r="X141" i="1" s="1"/>
  <c r="H141" i="1" a="1"/>
  <c r="G141" i="1" a="1"/>
  <c r="L141" i="1" s="1"/>
  <c r="Q141" i="1" s="1"/>
  <c r="F141" i="1" a="1"/>
  <c r="E141" i="1"/>
  <c r="D141" i="1" a="1"/>
  <c r="C141" i="1" a="1"/>
  <c r="B141" i="1" a="1"/>
  <c r="T141" i="1" s="1"/>
  <c r="A141" i="1"/>
  <c r="Y140" i="1"/>
  <c r="W140" i="1" a="1"/>
  <c r="V140" i="1" a="1"/>
  <c r="U140" i="1"/>
  <c r="S140" i="1" a="1"/>
  <c r="R140" i="1" a="1"/>
  <c r="P140" i="1"/>
  <c r="O140" i="1"/>
  <c r="N140" i="1"/>
  <c r="M140" i="1"/>
  <c r="K140" i="1"/>
  <c r="I140" i="1"/>
  <c r="X140" i="1" s="1"/>
  <c r="H140" i="1" a="1"/>
  <c r="G140" i="1" a="1"/>
  <c r="L140" i="1" s="1"/>
  <c r="Q140" i="1" s="1"/>
  <c r="F140" i="1" a="1"/>
  <c r="E140" i="1"/>
  <c r="D140" i="1" a="1"/>
  <c r="C140" i="1" a="1"/>
  <c r="B140" i="1" a="1"/>
  <c r="T140" i="1" s="1"/>
  <c r="A140" i="1"/>
  <c r="Y139" i="1"/>
  <c r="W139" i="1" a="1"/>
  <c r="V139" i="1" a="1"/>
  <c r="U139" i="1"/>
  <c r="S139" i="1" a="1"/>
  <c r="R139" i="1" a="1"/>
  <c r="P139" i="1"/>
  <c r="O139" i="1"/>
  <c r="N139" i="1"/>
  <c r="M139" i="1"/>
  <c r="K139" i="1"/>
  <c r="I139" i="1"/>
  <c r="X139" i="1" s="1"/>
  <c r="H139" i="1" a="1"/>
  <c r="G139" i="1" a="1"/>
  <c r="L139" i="1" s="1"/>
  <c r="Q139" i="1" s="1"/>
  <c r="F139" i="1" a="1"/>
  <c r="E139" i="1"/>
  <c r="D139" i="1" a="1"/>
  <c r="C139" i="1" a="1"/>
  <c r="B139" i="1" a="1"/>
  <c r="T139" i="1" s="1"/>
  <c r="A139" i="1"/>
  <c r="Y138" i="1"/>
  <c r="W138" i="1" a="1"/>
  <c r="V138" i="1" a="1"/>
  <c r="U138" i="1"/>
  <c r="S138" i="1" a="1"/>
  <c r="R138" i="1" a="1"/>
  <c r="P138" i="1"/>
  <c r="O138" i="1"/>
  <c r="N138" i="1"/>
  <c r="M138" i="1"/>
  <c r="K138" i="1"/>
  <c r="J138" i="1" s="1"/>
  <c r="I138" i="1"/>
  <c r="X138" i="1" s="1"/>
  <c r="H138" i="1" a="1"/>
  <c r="G138" i="1" a="1"/>
  <c r="L138" i="1" s="1"/>
  <c r="Q138" i="1" s="1"/>
  <c r="F138" i="1" a="1"/>
  <c r="E138" i="1"/>
  <c r="D138" i="1" a="1"/>
  <c r="C138" i="1" a="1"/>
  <c r="B138" i="1" a="1"/>
  <c r="T138" i="1" s="1"/>
  <c r="A138" i="1"/>
  <c r="Y137" i="1"/>
  <c r="W137" i="1" a="1"/>
  <c r="V137" i="1" a="1"/>
  <c r="U137" i="1"/>
  <c r="S137" i="1" a="1"/>
  <c r="R137" i="1" a="1"/>
  <c r="P137" i="1"/>
  <c r="O137" i="1"/>
  <c r="N137" i="1"/>
  <c r="M137" i="1"/>
  <c r="K137" i="1"/>
  <c r="I137" i="1"/>
  <c r="X137" i="1" s="1"/>
  <c r="H137" i="1" a="1"/>
  <c r="G137" i="1" a="1"/>
  <c r="L137" i="1" s="1"/>
  <c r="Q137" i="1" s="1"/>
  <c r="F137" i="1" a="1"/>
  <c r="E137" i="1"/>
  <c r="D137" i="1" a="1"/>
  <c r="C137" i="1" a="1"/>
  <c r="B137" i="1" a="1"/>
  <c r="T137" i="1" s="1"/>
  <c r="A137" i="1"/>
  <c r="Y136" i="1"/>
  <c r="W136" i="1" a="1"/>
  <c r="V136" i="1" a="1"/>
  <c r="U136" i="1"/>
  <c r="S136" i="1" a="1"/>
  <c r="R136" i="1" a="1"/>
  <c r="P136" i="1"/>
  <c r="O136" i="1"/>
  <c r="N136" i="1"/>
  <c r="M136" i="1"/>
  <c r="K136" i="1"/>
  <c r="J136" i="1" s="1"/>
  <c r="I136" i="1"/>
  <c r="X136" i="1" s="1"/>
  <c r="H136" i="1" a="1"/>
  <c r="G136" i="1" a="1"/>
  <c r="L136" i="1" s="1"/>
  <c r="Q136" i="1" s="1"/>
  <c r="F136" i="1" a="1"/>
  <c r="E136" i="1"/>
  <c r="D136" i="1" a="1"/>
  <c r="C136" i="1" a="1"/>
  <c r="B136" i="1" a="1"/>
  <c r="T136" i="1" s="1"/>
  <c r="A136" i="1"/>
  <c r="Y135" i="1"/>
  <c r="W135" i="1" a="1"/>
  <c r="V135" i="1" a="1"/>
  <c r="U135" i="1"/>
  <c r="S135" i="1" a="1"/>
  <c r="R135" i="1" a="1"/>
  <c r="P135" i="1"/>
  <c r="O135" i="1"/>
  <c r="N135" i="1"/>
  <c r="M135" i="1"/>
  <c r="K135" i="1"/>
  <c r="J135" i="1" s="1"/>
  <c r="I135" i="1"/>
  <c r="X135" i="1" s="1"/>
  <c r="H135" i="1" a="1"/>
  <c r="G135" i="1" a="1"/>
  <c r="L135" i="1" s="1"/>
  <c r="Q135" i="1" s="1"/>
  <c r="F135" i="1" a="1"/>
  <c r="E135" i="1"/>
  <c r="D135" i="1" a="1"/>
  <c r="C135" i="1" a="1"/>
  <c r="B135" i="1" a="1"/>
  <c r="T135" i="1" s="1"/>
  <c r="A135" i="1"/>
  <c r="Y134" i="1"/>
  <c r="W134" i="1" a="1"/>
  <c r="V134" i="1" a="1"/>
  <c r="U134" i="1"/>
  <c r="S134" i="1" a="1"/>
  <c r="R134" i="1" a="1"/>
  <c r="P134" i="1"/>
  <c r="O134" i="1"/>
  <c r="N134" i="1"/>
  <c r="M134" i="1"/>
  <c r="K134" i="1"/>
  <c r="J134" i="1" s="1"/>
  <c r="I134" i="1"/>
  <c r="X134" i="1" s="1"/>
  <c r="H134" i="1" a="1"/>
  <c r="G134" i="1" a="1"/>
  <c r="L134" i="1" s="1"/>
  <c r="Q134" i="1" s="1"/>
  <c r="F134" i="1" a="1"/>
  <c r="E134" i="1"/>
  <c r="D134" i="1" a="1"/>
  <c r="C134" i="1" a="1"/>
  <c r="B134" i="1" a="1"/>
  <c r="T134" i="1" s="1"/>
  <c r="A134" i="1"/>
  <c r="Y133" i="1"/>
  <c r="W133" i="1" a="1"/>
  <c r="V133" i="1" a="1"/>
  <c r="U133" i="1"/>
  <c r="S133" i="1" a="1"/>
  <c r="R133" i="1" a="1"/>
  <c r="P133" i="1"/>
  <c r="O133" i="1"/>
  <c r="N133" i="1"/>
  <c r="M133" i="1"/>
  <c r="K133" i="1"/>
  <c r="J133" i="1" s="1"/>
  <c r="I133" i="1"/>
  <c r="X133" i="1" s="1"/>
  <c r="H133" i="1" a="1"/>
  <c r="G133" i="1" a="1"/>
  <c r="L133" i="1" s="1"/>
  <c r="Q133" i="1" s="1"/>
  <c r="F133" i="1" a="1"/>
  <c r="E133" i="1"/>
  <c r="D133" i="1" a="1"/>
  <c r="C133" i="1" a="1"/>
  <c r="B133" i="1" a="1"/>
  <c r="T133" i="1" s="1"/>
  <c r="A133" i="1"/>
  <c r="Y132" i="1"/>
  <c r="W132" i="1" a="1"/>
  <c r="V132" i="1" a="1"/>
  <c r="U132" i="1"/>
  <c r="S132" i="1" a="1"/>
  <c r="R132" i="1" a="1"/>
  <c r="P132" i="1"/>
  <c r="O132" i="1"/>
  <c r="N132" i="1"/>
  <c r="M132" i="1"/>
  <c r="K132" i="1"/>
  <c r="J132" i="1" s="1"/>
  <c r="I132" i="1"/>
  <c r="X132" i="1" s="1"/>
  <c r="H132" i="1" a="1"/>
  <c r="G132" i="1" a="1"/>
  <c r="L132" i="1" s="1"/>
  <c r="Q132" i="1" s="1"/>
  <c r="F132" i="1" a="1"/>
  <c r="E132" i="1"/>
  <c r="D132" i="1" a="1"/>
  <c r="C132" i="1" a="1"/>
  <c r="B132" i="1" a="1"/>
  <c r="T132" i="1" s="1"/>
  <c r="A132" i="1"/>
  <c r="Y131" i="1"/>
  <c r="W131" i="1" a="1"/>
  <c r="V131" i="1" a="1"/>
  <c r="U131" i="1"/>
  <c r="S131" i="1" a="1"/>
  <c r="R131" i="1" a="1"/>
  <c r="P131" i="1"/>
  <c r="O131" i="1"/>
  <c r="N131" i="1"/>
  <c r="M131" i="1"/>
  <c r="K131" i="1"/>
  <c r="J131" i="1" s="1"/>
  <c r="I131" i="1"/>
  <c r="X131" i="1" s="1"/>
  <c r="H131" i="1" a="1"/>
  <c r="G131" i="1" a="1"/>
  <c r="L131" i="1" s="1"/>
  <c r="Q131" i="1" s="1"/>
  <c r="F131" i="1" a="1"/>
  <c r="E131" i="1"/>
  <c r="D131" i="1" a="1"/>
  <c r="C131" i="1" a="1"/>
  <c r="B131" i="1" a="1"/>
  <c r="T131" i="1" s="1"/>
  <c r="A131" i="1"/>
  <c r="Y130" i="1"/>
  <c r="W130" i="1" a="1"/>
  <c r="V130" i="1" a="1"/>
  <c r="U130" i="1"/>
  <c r="S130" i="1" a="1"/>
  <c r="R130" i="1" a="1"/>
  <c r="P130" i="1"/>
  <c r="O130" i="1"/>
  <c r="N130" i="1"/>
  <c r="M130" i="1"/>
  <c r="K130" i="1"/>
  <c r="J130" i="1" s="1"/>
  <c r="I130" i="1"/>
  <c r="X130" i="1" s="1"/>
  <c r="H130" i="1" a="1"/>
  <c r="G130" i="1" a="1"/>
  <c r="L130" i="1" s="1"/>
  <c r="Q130" i="1" s="1"/>
  <c r="F130" i="1" a="1"/>
  <c r="E130" i="1"/>
  <c r="D130" i="1" a="1"/>
  <c r="C130" i="1" a="1"/>
  <c r="B130" i="1" a="1"/>
  <c r="T130" i="1" s="1"/>
  <c r="A130" i="1"/>
  <c r="Y129" i="1"/>
  <c r="W129" i="1" a="1"/>
  <c r="V129" i="1" a="1"/>
  <c r="U129" i="1"/>
  <c r="S129" i="1" a="1"/>
  <c r="R129" i="1" a="1"/>
  <c r="P129" i="1"/>
  <c r="O129" i="1"/>
  <c r="N129" i="1"/>
  <c r="M129" i="1"/>
  <c r="K129" i="1"/>
  <c r="I129" i="1"/>
  <c r="X129" i="1" s="1"/>
  <c r="H129" i="1" a="1"/>
  <c r="G129" i="1" a="1"/>
  <c r="L129" i="1" s="1"/>
  <c r="Q129" i="1" s="1"/>
  <c r="F129" i="1" a="1"/>
  <c r="E129" i="1"/>
  <c r="D129" i="1" a="1"/>
  <c r="C129" i="1" a="1"/>
  <c r="B129" i="1" a="1"/>
  <c r="T129" i="1" s="1"/>
  <c r="A129" i="1"/>
  <c r="Y128" i="1"/>
  <c r="W128" i="1" a="1"/>
  <c r="V128" i="1" a="1"/>
  <c r="U128" i="1"/>
  <c r="S128" i="1" a="1"/>
  <c r="R128" i="1" a="1"/>
  <c r="P128" i="1"/>
  <c r="O128" i="1"/>
  <c r="N128" i="1"/>
  <c r="M128" i="1"/>
  <c r="K128" i="1"/>
  <c r="J128" i="1" s="1"/>
  <c r="I128" i="1"/>
  <c r="X128" i="1" s="1"/>
  <c r="H128" i="1" a="1"/>
  <c r="G128" i="1" a="1"/>
  <c r="L128" i="1" s="1"/>
  <c r="Q128" i="1" s="1"/>
  <c r="F128" i="1" a="1"/>
  <c r="E128" i="1"/>
  <c r="D128" i="1" a="1"/>
  <c r="C128" i="1" a="1"/>
  <c r="B128" i="1" a="1"/>
  <c r="T128" i="1" s="1"/>
  <c r="A128" i="1"/>
  <c r="Y127" i="1"/>
  <c r="W127" i="1" a="1"/>
  <c r="V127" i="1" a="1"/>
  <c r="U127" i="1"/>
  <c r="S127" i="1" a="1"/>
  <c r="R127" i="1" a="1"/>
  <c r="P127" i="1"/>
  <c r="O127" i="1"/>
  <c r="N127" i="1"/>
  <c r="M127" i="1"/>
  <c r="K127" i="1"/>
  <c r="J127" i="1" s="1"/>
  <c r="I127" i="1"/>
  <c r="X127" i="1" s="1"/>
  <c r="H127" i="1" a="1"/>
  <c r="G127" i="1" a="1"/>
  <c r="L127" i="1" s="1"/>
  <c r="Q127" i="1" s="1"/>
  <c r="F127" i="1" a="1"/>
  <c r="E127" i="1"/>
  <c r="D127" i="1" a="1"/>
  <c r="C127" i="1" a="1"/>
  <c r="B127" i="1" a="1"/>
  <c r="T127" i="1" s="1"/>
  <c r="A127" i="1"/>
  <c r="Y126" i="1"/>
  <c r="W126" i="1" a="1"/>
  <c r="V126" i="1" a="1"/>
  <c r="U126" i="1"/>
  <c r="S126" i="1" a="1"/>
  <c r="R126" i="1" a="1"/>
  <c r="P126" i="1"/>
  <c r="O126" i="1"/>
  <c r="N126" i="1"/>
  <c r="M126" i="1"/>
  <c r="K126" i="1"/>
  <c r="I126" i="1"/>
  <c r="H126" i="1" a="1"/>
  <c r="G126" i="1" a="1"/>
  <c r="L126" i="1" s="1"/>
  <c r="Q126" i="1" s="1"/>
  <c r="F126" i="1" a="1"/>
  <c r="E126" i="1"/>
  <c r="D126" i="1" a="1"/>
  <c r="C126" i="1" a="1"/>
  <c r="B126" i="1" a="1"/>
  <c r="T126" i="1" s="1"/>
  <c r="A126" i="1"/>
  <c r="Y125" i="1"/>
  <c r="W125" i="1" a="1"/>
  <c r="V125" i="1" a="1"/>
  <c r="U125" i="1"/>
  <c r="S125" i="1" a="1"/>
  <c r="R125" i="1" a="1"/>
  <c r="P125" i="1"/>
  <c r="O125" i="1"/>
  <c r="N125" i="1"/>
  <c r="M125" i="1"/>
  <c r="K125" i="1"/>
  <c r="J125" i="1"/>
  <c r="I125" i="1"/>
  <c r="X125" i="1" s="1"/>
  <c r="H125" i="1" a="1"/>
  <c r="G125" i="1" a="1"/>
  <c r="L125" i="1" s="1"/>
  <c r="Q125" i="1" s="1"/>
  <c r="F125" i="1" a="1"/>
  <c r="E125" i="1"/>
  <c r="D125" i="1" a="1"/>
  <c r="C125" i="1" a="1"/>
  <c r="B125" i="1" a="1"/>
  <c r="T125" i="1" s="1"/>
  <c r="A125" i="1"/>
  <c r="Y124" i="1"/>
  <c r="W124" i="1" a="1"/>
  <c r="V124" i="1" a="1"/>
  <c r="U124" i="1"/>
  <c r="S124" i="1" a="1"/>
  <c r="R124" i="1" a="1"/>
  <c r="P124" i="1"/>
  <c r="O124" i="1"/>
  <c r="N124" i="1"/>
  <c r="M124" i="1"/>
  <c r="K124" i="1"/>
  <c r="J124" i="1"/>
  <c r="I124" i="1"/>
  <c r="X124" i="1" s="1"/>
  <c r="H124" i="1" a="1"/>
  <c r="G124" i="1" a="1"/>
  <c r="L124" i="1" s="1"/>
  <c r="Q124" i="1" s="1"/>
  <c r="F124" i="1" a="1"/>
  <c r="E124" i="1"/>
  <c r="D124" i="1" a="1"/>
  <c r="C124" i="1" a="1"/>
  <c r="B124" i="1" a="1"/>
  <c r="T124" i="1" s="1"/>
  <c r="A124" i="1"/>
  <c r="Y123" i="1"/>
  <c r="W123" i="1" a="1"/>
  <c r="V123" i="1" a="1"/>
  <c r="U123" i="1"/>
  <c r="S123" i="1" a="1"/>
  <c r="R123" i="1" a="1"/>
  <c r="P123" i="1"/>
  <c r="O123" i="1"/>
  <c r="N123" i="1"/>
  <c r="M123" i="1"/>
  <c r="K123" i="1"/>
  <c r="J123" i="1"/>
  <c r="I123" i="1"/>
  <c r="X123" i="1" s="1"/>
  <c r="H123" i="1" a="1"/>
  <c r="G123" i="1" a="1"/>
  <c r="L123" i="1" s="1"/>
  <c r="Q123" i="1" s="1"/>
  <c r="F123" i="1" a="1"/>
  <c r="E123" i="1"/>
  <c r="D123" i="1" a="1"/>
  <c r="C123" i="1" a="1"/>
  <c r="B123" i="1" a="1"/>
  <c r="T123" i="1" s="1"/>
  <c r="A123" i="1"/>
  <c r="Y122" i="1"/>
  <c r="W122" i="1" a="1"/>
  <c r="V122" i="1" a="1"/>
  <c r="U122" i="1"/>
  <c r="S122" i="1" a="1"/>
  <c r="R122" i="1" a="1"/>
  <c r="P122" i="1"/>
  <c r="O122" i="1"/>
  <c r="N122" i="1"/>
  <c r="M122" i="1"/>
  <c r="K122" i="1"/>
  <c r="J122" i="1"/>
  <c r="I122" i="1"/>
  <c r="X122" i="1" s="1"/>
  <c r="H122" i="1" a="1"/>
  <c r="G122" i="1" a="1"/>
  <c r="L122" i="1" s="1"/>
  <c r="Q122" i="1" s="1"/>
  <c r="F122" i="1" a="1"/>
  <c r="E122" i="1"/>
  <c r="D122" i="1" a="1"/>
  <c r="C122" i="1" a="1"/>
  <c r="B122" i="1" a="1"/>
  <c r="T122" i="1" s="1"/>
  <c r="A122" i="1"/>
  <c r="Y121" i="1"/>
  <c r="W121" i="1" a="1"/>
  <c r="V121" i="1" a="1"/>
  <c r="U121" i="1"/>
  <c r="S121" i="1" a="1"/>
  <c r="R121" i="1" a="1"/>
  <c r="P121" i="1"/>
  <c r="O121" i="1"/>
  <c r="N121" i="1"/>
  <c r="M121" i="1"/>
  <c r="K121" i="1"/>
  <c r="I121" i="1"/>
  <c r="H121" i="1" a="1"/>
  <c r="G121" i="1" a="1"/>
  <c r="L121" i="1" s="1"/>
  <c r="Q121" i="1" s="1"/>
  <c r="F121" i="1" a="1"/>
  <c r="E121" i="1"/>
  <c r="D121" i="1" a="1"/>
  <c r="C121" i="1" a="1"/>
  <c r="B121" i="1" a="1"/>
  <c r="T121" i="1" s="1"/>
  <c r="A121" i="1"/>
  <c r="Y120" i="1"/>
  <c r="W120" i="1" a="1"/>
  <c r="V120" i="1" a="1"/>
  <c r="U120" i="1"/>
  <c r="S120" i="1" a="1"/>
  <c r="R120" i="1" a="1"/>
  <c r="P120" i="1"/>
  <c r="O120" i="1"/>
  <c r="N120" i="1"/>
  <c r="M120" i="1"/>
  <c r="K120" i="1"/>
  <c r="J120" i="1"/>
  <c r="I120" i="1"/>
  <c r="X120" i="1" s="1"/>
  <c r="H120" i="1" a="1"/>
  <c r="G120" i="1" a="1"/>
  <c r="L120" i="1" s="1"/>
  <c r="Q120" i="1" s="1"/>
  <c r="F120" i="1" a="1"/>
  <c r="E120" i="1"/>
  <c r="D120" i="1" a="1"/>
  <c r="C120" i="1" a="1"/>
  <c r="B120" i="1" a="1"/>
  <c r="T120" i="1" s="1"/>
  <c r="A120" i="1"/>
  <c r="Y119" i="1"/>
  <c r="W119" i="1" a="1"/>
  <c r="V119" i="1" a="1"/>
  <c r="U119" i="1"/>
  <c r="S119" i="1" a="1"/>
  <c r="R119" i="1" a="1"/>
  <c r="P119" i="1"/>
  <c r="O119" i="1"/>
  <c r="N119" i="1"/>
  <c r="M119" i="1"/>
  <c r="K119" i="1"/>
  <c r="J119" i="1"/>
  <c r="I119" i="1"/>
  <c r="X119" i="1" s="1"/>
  <c r="H119" i="1" a="1"/>
  <c r="G119" i="1" a="1"/>
  <c r="L119" i="1" s="1"/>
  <c r="Q119" i="1" s="1"/>
  <c r="F119" i="1" a="1"/>
  <c r="E119" i="1"/>
  <c r="D119" i="1" a="1"/>
  <c r="C119" i="1" a="1"/>
  <c r="B119" i="1" a="1"/>
  <c r="T119" i="1" s="1"/>
  <c r="A119" i="1"/>
  <c r="Y118" i="1"/>
  <c r="W118" i="1" a="1"/>
  <c r="V118" i="1" a="1"/>
  <c r="U118" i="1"/>
  <c r="S118" i="1" a="1"/>
  <c r="R118" i="1" a="1"/>
  <c r="P118" i="1"/>
  <c r="O118" i="1"/>
  <c r="N118" i="1"/>
  <c r="M118" i="1"/>
  <c r="K118" i="1"/>
  <c r="J118" i="1"/>
  <c r="I118" i="1"/>
  <c r="X118" i="1" s="1"/>
  <c r="H118" i="1" a="1"/>
  <c r="G118" i="1" a="1"/>
  <c r="L118" i="1" s="1"/>
  <c r="Q118" i="1" s="1"/>
  <c r="F118" i="1" a="1"/>
  <c r="E118" i="1"/>
  <c r="D118" i="1" a="1"/>
  <c r="C118" i="1" a="1"/>
  <c r="B118" i="1" a="1"/>
  <c r="T118" i="1" s="1"/>
  <c r="A118" i="1"/>
  <c r="Y117" i="1"/>
  <c r="W117" i="1" a="1"/>
  <c r="V117" i="1" a="1"/>
  <c r="U117" i="1"/>
  <c r="S117" i="1" a="1"/>
  <c r="R117" i="1" a="1"/>
  <c r="P117" i="1"/>
  <c r="O117" i="1"/>
  <c r="N117" i="1"/>
  <c r="M117" i="1"/>
  <c r="K117" i="1"/>
  <c r="J117" i="1"/>
  <c r="I117" i="1"/>
  <c r="X117" i="1" s="1"/>
  <c r="H117" i="1" a="1"/>
  <c r="G117" i="1" a="1"/>
  <c r="L117" i="1" s="1"/>
  <c r="Q117" i="1" s="1"/>
  <c r="F117" i="1" a="1"/>
  <c r="E117" i="1"/>
  <c r="D117" i="1" a="1"/>
  <c r="C117" i="1" a="1"/>
  <c r="B117" i="1" a="1"/>
  <c r="T117" i="1" s="1"/>
  <c r="A117" i="1"/>
  <c r="Y116" i="1"/>
  <c r="W116" i="1" a="1"/>
  <c r="V116" i="1" a="1"/>
  <c r="U116" i="1"/>
  <c r="S116" i="1" a="1"/>
  <c r="R116" i="1" a="1"/>
  <c r="P116" i="1"/>
  <c r="O116" i="1"/>
  <c r="N116" i="1"/>
  <c r="M116" i="1"/>
  <c r="K116" i="1"/>
  <c r="J116" i="1"/>
  <c r="I116" i="1"/>
  <c r="X116" i="1" s="1"/>
  <c r="H116" i="1" a="1"/>
  <c r="G116" i="1" a="1"/>
  <c r="L116" i="1" s="1"/>
  <c r="Q116" i="1" s="1"/>
  <c r="F116" i="1" a="1"/>
  <c r="E116" i="1"/>
  <c r="D116" i="1" a="1"/>
  <c r="C116" i="1" a="1"/>
  <c r="B116" i="1" a="1"/>
  <c r="T116" i="1" s="1"/>
  <c r="A116" i="1"/>
  <c r="Y115" i="1"/>
  <c r="W115" i="1" a="1"/>
  <c r="V115" i="1" a="1"/>
  <c r="U115" i="1"/>
  <c r="S115" i="1" a="1"/>
  <c r="R115" i="1" a="1"/>
  <c r="P115" i="1"/>
  <c r="O115" i="1"/>
  <c r="N115" i="1"/>
  <c r="M115" i="1"/>
  <c r="K115" i="1"/>
  <c r="I115" i="1"/>
  <c r="H115" i="1" a="1"/>
  <c r="G115" i="1" a="1"/>
  <c r="L115" i="1" s="1"/>
  <c r="Q115" i="1" s="1"/>
  <c r="F115" i="1" a="1"/>
  <c r="E115" i="1"/>
  <c r="D115" i="1" a="1"/>
  <c r="C115" i="1" a="1"/>
  <c r="B115" i="1" a="1"/>
  <c r="T115" i="1" s="1"/>
  <c r="A115" i="1"/>
  <c r="Y114" i="1"/>
  <c r="W114" i="1" a="1"/>
  <c r="V114" i="1" a="1"/>
  <c r="U114" i="1"/>
  <c r="S114" i="1" a="1"/>
  <c r="R114" i="1" a="1"/>
  <c r="P114" i="1"/>
  <c r="O114" i="1"/>
  <c r="N114" i="1"/>
  <c r="M114" i="1"/>
  <c r="K114" i="1"/>
  <c r="J114" i="1"/>
  <c r="I114" i="1"/>
  <c r="X114" i="1" s="1"/>
  <c r="H114" i="1" a="1"/>
  <c r="G114" i="1" a="1"/>
  <c r="L114" i="1" s="1"/>
  <c r="Q114" i="1" s="1"/>
  <c r="F114" i="1" a="1"/>
  <c r="E114" i="1"/>
  <c r="D114" i="1" a="1"/>
  <c r="C114" i="1" a="1"/>
  <c r="B114" i="1" a="1"/>
  <c r="T114" i="1" s="1"/>
  <c r="A114" i="1"/>
  <c r="Y113" i="1"/>
  <c r="W113" i="1" a="1"/>
  <c r="V113" i="1" a="1"/>
  <c r="U113" i="1"/>
  <c r="S113" i="1" a="1"/>
  <c r="R113" i="1" a="1"/>
  <c r="P113" i="1"/>
  <c r="O113" i="1"/>
  <c r="N113" i="1"/>
  <c r="M113" i="1"/>
  <c r="K113" i="1"/>
  <c r="J113" i="1"/>
  <c r="I113" i="1"/>
  <c r="X113" i="1" s="1"/>
  <c r="H113" i="1" a="1"/>
  <c r="G113" i="1" a="1"/>
  <c r="L113" i="1" s="1"/>
  <c r="Q113" i="1" s="1"/>
  <c r="F113" i="1" a="1"/>
  <c r="E113" i="1"/>
  <c r="D113" i="1" a="1"/>
  <c r="C113" i="1" a="1"/>
  <c r="B113" i="1" a="1"/>
  <c r="T113" i="1" s="1"/>
  <c r="A113" i="1"/>
  <c r="Y112" i="1"/>
  <c r="W112" i="1" a="1"/>
  <c r="V112" i="1" a="1"/>
  <c r="U112" i="1"/>
  <c r="S112" i="1" a="1"/>
  <c r="R112" i="1" a="1"/>
  <c r="P112" i="1"/>
  <c r="O112" i="1"/>
  <c r="N112" i="1"/>
  <c r="M112" i="1"/>
  <c r="K112" i="1"/>
  <c r="J112" i="1"/>
  <c r="I112" i="1"/>
  <c r="X112" i="1" s="1"/>
  <c r="H112" i="1" a="1"/>
  <c r="G112" i="1" a="1"/>
  <c r="L112" i="1" s="1"/>
  <c r="Q112" i="1" s="1"/>
  <c r="F112" i="1" a="1"/>
  <c r="E112" i="1"/>
  <c r="D112" i="1" a="1"/>
  <c r="C112" i="1" a="1"/>
  <c r="B112" i="1" a="1"/>
  <c r="T112" i="1" s="1"/>
  <c r="A112" i="1"/>
  <c r="Y111" i="1"/>
  <c r="W111" i="1" a="1"/>
  <c r="V111" i="1" a="1"/>
  <c r="U111" i="1"/>
  <c r="S111" i="1" a="1"/>
  <c r="R111" i="1" a="1"/>
  <c r="P111" i="1"/>
  <c r="O111" i="1"/>
  <c r="N111" i="1"/>
  <c r="M111" i="1"/>
  <c r="K111" i="1"/>
  <c r="J111" i="1"/>
  <c r="I111" i="1"/>
  <c r="X111" i="1" s="1"/>
  <c r="H111" i="1" a="1"/>
  <c r="G111" i="1" a="1"/>
  <c r="L111" i="1" s="1"/>
  <c r="Q111" i="1" s="1"/>
  <c r="F111" i="1" a="1"/>
  <c r="E111" i="1"/>
  <c r="D111" i="1" a="1"/>
  <c r="C111" i="1" a="1"/>
  <c r="B111" i="1" a="1"/>
  <c r="T111" i="1" s="1"/>
  <c r="A111" i="1"/>
  <c r="Y110" i="1"/>
  <c r="W110" i="1" a="1"/>
  <c r="V110" i="1" a="1"/>
  <c r="U110" i="1"/>
  <c r="S110" i="1" a="1"/>
  <c r="R110" i="1" a="1"/>
  <c r="P110" i="1"/>
  <c r="O110" i="1"/>
  <c r="N110" i="1"/>
  <c r="M110" i="1"/>
  <c r="K110" i="1"/>
  <c r="J110" i="1"/>
  <c r="I110" i="1"/>
  <c r="X110" i="1" s="1"/>
  <c r="H110" i="1" a="1"/>
  <c r="G110" i="1" a="1"/>
  <c r="L110" i="1" s="1"/>
  <c r="Q110" i="1" s="1"/>
  <c r="F110" i="1" a="1"/>
  <c r="E110" i="1"/>
  <c r="D110" i="1" a="1"/>
  <c r="C110" i="1" a="1"/>
  <c r="B110" i="1" a="1"/>
  <c r="T110" i="1" s="1"/>
  <c r="A110" i="1"/>
  <c r="Y109" i="1"/>
  <c r="W109" i="1" a="1"/>
  <c r="V109" i="1" a="1"/>
  <c r="U109" i="1"/>
  <c r="S109" i="1" a="1"/>
  <c r="R109" i="1" a="1"/>
  <c r="P109" i="1"/>
  <c r="O109" i="1"/>
  <c r="N109" i="1"/>
  <c r="M109" i="1"/>
  <c r="K109" i="1"/>
  <c r="J109" i="1"/>
  <c r="I109" i="1"/>
  <c r="X109" i="1" s="1"/>
  <c r="H109" i="1" a="1"/>
  <c r="G109" i="1" a="1"/>
  <c r="L109" i="1" s="1"/>
  <c r="Q109" i="1" s="1"/>
  <c r="F109" i="1" a="1"/>
  <c r="E109" i="1"/>
  <c r="D109" i="1" a="1"/>
  <c r="C109" i="1" a="1"/>
  <c r="B109" i="1" a="1"/>
  <c r="T109" i="1" s="1"/>
  <c r="A109" i="1"/>
  <c r="Y108" i="1"/>
  <c r="W108" i="1" a="1"/>
  <c r="V108" i="1" a="1"/>
  <c r="U108" i="1"/>
  <c r="S108" i="1" a="1"/>
  <c r="R108" i="1" a="1"/>
  <c r="P108" i="1"/>
  <c r="O108" i="1"/>
  <c r="N108" i="1"/>
  <c r="M108" i="1"/>
  <c r="K108" i="1"/>
  <c r="J108" i="1"/>
  <c r="I108" i="1"/>
  <c r="X108" i="1" s="1"/>
  <c r="H108" i="1" a="1"/>
  <c r="G108" i="1" a="1"/>
  <c r="L108" i="1" s="1"/>
  <c r="Q108" i="1" s="1"/>
  <c r="F108" i="1" a="1"/>
  <c r="E108" i="1"/>
  <c r="D108" i="1" a="1"/>
  <c r="C108" i="1" a="1"/>
  <c r="B108" i="1" a="1"/>
  <c r="T108" i="1" s="1"/>
  <c r="A108" i="1"/>
  <c r="Y107" i="1"/>
  <c r="W107" i="1" a="1"/>
  <c r="V107" i="1" a="1"/>
  <c r="U107" i="1"/>
  <c r="S107" i="1" a="1"/>
  <c r="R107" i="1" a="1"/>
  <c r="P107" i="1"/>
  <c r="O107" i="1"/>
  <c r="N107" i="1"/>
  <c r="M107" i="1"/>
  <c r="K107" i="1"/>
  <c r="I107" i="1"/>
  <c r="H107" i="1" a="1"/>
  <c r="G107" i="1" a="1"/>
  <c r="L107" i="1" s="1"/>
  <c r="Q107" i="1" s="1"/>
  <c r="F107" i="1" a="1"/>
  <c r="E107" i="1"/>
  <c r="D107" i="1" a="1"/>
  <c r="C107" i="1" a="1"/>
  <c r="B107" i="1" a="1"/>
  <c r="T107" i="1" s="1"/>
  <c r="A107" i="1"/>
  <c r="Y106" i="1"/>
  <c r="W106" i="1" a="1"/>
  <c r="V106" i="1" a="1"/>
  <c r="U106" i="1"/>
  <c r="S106" i="1" a="1"/>
  <c r="R106" i="1" a="1"/>
  <c r="P106" i="1"/>
  <c r="O106" i="1"/>
  <c r="N106" i="1"/>
  <c r="M106" i="1"/>
  <c r="K106" i="1"/>
  <c r="I106" i="1"/>
  <c r="H106" i="1" a="1"/>
  <c r="G106" i="1" a="1"/>
  <c r="L106" i="1" s="1"/>
  <c r="Q106" i="1" s="1"/>
  <c r="F106" i="1" a="1"/>
  <c r="E106" i="1"/>
  <c r="D106" i="1" a="1"/>
  <c r="C106" i="1" a="1"/>
  <c r="B106" i="1" a="1"/>
  <c r="T106" i="1" s="1"/>
  <c r="A106" i="1"/>
  <c r="Y105" i="1"/>
  <c r="W105" i="1" a="1"/>
  <c r="V105" i="1" a="1"/>
  <c r="U105" i="1"/>
  <c r="S105" i="1" a="1"/>
  <c r="R105" i="1" a="1"/>
  <c r="P105" i="1"/>
  <c r="O105" i="1"/>
  <c r="N105" i="1"/>
  <c r="M105" i="1"/>
  <c r="K105" i="1"/>
  <c r="J105" i="1"/>
  <c r="I105" i="1"/>
  <c r="X105" i="1" s="1"/>
  <c r="H105" i="1" a="1"/>
  <c r="G105" i="1" a="1"/>
  <c r="L105" i="1" s="1"/>
  <c r="Q105" i="1" s="1"/>
  <c r="F105" i="1" a="1"/>
  <c r="E105" i="1"/>
  <c r="D105" i="1" a="1"/>
  <c r="C105" i="1" a="1"/>
  <c r="B105" i="1" a="1"/>
  <c r="T105" i="1" s="1"/>
  <c r="A105" i="1"/>
  <c r="Y104" i="1"/>
  <c r="W104" i="1" a="1"/>
  <c r="V104" i="1" a="1"/>
  <c r="U104" i="1"/>
  <c r="S104" i="1" a="1"/>
  <c r="R104" i="1" a="1"/>
  <c r="P104" i="1"/>
  <c r="O104" i="1"/>
  <c r="N104" i="1"/>
  <c r="M104" i="1"/>
  <c r="K104" i="1"/>
  <c r="J104" i="1"/>
  <c r="I104" i="1"/>
  <c r="X104" i="1" s="1"/>
  <c r="H104" i="1" a="1"/>
  <c r="G104" i="1" a="1"/>
  <c r="L104" i="1" s="1"/>
  <c r="Q104" i="1" s="1"/>
  <c r="F104" i="1" a="1"/>
  <c r="E104" i="1"/>
  <c r="D104" i="1" a="1"/>
  <c r="C104" i="1" a="1"/>
  <c r="B104" i="1" a="1"/>
  <c r="T104" i="1" s="1"/>
  <c r="A104" i="1"/>
  <c r="Y103" i="1"/>
  <c r="W103" i="1" a="1"/>
  <c r="V103" i="1" a="1"/>
  <c r="U103" i="1"/>
  <c r="S103" i="1" a="1"/>
  <c r="R103" i="1" a="1"/>
  <c r="P103" i="1"/>
  <c r="O103" i="1"/>
  <c r="N103" i="1"/>
  <c r="M103" i="1"/>
  <c r="K103" i="1"/>
  <c r="J103" i="1"/>
  <c r="I103" i="1"/>
  <c r="X103" i="1" s="1"/>
  <c r="H103" i="1" a="1"/>
  <c r="G103" i="1" a="1"/>
  <c r="L103" i="1" s="1"/>
  <c r="Q103" i="1" s="1"/>
  <c r="F103" i="1" a="1"/>
  <c r="E103" i="1"/>
  <c r="D103" i="1" a="1"/>
  <c r="C103" i="1" a="1"/>
  <c r="B103" i="1" a="1"/>
  <c r="T103" i="1" s="1"/>
  <c r="A103" i="1"/>
  <c r="Y102" i="1"/>
  <c r="W102" i="1" a="1"/>
  <c r="V102" i="1" a="1"/>
  <c r="U102" i="1"/>
  <c r="S102" i="1" a="1"/>
  <c r="R102" i="1" a="1"/>
  <c r="P102" i="1"/>
  <c r="O102" i="1"/>
  <c r="N102" i="1"/>
  <c r="M102" i="1"/>
  <c r="K102" i="1"/>
  <c r="J102" i="1"/>
  <c r="I102" i="1"/>
  <c r="X102" i="1" s="1"/>
  <c r="H102" i="1" a="1"/>
  <c r="G102" i="1" a="1"/>
  <c r="L102" i="1" s="1"/>
  <c r="Q102" i="1" s="1"/>
  <c r="F102" i="1" a="1"/>
  <c r="E102" i="1"/>
  <c r="D102" i="1" a="1"/>
  <c r="C102" i="1" a="1"/>
  <c r="B102" i="1" a="1"/>
  <c r="T102" i="1" s="1"/>
  <c r="A102" i="1"/>
  <c r="Y101" i="1"/>
  <c r="W101" i="1" a="1"/>
  <c r="V101" i="1" a="1"/>
  <c r="U101" i="1"/>
  <c r="S101" i="1" a="1"/>
  <c r="R101" i="1" a="1"/>
  <c r="P101" i="1"/>
  <c r="O101" i="1"/>
  <c r="N101" i="1"/>
  <c r="M101" i="1"/>
  <c r="K101" i="1"/>
  <c r="J101" i="1"/>
  <c r="I101" i="1"/>
  <c r="X101" i="1" s="1"/>
  <c r="H101" i="1" a="1"/>
  <c r="G101" i="1" a="1"/>
  <c r="L101" i="1" s="1"/>
  <c r="Q101" i="1" s="1"/>
  <c r="F101" i="1" a="1"/>
  <c r="E101" i="1"/>
  <c r="D101" i="1" a="1"/>
  <c r="C101" i="1" a="1"/>
  <c r="B101" i="1" a="1"/>
  <c r="T101" i="1" s="1"/>
  <c r="A101" i="1"/>
  <c r="Y100" i="1"/>
  <c r="W100" i="1" a="1"/>
  <c r="V100" i="1" a="1"/>
  <c r="U100" i="1"/>
  <c r="S100" i="1" a="1"/>
  <c r="R100" i="1" a="1"/>
  <c r="P100" i="1"/>
  <c r="O100" i="1"/>
  <c r="N100" i="1"/>
  <c r="M100" i="1"/>
  <c r="K100" i="1"/>
  <c r="I100" i="1"/>
  <c r="H100" i="1" a="1"/>
  <c r="G100" i="1" a="1"/>
  <c r="L100" i="1" s="1"/>
  <c r="Q100" i="1" s="1"/>
  <c r="F100" i="1" a="1"/>
  <c r="E100" i="1"/>
  <c r="D100" i="1" a="1"/>
  <c r="C100" i="1" a="1"/>
  <c r="B100" i="1" a="1"/>
  <c r="T100" i="1" s="1"/>
  <c r="A100" i="1"/>
  <c r="Y99" i="1"/>
  <c r="W99" i="1" a="1"/>
  <c r="V99" i="1" a="1"/>
  <c r="U99" i="1"/>
  <c r="S99" i="1" a="1"/>
  <c r="R99" i="1" a="1"/>
  <c r="P99" i="1"/>
  <c r="O99" i="1"/>
  <c r="N99" i="1"/>
  <c r="M99" i="1"/>
  <c r="K99" i="1"/>
  <c r="J99" i="1"/>
  <c r="I99" i="1"/>
  <c r="X99" i="1" s="1"/>
  <c r="H99" i="1" a="1"/>
  <c r="G99" i="1" a="1"/>
  <c r="L99" i="1" s="1"/>
  <c r="Q99" i="1" s="1"/>
  <c r="F99" i="1" a="1"/>
  <c r="E99" i="1"/>
  <c r="D99" i="1" a="1"/>
  <c r="C99" i="1" a="1"/>
  <c r="B99" i="1" a="1"/>
  <c r="T99" i="1" s="1"/>
  <c r="A99" i="1"/>
  <c r="Y98" i="1"/>
  <c r="W98" i="1" a="1"/>
  <c r="V98" i="1" a="1"/>
  <c r="U98" i="1"/>
  <c r="S98" i="1" a="1"/>
  <c r="R98" i="1" a="1"/>
  <c r="P98" i="1"/>
  <c r="O98" i="1"/>
  <c r="N98" i="1"/>
  <c r="M98" i="1"/>
  <c r="K98" i="1"/>
  <c r="I98" i="1"/>
  <c r="H98" i="1" a="1"/>
  <c r="G98" i="1" a="1"/>
  <c r="L98" i="1" s="1"/>
  <c r="Q98" i="1" s="1"/>
  <c r="F98" i="1" a="1"/>
  <c r="E98" i="1"/>
  <c r="D98" i="1" a="1"/>
  <c r="C98" i="1" a="1"/>
  <c r="B98" i="1" a="1"/>
  <c r="T98" i="1" s="1"/>
  <c r="A98" i="1"/>
  <c r="Y97" i="1"/>
  <c r="W97" i="1" a="1"/>
  <c r="V97" i="1" a="1"/>
  <c r="U97" i="1"/>
  <c r="S97" i="1" a="1"/>
  <c r="R97" i="1" a="1"/>
  <c r="P97" i="1"/>
  <c r="O97" i="1"/>
  <c r="N97" i="1"/>
  <c r="M97" i="1"/>
  <c r="K97" i="1"/>
  <c r="I97" i="1"/>
  <c r="H97" i="1" a="1"/>
  <c r="G97" i="1" a="1"/>
  <c r="L97" i="1" s="1"/>
  <c r="Q97" i="1" s="1"/>
  <c r="F97" i="1" a="1"/>
  <c r="E97" i="1"/>
  <c r="D97" i="1" a="1"/>
  <c r="C97" i="1" a="1"/>
  <c r="B97" i="1" a="1"/>
  <c r="T97" i="1" s="1"/>
  <c r="A97" i="1"/>
  <c r="Y96" i="1"/>
  <c r="W96" i="1" a="1"/>
  <c r="V96" i="1" a="1"/>
  <c r="U96" i="1"/>
  <c r="S96" i="1" a="1"/>
  <c r="R96" i="1" a="1"/>
  <c r="P96" i="1"/>
  <c r="O96" i="1"/>
  <c r="N96" i="1"/>
  <c r="M96" i="1"/>
  <c r="K96" i="1"/>
  <c r="I96" i="1"/>
  <c r="H96" i="1" a="1"/>
  <c r="G96" i="1" a="1"/>
  <c r="L96" i="1" s="1"/>
  <c r="Q96" i="1" s="1"/>
  <c r="F96" i="1" a="1"/>
  <c r="E96" i="1"/>
  <c r="D96" i="1" a="1"/>
  <c r="C96" i="1" a="1"/>
  <c r="B96" i="1" a="1"/>
  <c r="T96" i="1" s="1"/>
  <c r="A96" i="1"/>
  <c r="Y95" i="1"/>
  <c r="W95" i="1" a="1"/>
  <c r="V95" i="1" a="1"/>
  <c r="U95" i="1"/>
  <c r="S95" i="1" a="1"/>
  <c r="R95" i="1" a="1"/>
  <c r="P95" i="1"/>
  <c r="O95" i="1"/>
  <c r="N95" i="1"/>
  <c r="M95" i="1"/>
  <c r="K95" i="1"/>
  <c r="I95" i="1"/>
  <c r="H95" i="1" a="1"/>
  <c r="G95" i="1" a="1"/>
  <c r="L95" i="1" s="1"/>
  <c r="Q95" i="1" s="1"/>
  <c r="F95" i="1" a="1"/>
  <c r="E95" i="1"/>
  <c r="D95" i="1" a="1"/>
  <c r="C95" i="1" a="1"/>
  <c r="B95" i="1" a="1"/>
  <c r="T95" i="1" s="1"/>
  <c r="A95" i="1"/>
  <c r="Y94" i="1"/>
  <c r="W94" i="1" a="1"/>
  <c r="V94" i="1" a="1"/>
  <c r="U94" i="1"/>
  <c r="S94" i="1" a="1"/>
  <c r="R94" i="1" a="1"/>
  <c r="P94" i="1"/>
  <c r="O94" i="1"/>
  <c r="N94" i="1"/>
  <c r="M94" i="1"/>
  <c r="K94" i="1"/>
  <c r="I94" i="1"/>
  <c r="H94" i="1" a="1"/>
  <c r="G94" i="1" a="1"/>
  <c r="L94" i="1" s="1"/>
  <c r="Q94" i="1" s="1"/>
  <c r="F94" i="1" a="1"/>
  <c r="E94" i="1"/>
  <c r="D94" i="1" a="1"/>
  <c r="C94" i="1" a="1"/>
  <c r="B94" i="1" a="1"/>
  <c r="T94" i="1" s="1"/>
  <c r="A94" i="1"/>
  <c r="Y93" i="1"/>
  <c r="W93" i="1" a="1"/>
  <c r="V93" i="1" a="1"/>
  <c r="U93" i="1"/>
  <c r="S93" i="1" a="1"/>
  <c r="R93" i="1" a="1"/>
  <c r="P93" i="1"/>
  <c r="O93" i="1"/>
  <c r="N93" i="1"/>
  <c r="M93" i="1"/>
  <c r="K93" i="1"/>
  <c r="J93" i="1"/>
  <c r="I93" i="1"/>
  <c r="X93" i="1" s="1"/>
  <c r="H93" i="1" a="1"/>
  <c r="G93" i="1" a="1"/>
  <c r="L93" i="1" s="1"/>
  <c r="Q93" i="1" s="1"/>
  <c r="F93" i="1" a="1"/>
  <c r="E93" i="1"/>
  <c r="D93" i="1" a="1"/>
  <c r="C93" i="1" a="1"/>
  <c r="B93" i="1" a="1"/>
  <c r="T93" i="1" s="1"/>
  <c r="A93" i="1"/>
  <c r="Y92" i="1"/>
  <c r="W92" i="1" a="1"/>
  <c r="V92" i="1" a="1"/>
  <c r="U92" i="1"/>
  <c r="S92" i="1" a="1"/>
  <c r="R92" i="1" a="1"/>
  <c r="P92" i="1"/>
  <c r="O92" i="1"/>
  <c r="N92" i="1"/>
  <c r="M92" i="1"/>
  <c r="K92" i="1"/>
  <c r="J92" i="1"/>
  <c r="I92" i="1"/>
  <c r="X92" i="1" s="1"/>
  <c r="H92" i="1" a="1"/>
  <c r="G92" i="1" a="1"/>
  <c r="L92" i="1" s="1"/>
  <c r="Q92" i="1" s="1"/>
  <c r="F92" i="1" a="1"/>
  <c r="E92" i="1"/>
  <c r="D92" i="1" a="1"/>
  <c r="C92" i="1" a="1"/>
  <c r="B92" i="1" a="1"/>
  <c r="T92" i="1" s="1"/>
  <c r="A92" i="1"/>
  <c r="Y91" i="1"/>
  <c r="W91" i="1" a="1"/>
  <c r="V91" i="1" a="1"/>
  <c r="U91" i="1"/>
  <c r="S91" i="1" a="1"/>
  <c r="R91" i="1" a="1"/>
  <c r="P91" i="1"/>
  <c r="O91" i="1"/>
  <c r="N91" i="1"/>
  <c r="M91" i="1"/>
  <c r="K91" i="1"/>
  <c r="J91" i="1"/>
  <c r="I91" i="1"/>
  <c r="X91" i="1" s="1"/>
  <c r="H91" i="1" a="1"/>
  <c r="G91" i="1" a="1"/>
  <c r="L91" i="1" s="1"/>
  <c r="Q91" i="1" s="1"/>
  <c r="F91" i="1" a="1"/>
  <c r="E91" i="1"/>
  <c r="D91" i="1" a="1"/>
  <c r="C91" i="1" a="1"/>
  <c r="B91" i="1" a="1"/>
  <c r="T91" i="1" s="1"/>
  <c r="A91" i="1"/>
  <c r="Y90" i="1"/>
  <c r="W90" i="1" a="1"/>
  <c r="V90" i="1" a="1"/>
  <c r="U90" i="1"/>
  <c r="S90" i="1" a="1"/>
  <c r="R90" i="1" a="1"/>
  <c r="P90" i="1"/>
  <c r="O90" i="1"/>
  <c r="N90" i="1"/>
  <c r="M90" i="1"/>
  <c r="K90" i="1"/>
  <c r="J90" i="1"/>
  <c r="I90" i="1"/>
  <c r="X90" i="1" s="1"/>
  <c r="H90" i="1" a="1"/>
  <c r="G90" i="1" a="1"/>
  <c r="L90" i="1" s="1"/>
  <c r="Q90" i="1" s="1"/>
  <c r="F90" i="1" a="1"/>
  <c r="E90" i="1"/>
  <c r="D90" i="1" a="1"/>
  <c r="C90" i="1" a="1"/>
  <c r="B90" i="1" a="1"/>
  <c r="T90" i="1" s="1"/>
  <c r="A90" i="1"/>
  <c r="Y89" i="1"/>
  <c r="W89" i="1" a="1"/>
  <c r="V89" i="1" a="1"/>
  <c r="U89" i="1"/>
  <c r="S89" i="1" a="1"/>
  <c r="R89" i="1" a="1"/>
  <c r="P89" i="1"/>
  <c r="O89" i="1"/>
  <c r="N89" i="1"/>
  <c r="M89" i="1"/>
  <c r="K89" i="1"/>
  <c r="J89" i="1"/>
  <c r="I89" i="1"/>
  <c r="X89" i="1" s="1"/>
  <c r="H89" i="1" a="1"/>
  <c r="G89" i="1" a="1"/>
  <c r="L89" i="1" s="1"/>
  <c r="Q89" i="1" s="1"/>
  <c r="F89" i="1" a="1"/>
  <c r="E89" i="1"/>
  <c r="D89" i="1" a="1"/>
  <c r="C89" i="1" a="1"/>
  <c r="B89" i="1" a="1"/>
  <c r="T89" i="1" s="1"/>
  <c r="A89" i="1"/>
  <c r="Y88" i="1"/>
  <c r="W88" i="1" a="1"/>
  <c r="V88" i="1" a="1"/>
  <c r="U88" i="1"/>
  <c r="S88" i="1" a="1"/>
  <c r="R88" i="1" a="1"/>
  <c r="P88" i="1"/>
  <c r="O88" i="1"/>
  <c r="N88" i="1"/>
  <c r="M88" i="1"/>
  <c r="K88" i="1"/>
  <c r="J88" i="1"/>
  <c r="I88" i="1"/>
  <c r="X88" i="1" s="1"/>
  <c r="H88" i="1" a="1"/>
  <c r="G88" i="1" a="1"/>
  <c r="L88" i="1" s="1"/>
  <c r="Q88" i="1" s="1"/>
  <c r="F88" i="1" a="1"/>
  <c r="E88" i="1"/>
  <c r="D88" i="1" a="1"/>
  <c r="C88" i="1" a="1"/>
  <c r="B88" i="1" a="1"/>
  <c r="T88" i="1" s="1"/>
  <c r="A88" i="1"/>
  <c r="Y87" i="1"/>
  <c r="W87" i="1" a="1"/>
  <c r="V87" i="1" a="1"/>
  <c r="U87" i="1"/>
  <c r="S87" i="1" a="1"/>
  <c r="R87" i="1" a="1"/>
  <c r="P87" i="1"/>
  <c r="O87" i="1"/>
  <c r="N87" i="1"/>
  <c r="M87" i="1"/>
  <c r="K87" i="1"/>
  <c r="J87" i="1"/>
  <c r="I87" i="1"/>
  <c r="X87" i="1" s="1"/>
  <c r="H87" i="1" a="1"/>
  <c r="G87" i="1" a="1"/>
  <c r="L87" i="1" s="1"/>
  <c r="Q87" i="1" s="1"/>
  <c r="F87" i="1" a="1"/>
  <c r="E87" i="1"/>
  <c r="D87" i="1" a="1"/>
  <c r="C87" i="1" a="1"/>
  <c r="B87" i="1" a="1"/>
  <c r="T87" i="1" s="1"/>
  <c r="A87" i="1"/>
  <c r="Y86" i="1"/>
  <c r="W86" i="1" a="1"/>
  <c r="V86" i="1" a="1"/>
  <c r="U86" i="1"/>
  <c r="S86" i="1" a="1"/>
  <c r="R86" i="1" a="1"/>
  <c r="P86" i="1"/>
  <c r="O86" i="1"/>
  <c r="N86" i="1"/>
  <c r="M86" i="1"/>
  <c r="K86" i="1"/>
  <c r="I86" i="1"/>
  <c r="H86" i="1" a="1"/>
  <c r="G86" i="1" a="1"/>
  <c r="L86" i="1" s="1"/>
  <c r="Q86" i="1" s="1"/>
  <c r="F86" i="1" a="1"/>
  <c r="E86" i="1"/>
  <c r="D86" i="1" a="1"/>
  <c r="C86" i="1" a="1"/>
  <c r="B86" i="1" a="1"/>
  <c r="T86" i="1" s="1"/>
  <c r="A86" i="1"/>
  <c r="Y85" i="1"/>
  <c r="W85" i="1" a="1"/>
  <c r="V85" i="1" a="1"/>
  <c r="U85" i="1"/>
  <c r="S85" i="1" a="1"/>
  <c r="R85" i="1" a="1"/>
  <c r="P85" i="1"/>
  <c r="O85" i="1"/>
  <c r="N85" i="1"/>
  <c r="M85" i="1"/>
  <c r="K85" i="1"/>
  <c r="J85" i="1"/>
  <c r="I85" i="1"/>
  <c r="X85" i="1" s="1"/>
  <c r="H85" i="1" a="1"/>
  <c r="G85" i="1" a="1"/>
  <c r="L85" i="1" s="1"/>
  <c r="Q85" i="1" s="1"/>
  <c r="F85" i="1" a="1"/>
  <c r="E85" i="1"/>
  <c r="D85" i="1" a="1"/>
  <c r="C85" i="1" a="1"/>
  <c r="B85" i="1" a="1"/>
  <c r="T85" i="1" s="1"/>
  <c r="A85" i="1"/>
  <c r="Y84" i="1"/>
  <c r="W84" i="1" a="1"/>
  <c r="V84" i="1" a="1"/>
  <c r="U84" i="1"/>
  <c r="S84" i="1" a="1"/>
  <c r="R84" i="1" a="1"/>
  <c r="P84" i="1"/>
  <c r="O84" i="1"/>
  <c r="N84" i="1"/>
  <c r="M84" i="1"/>
  <c r="K84" i="1"/>
  <c r="I84" i="1"/>
  <c r="H84" i="1" a="1"/>
  <c r="G84" i="1" a="1"/>
  <c r="L84" i="1" s="1"/>
  <c r="Q84" i="1" s="1"/>
  <c r="F84" i="1" a="1"/>
  <c r="E84" i="1"/>
  <c r="D84" i="1" a="1"/>
  <c r="C84" i="1" a="1"/>
  <c r="B84" i="1" a="1"/>
  <c r="T84" i="1" s="1"/>
  <c r="A84" i="1"/>
  <c r="Y83" i="1"/>
  <c r="W83" i="1" a="1"/>
  <c r="V83" i="1" a="1"/>
  <c r="U83" i="1"/>
  <c r="S83" i="1" a="1"/>
  <c r="R83" i="1" a="1"/>
  <c r="P83" i="1"/>
  <c r="O83" i="1"/>
  <c r="N83" i="1"/>
  <c r="M83" i="1"/>
  <c r="K83" i="1"/>
  <c r="J83" i="1"/>
  <c r="I83" i="1"/>
  <c r="X83" i="1" s="1"/>
  <c r="H83" i="1" a="1"/>
  <c r="G83" i="1" a="1"/>
  <c r="L83" i="1" s="1"/>
  <c r="Q83" i="1" s="1"/>
  <c r="F83" i="1" a="1"/>
  <c r="E83" i="1"/>
  <c r="D83" i="1" a="1"/>
  <c r="C83" i="1" a="1"/>
  <c r="B83" i="1" a="1"/>
  <c r="T83" i="1" s="1"/>
  <c r="A83" i="1"/>
  <c r="Y82" i="1"/>
  <c r="W82" i="1" a="1"/>
  <c r="V82" i="1" a="1"/>
  <c r="U82" i="1"/>
  <c r="S82" i="1" a="1"/>
  <c r="R82" i="1" a="1"/>
  <c r="P82" i="1"/>
  <c r="O82" i="1"/>
  <c r="N82" i="1"/>
  <c r="M82" i="1"/>
  <c r="K82" i="1"/>
  <c r="I82" i="1"/>
  <c r="H82" i="1" a="1"/>
  <c r="G82" i="1" a="1"/>
  <c r="L82" i="1" s="1"/>
  <c r="Q82" i="1" s="1"/>
  <c r="F82" i="1" a="1"/>
  <c r="E82" i="1"/>
  <c r="D82" i="1" a="1"/>
  <c r="C82" i="1" a="1"/>
  <c r="B82" i="1" a="1"/>
  <c r="T82" i="1" s="1"/>
  <c r="A82" i="1"/>
  <c r="Y81" i="1"/>
  <c r="W81" i="1" a="1"/>
  <c r="V81" i="1" a="1"/>
  <c r="U81" i="1"/>
  <c r="S81" i="1" a="1"/>
  <c r="R81" i="1" a="1"/>
  <c r="P81" i="1"/>
  <c r="O81" i="1"/>
  <c r="N81" i="1"/>
  <c r="M81" i="1"/>
  <c r="K81" i="1"/>
  <c r="J81" i="1"/>
  <c r="I81" i="1"/>
  <c r="X81" i="1" s="1"/>
  <c r="H81" i="1" a="1"/>
  <c r="G81" i="1" a="1"/>
  <c r="L81" i="1" s="1"/>
  <c r="Q81" i="1" s="1"/>
  <c r="F81" i="1" a="1"/>
  <c r="E81" i="1"/>
  <c r="D81" i="1" a="1"/>
  <c r="C81" i="1" a="1"/>
  <c r="B81" i="1" a="1"/>
  <c r="T81" i="1" s="1"/>
  <c r="A81" i="1"/>
  <c r="Y80" i="1"/>
  <c r="W80" i="1" a="1"/>
  <c r="V80" i="1" a="1"/>
  <c r="U80" i="1"/>
  <c r="S80" i="1" a="1"/>
  <c r="R80" i="1" a="1"/>
  <c r="P80" i="1"/>
  <c r="O80" i="1"/>
  <c r="N80" i="1"/>
  <c r="M80" i="1"/>
  <c r="K80" i="1"/>
  <c r="I80" i="1"/>
  <c r="X80" i="1" s="1"/>
  <c r="H80" i="1" a="1"/>
  <c r="G80" i="1" a="1"/>
  <c r="L80" i="1" s="1"/>
  <c r="Q80" i="1" s="1"/>
  <c r="F80" i="1" a="1"/>
  <c r="E80" i="1"/>
  <c r="D80" i="1" a="1"/>
  <c r="C80" i="1" a="1"/>
  <c r="B80" i="1" a="1"/>
  <c r="T80" i="1" s="1"/>
  <c r="A80" i="1"/>
  <c r="Y79" i="1"/>
  <c r="W79" i="1" a="1"/>
  <c r="V79" i="1" a="1"/>
  <c r="U79" i="1"/>
  <c r="S79" i="1" a="1"/>
  <c r="R79" i="1" a="1"/>
  <c r="P79" i="1"/>
  <c r="O79" i="1"/>
  <c r="N79" i="1"/>
  <c r="M79" i="1"/>
  <c r="K79" i="1"/>
  <c r="J79" i="1" s="1"/>
  <c r="I79" i="1"/>
  <c r="X79" i="1" s="1"/>
  <c r="H79" i="1" a="1"/>
  <c r="G79" i="1" a="1"/>
  <c r="L79" i="1" s="1"/>
  <c r="Q79" i="1" s="1"/>
  <c r="F79" i="1" a="1"/>
  <c r="E79" i="1"/>
  <c r="D79" i="1" a="1"/>
  <c r="C79" i="1" a="1"/>
  <c r="B79" i="1" a="1"/>
  <c r="T79" i="1" s="1"/>
  <c r="A79" i="1"/>
  <c r="Y78" i="1"/>
  <c r="W78" i="1" a="1"/>
  <c r="V78" i="1" a="1"/>
  <c r="U78" i="1"/>
  <c r="S78" i="1" a="1"/>
  <c r="R78" i="1" a="1"/>
  <c r="P78" i="1"/>
  <c r="O78" i="1"/>
  <c r="N78" i="1"/>
  <c r="M78" i="1"/>
  <c r="K78" i="1"/>
  <c r="J78" i="1"/>
  <c r="I78" i="1"/>
  <c r="X78" i="1" s="1"/>
  <c r="H78" i="1" a="1"/>
  <c r="G78" i="1" a="1"/>
  <c r="L78" i="1" s="1"/>
  <c r="Q78" i="1" s="1"/>
  <c r="F78" i="1" a="1"/>
  <c r="E78" i="1"/>
  <c r="D78" i="1" a="1"/>
  <c r="C78" i="1" a="1"/>
  <c r="B78" i="1" a="1"/>
  <c r="T78" i="1" s="1"/>
  <c r="A78" i="1"/>
  <c r="Y77" i="1"/>
  <c r="W77" i="1" a="1"/>
  <c r="V77" i="1" a="1"/>
  <c r="U77" i="1"/>
  <c r="S77" i="1" a="1"/>
  <c r="R77" i="1" a="1"/>
  <c r="P77" i="1"/>
  <c r="O77" i="1"/>
  <c r="N77" i="1"/>
  <c r="M77" i="1"/>
  <c r="K77" i="1"/>
  <c r="J77" i="1" s="1"/>
  <c r="I77" i="1"/>
  <c r="X77" i="1" s="1"/>
  <c r="H77" i="1" a="1"/>
  <c r="G77" i="1" a="1"/>
  <c r="L77" i="1" s="1"/>
  <c r="Q77" i="1" s="1"/>
  <c r="F77" i="1" a="1"/>
  <c r="E77" i="1"/>
  <c r="D77" i="1" a="1"/>
  <c r="C77" i="1" a="1"/>
  <c r="B77" i="1" a="1"/>
  <c r="T77" i="1" s="1"/>
  <c r="A77" i="1"/>
  <c r="Y76" i="1"/>
  <c r="W76" i="1" a="1"/>
  <c r="V76" i="1" a="1"/>
  <c r="U76" i="1"/>
  <c r="S76" i="1" a="1"/>
  <c r="R76" i="1" a="1"/>
  <c r="P76" i="1"/>
  <c r="O76" i="1"/>
  <c r="N76" i="1"/>
  <c r="M76" i="1"/>
  <c r="K76" i="1"/>
  <c r="J76" i="1" s="1"/>
  <c r="I76" i="1"/>
  <c r="X76" i="1" s="1"/>
  <c r="H76" i="1" a="1"/>
  <c r="G76" i="1" a="1"/>
  <c r="L76" i="1" s="1"/>
  <c r="Q76" i="1" s="1"/>
  <c r="F76" i="1" a="1"/>
  <c r="E76" i="1"/>
  <c r="D76" i="1" a="1"/>
  <c r="C76" i="1" a="1"/>
  <c r="B76" i="1" a="1"/>
  <c r="T76" i="1" s="1"/>
  <c r="A76" i="1"/>
  <c r="Y75" i="1"/>
  <c r="W75" i="1" a="1"/>
  <c r="V75" i="1" a="1"/>
  <c r="U75" i="1"/>
  <c r="S75" i="1" a="1"/>
  <c r="R75" i="1" a="1"/>
  <c r="P75" i="1"/>
  <c r="O75" i="1"/>
  <c r="N75" i="1"/>
  <c r="M75" i="1"/>
  <c r="K75" i="1"/>
  <c r="J75" i="1" s="1"/>
  <c r="I75" i="1"/>
  <c r="X75" i="1" s="1"/>
  <c r="H75" i="1" a="1"/>
  <c r="G75" i="1" a="1"/>
  <c r="L75" i="1" s="1"/>
  <c r="Q75" i="1" s="1"/>
  <c r="F75" i="1" a="1"/>
  <c r="E75" i="1"/>
  <c r="D75" i="1" a="1"/>
  <c r="C75" i="1" a="1"/>
  <c r="B75" i="1" a="1"/>
  <c r="T75" i="1" s="1"/>
  <c r="A75" i="1"/>
  <c r="Y74" i="1"/>
  <c r="W74" i="1" a="1"/>
  <c r="V74" i="1" a="1"/>
  <c r="U74" i="1"/>
  <c r="S74" i="1" a="1"/>
  <c r="R74" i="1" a="1"/>
  <c r="P74" i="1"/>
  <c r="O74" i="1"/>
  <c r="N74" i="1"/>
  <c r="M74" i="1"/>
  <c r="K74" i="1"/>
  <c r="J74" i="1" s="1"/>
  <c r="I74" i="1"/>
  <c r="X74" i="1" s="1"/>
  <c r="H74" i="1" a="1"/>
  <c r="G74" i="1" a="1"/>
  <c r="L74" i="1" s="1"/>
  <c r="Q74" i="1" s="1"/>
  <c r="F74" i="1" a="1"/>
  <c r="E74" i="1"/>
  <c r="D74" i="1" a="1"/>
  <c r="C74" i="1" a="1"/>
  <c r="B74" i="1" a="1"/>
  <c r="T74" i="1" s="1"/>
  <c r="A74" i="1"/>
  <c r="Y73" i="1"/>
  <c r="W73" i="1" a="1"/>
  <c r="V73" i="1" a="1"/>
  <c r="U73" i="1"/>
  <c r="S73" i="1" a="1"/>
  <c r="R73" i="1" a="1"/>
  <c r="P73" i="1"/>
  <c r="O73" i="1"/>
  <c r="N73" i="1"/>
  <c r="M73" i="1"/>
  <c r="K73" i="1"/>
  <c r="J73" i="1" s="1"/>
  <c r="I73" i="1"/>
  <c r="X73" i="1" s="1"/>
  <c r="H73" i="1" a="1"/>
  <c r="G73" i="1" a="1"/>
  <c r="L73" i="1" s="1"/>
  <c r="Q73" i="1" s="1"/>
  <c r="F73" i="1" a="1"/>
  <c r="E73" i="1"/>
  <c r="D73" i="1" a="1"/>
  <c r="C73" i="1" a="1"/>
  <c r="B73" i="1" a="1"/>
  <c r="T73" i="1" s="1"/>
  <c r="A73" i="1"/>
  <c r="Y72" i="1"/>
  <c r="W72" i="1" a="1"/>
  <c r="V72" i="1" a="1"/>
  <c r="U72" i="1"/>
  <c r="S72" i="1" a="1"/>
  <c r="R72" i="1" a="1"/>
  <c r="P72" i="1"/>
  <c r="O72" i="1"/>
  <c r="N72" i="1"/>
  <c r="M72" i="1"/>
  <c r="K72" i="1"/>
  <c r="J72" i="1" s="1"/>
  <c r="I72" i="1"/>
  <c r="X72" i="1" s="1"/>
  <c r="H72" i="1" a="1"/>
  <c r="G72" i="1" a="1"/>
  <c r="L72" i="1" s="1"/>
  <c r="Q72" i="1" s="1"/>
  <c r="F72" i="1" a="1"/>
  <c r="E72" i="1"/>
  <c r="D72" i="1" a="1"/>
  <c r="C72" i="1" a="1"/>
  <c r="B72" i="1" a="1"/>
  <c r="T72" i="1" s="1"/>
  <c r="A72" i="1"/>
  <c r="Y71" i="1"/>
  <c r="W71" i="1" a="1"/>
  <c r="V71" i="1" a="1"/>
  <c r="U71" i="1"/>
  <c r="S71" i="1" a="1"/>
  <c r="R71" i="1" a="1"/>
  <c r="P71" i="1"/>
  <c r="O71" i="1"/>
  <c r="N71" i="1"/>
  <c r="M71" i="1"/>
  <c r="K71" i="1"/>
  <c r="J71" i="1" s="1"/>
  <c r="I71" i="1"/>
  <c r="X71" i="1" s="1"/>
  <c r="H71" i="1" a="1"/>
  <c r="G71" i="1" a="1"/>
  <c r="L71" i="1" s="1"/>
  <c r="Q71" i="1" s="1"/>
  <c r="F71" i="1" a="1"/>
  <c r="E71" i="1"/>
  <c r="D71" i="1" a="1"/>
  <c r="C71" i="1" a="1"/>
  <c r="B71" i="1" a="1"/>
  <c r="T71" i="1" s="1"/>
  <c r="A71" i="1"/>
  <c r="Y70" i="1"/>
  <c r="W70" i="1" a="1"/>
  <c r="V70" i="1" a="1"/>
  <c r="U70" i="1"/>
  <c r="S70" i="1" a="1"/>
  <c r="R70" i="1" a="1"/>
  <c r="P70" i="1"/>
  <c r="O70" i="1"/>
  <c r="N70" i="1"/>
  <c r="M70" i="1"/>
  <c r="K70" i="1"/>
  <c r="J70" i="1" s="1"/>
  <c r="I70" i="1"/>
  <c r="X70" i="1" s="1"/>
  <c r="H70" i="1" a="1"/>
  <c r="G70" i="1" a="1"/>
  <c r="L70" i="1" s="1"/>
  <c r="Q70" i="1" s="1"/>
  <c r="F70" i="1" a="1"/>
  <c r="E70" i="1"/>
  <c r="D70" i="1" a="1"/>
  <c r="C70" i="1" a="1"/>
  <c r="B70" i="1" a="1"/>
  <c r="T70" i="1" s="1"/>
  <c r="A70" i="1"/>
  <c r="Y69" i="1"/>
  <c r="W69" i="1" a="1"/>
  <c r="V69" i="1" a="1"/>
  <c r="U69" i="1"/>
  <c r="S69" i="1" a="1"/>
  <c r="R69" i="1" a="1"/>
  <c r="P69" i="1"/>
  <c r="O69" i="1"/>
  <c r="N69" i="1"/>
  <c r="M69" i="1"/>
  <c r="K69" i="1"/>
  <c r="J69" i="1" s="1"/>
  <c r="I69" i="1"/>
  <c r="X69" i="1" s="1"/>
  <c r="H69" i="1" a="1"/>
  <c r="G69" i="1" a="1"/>
  <c r="L69" i="1" s="1"/>
  <c r="Q69" i="1" s="1"/>
  <c r="F69" i="1" a="1"/>
  <c r="E69" i="1"/>
  <c r="D69" i="1" a="1"/>
  <c r="C69" i="1" a="1"/>
  <c r="B69" i="1" a="1"/>
  <c r="T69" i="1" s="1"/>
  <c r="A69" i="1"/>
  <c r="Y68" i="1"/>
  <c r="W68" i="1" a="1"/>
  <c r="V68" i="1" a="1"/>
  <c r="U68" i="1"/>
  <c r="S68" i="1" a="1"/>
  <c r="R68" i="1" a="1"/>
  <c r="P68" i="1"/>
  <c r="O68" i="1"/>
  <c r="N68" i="1"/>
  <c r="M68" i="1"/>
  <c r="K68" i="1"/>
  <c r="J68" i="1" s="1"/>
  <c r="I68" i="1"/>
  <c r="X68" i="1" s="1"/>
  <c r="H68" i="1" a="1"/>
  <c r="G68" i="1" a="1"/>
  <c r="L68" i="1" s="1"/>
  <c r="Q68" i="1" s="1"/>
  <c r="F68" i="1" a="1"/>
  <c r="E68" i="1"/>
  <c r="D68" i="1" a="1"/>
  <c r="C68" i="1" a="1"/>
  <c r="B68" i="1" a="1"/>
  <c r="T68" i="1" s="1"/>
  <c r="A68" i="1"/>
  <c r="Y67" i="1"/>
  <c r="W67" i="1" a="1"/>
  <c r="V67" i="1" a="1"/>
  <c r="U67" i="1"/>
  <c r="S67" i="1" a="1"/>
  <c r="R67" i="1" a="1"/>
  <c r="P67" i="1"/>
  <c r="O67" i="1"/>
  <c r="N67" i="1"/>
  <c r="M67" i="1"/>
  <c r="K67" i="1"/>
  <c r="J67" i="1" s="1"/>
  <c r="I67" i="1"/>
  <c r="X67" i="1" s="1"/>
  <c r="H67" i="1" a="1"/>
  <c r="G67" i="1" a="1"/>
  <c r="L67" i="1" s="1"/>
  <c r="Q67" i="1" s="1"/>
  <c r="F67" i="1" a="1"/>
  <c r="E67" i="1"/>
  <c r="D67" i="1" a="1"/>
  <c r="C67" i="1" a="1"/>
  <c r="B67" i="1" a="1"/>
  <c r="T67" i="1" s="1"/>
  <c r="A67" i="1"/>
  <c r="Y66" i="1"/>
  <c r="W66" i="1" a="1"/>
  <c r="V66" i="1" a="1"/>
  <c r="U66" i="1"/>
  <c r="S66" i="1" a="1"/>
  <c r="R66" i="1" a="1"/>
  <c r="P66" i="1"/>
  <c r="O66" i="1"/>
  <c r="N66" i="1"/>
  <c r="M66" i="1"/>
  <c r="K66" i="1"/>
  <c r="J66" i="1" s="1"/>
  <c r="I66" i="1"/>
  <c r="X66" i="1" s="1"/>
  <c r="H66" i="1" a="1"/>
  <c r="G66" i="1" a="1"/>
  <c r="L66" i="1" s="1"/>
  <c r="Q66" i="1" s="1"/>
  <c r="F66" i="1" a="1"/>
  <c r="E66" i="1"/>
  <c r="D66" i="1" a="1"/>
  <c r="C66" i="1" a="1"/>
  <c r="B66" i="1" a="1"/>
  <c r="T66" i="1" s="1"/>
  <c r="A66" i="1"/>
  <c r="Y65" i="1"/>
  <c r="W65" i="1" a="1"/>
  <c r="V65" i="1" a="1"/>
  <c r="U65" i="1"/>
  <c r="S65" i="1" a="1"/>
  <c r="R65" i="1" a="1"/>
  <c r="P65" i="1"/>
  <c r="O65" i="1"/>
  <c r="N65" i="1"/>
  <c r="M65" i="1"/>
  <c r="K65" i="1"/>
  <c r="I65" i="1"/>
  <c r="X65" i="1" s="1"/>
  <c r="H65" i="1" a="1"/>
  <c r="G65" i="1" a="1"/>
  <c r="L65" i="1" s="1"/>
  <c r="Q65" i="1" s="1"/>
  <c r="F65" i="1" a="1"/>
  <c r="E65" i="1"/>
  <c r="D65" i="1" a="1"/>
  <c r="C65" i="1" a="1"/>
  <c r="B65" i="1" a="1"/>
  <c r="T65" i="1" s="1"/>
  <c r="A65" i="1"/>
  <c r="Y64" i="1"/>
  <c r="X64" i="1"/>
  <c r="W64" i="1" a="1"/>
  <c r="V64" i="1" a="1"/>
  <c r="U64" i="1"/>
  <c r="S64" i="1" a="1"/>
  <c r="R64" i="1" a="1"/>
  <c r="P64" i="1"/>
  <c r="O64" i="1"/>
  <c r="N64" i="1"/>
  <c r="M64" i="1"/>
  <c r="K64" i="1"/>
  <c r="I64" i="1"/>
  <c r="J64" i="1" s="1"/>
  <c r="H64" i="1" a="1"/>
  <c r="G64" i="1" a="1"/>
  <c r="L64" i="1" s="1"/>
  <c r="Q64" i="1" s="1"/>
  <c r="F64" i="1" a="1"/>
  <c r="E64" i="1"/>
  <c r="D64" i="1" a="1"/>
  <c r="C64" i="1" a="1"/>
  <c r="B64" i="1" a="1"/>
  <c r="T64" i="1" s="1"/>
  <c r="A64" i="1"/>
  <c r="Y63" i="1"/>
  <c r="W63" i="1" a="1"/>
  <c r="V63" i="1" a="1"/>
  <c r="U63" i="1"/>
  <c r="S63" i="1" a="1"/>
  <c r="R63" i="1" a="1"/>
  <c r="P63" i="1"/>
  <c r="O63" i="1"/>
  <c r="N63" i="1"/>
  <c r="M63" i="1"/>
  <c r="K63" i="1"/>
  <c r="I63" i="1"/>
  <c r="H63" i="1" a="1"/>
  <c r="G63" i="1" a="1"/>
  <c r="L63" i="1" s="1"/>
  <c r="Q63" i="1" s="1"/>
  <c r="F63" i="1" a="1"/>
  <c r="E63" i="1"/>
  <c r="D63" i="1" a="1"/>
  <c r="C63" i="1" a="1"/>
  <c r="B63" i="1" a="1"/>
  <c r="T63" i="1" s="1"/>
  <c r="A63" i="1"/>
  <c r="Y62" i="1"/>
  <c r="W62" i="1" a="1"/>
  <c r="V62" i="1" a="1"/>
  <c r="U62" i="1"/>
  <c r="S62" i="1" a="1"/>
  <c r="R62" i="1" a="1"/>
  <c r="P62" i="1"/>
  <c r="O62" i="1"/>
  <c r="N62" i="1"/>
  <c r="M62" i="1"/>
  <c r="K62" i="1"/>
  <c r="I62" i="1"/>
  <c r="H62" i="1" a="1"/>
  <c r="G62" i="1" a="1"/>
  <c r="L62" i="1" s="1"/>
  <c r="Q62" i="1" s="1"/>
  <c r="F62" i="1" a="1"/>
  <c r="E62" i="1"/>
  <c r="D62" i="1" a="1"/>
  <c r="C62" i="1" a="1"/>
  <c r="B62" i="1" a="1"/>
  <c r="T62" i="1" s="1"/>
  <c r="A62" i="1"/>
  <c r="Y61" i="1"/>
  <c r="W61" i="1" a="1"/>
  <c r="V61" i="1" a="1"/>
  <c r="U61" i="1"/>
  <c r="S61" i="1" a="1"/>
  <c r="R61" i="1" a="1"/>
  <c r="P61" i="1"/>
  <c r="O61" i="1"/>
  <c r="N61" i="1"/>
  <c r="M61" i="1"/>
  <c r="K61" i="1"/>
  <c r="J61" i="1"/>
  <c r="I61" i="1"/>
  <c r="X61" i="1" s="1"/>
  <c r="H61" i="1" a="1"/>
  <c r="G61" i="1" a="1"/>
  <c r="L61" i="1" s="1"/>
  <c r="Q61" i="1" s="1"/>
  <c r="F61" i="1" a="1"/>
  <c r="E61" i="1"/>
  <c r="D61" i="1" a="1"/>
  <c r="C61" i="1" a="1"/>
  <c r="B61" i="1" a="1"/>
  <c r="T61" i="1" s="1"/>
  <c r="A61" i="1"/>
  <c r="Y60" i="1"/>
  <c r="W60" i="1" a="1"/>
  <c r="V60" i="1" a="1"/>
  <c r="U60" i="1"/>
  <c r="S60" i="1" a="1"/>
  <c r="R60" i="1" a="1"/>
  <c r="P60" i="1"/>
  <c r="O60" i="1"/>
  <c r="N60" i="1"/>
  <c r="M60" i="1"/>
  <c r="K60" i="1"/>
  <c r="I60" i="1"/>
  <c r="H60" i="1" a="1"/>
  <c r="G60" i="1" a="1"/>
  <c r="L60" i="1" s="1"/>
  <c r="Q60" i="1" s="1"/>
  <c r="F60" i="1" a="1"/>
  <c r="E60" i="1"/>
  <c r="D60" i="1" a="1"/>
  <c r="C60" i="1" a="1"/>
  <c r="B60" i="1" a="1"/>
  <c r="T60" i="1" s="1"/>
  <c r="A60" i="1"/>
  <c r="Y59" i="1"/>
  <c r="W59" i="1" a="1"/>
  <c r="V59" i="1" a="1"/>
  <c r="U59" i="1"/>
  <c r="S59" i="1" a="1"/>
  <c r="R59" i="1" a="1"/>
  <c r="P59" i="1"/>
  <c r="O59" i="1"/>
  <c r="N59" i="1"/>
  <c r="M59" i="1"/>
  <c r="K59" i="1"/>
  <c r="I59" i="1"/>
  <c r="H59" i="1" a="1"/>
  <c r="G59" i="1" a="1"/>
  <c r="L59" i="1" s="1"/>
  <c r="Q59" i="1" s="1"/>
  <c r="F59" i="1" a="1"/>
  <c r="E59" i="1"/>
  <c r="D59" i="1" a="1"/>
  <c r="C59" i="1" a="1"/>
  <c r="B59" i="1" a="1"/>
  <c r="T59" i="1" s="1"/>
  <c r="A59" i="1"/>
  <c r="Y58" i="1"/>
  <c r="W58" i="1" a="1"/>
  <c r="V58" i="1" a="1"/>
  <c r="U58" i="1"/>
  <c r="S58" i="1" a="1"/>
  <c r="R58" i="1" a="1"/>
  <c r="P58" i="1"/>
  <c r="O58" i="1"/>
  <c r="N58" i="1"/>
  <c r="M58" i="1"/>
  <c r="K58" i="1"/>
  <c r="J58" i="1"/>
  <c r="I58" i="1"/>
  <c r="X58" i="1" s="1"/>
  <c r="H58" i="1" a="1"/>
  <c r="G58" i="1" a="1"/>
  <c r="L58" i="1" s="1"/>
  <c r="Q58" i="1" s="1"/>
  <c r="F58" i="1" a="1"/>
  <c r="E58" i="1"/>
  <c r="D58" i="1" a="1"/>
  <c r="C58" i="1" a="1"/>
  <c r="B58" i="1" a="1"/>
  <c r="T58" i="1" s="1"/>
  <c r="A58" i="1"/>
  <c r="Y57" i="1"/>
  <c r="W57" i="1" a="1"/>
  <c r="V57" i="1" a="1"/>
  <c r="U57" i="1"/>
  <c r="S57" i="1" a="1"/>
  <c r="R57" i="1" a="1"/>
  <c r="P57" i="1"/>
  <c r="O57" i="1"/>
  <c r="N57" i="1"/>
  <c r="M57" i="1"/>
  <c r="K57" i="1"/>
  <c r="J57" i="1"/>
  <c r="I57" i="1"/>
  <c r="X57" i="1" s="1"/>
  <c r="H57" i="1" a="1"/>
  <c r="G57" i="1" a="1"/>
  <c r="L57" i="1" s="1"/>
  <c r="Q57" i="1" s="1"/>
  <c r="F57" i="1" a="1"/>
  <c r="E57" i="1"/>
  <c r="D57" i="1" a="1"/>
  <c r="C57" i="1" a="1"/>
  <c r="B57" i="1" a="1"/>
  <c r="T57" i="1" s="1"/>
  <c r="A57" i="1"/>
  <c r="Y56" i="1"/>
  <c r="W56" i="1" a="1"/>
  <c r="V56" i="1" a="1"/>
  <c r="U56" i="1"/>
  <c r="S56" i="1" a="1"/>
  <c r="R56" i="1" a="1"/>
  <c r="P56" i="1"/>
  <c r="O56" i="1"/>
  <c r="N56" i="1"/>
  <c r="M56" i="1"/>
  <c r="K56" i="1"/>
  <c r="I56" i="1"/>
  <c r="H56" i="1" a="1"/>
  <c r="G56" i="1" a="1"/>
  <c r="L56" i="1" s="1"/>
  <c r="Q56" i="1" s="1"/>
  <c r="F56" i="1" a="1"/>
  <c r="E56" i="1"/>
  <c r="D56" i="1" a="1"/>
  <c r="C56" i="1" a="1"/>
  <c r="B56" i="1" a="1"/>
  <c r="T56" i="1" s="1"/>
  <c r="A56" i="1"/>
  <c r="Y55" i="1"/>
  <c r="W55" i="1" a="1"/>
  <c r="V55" i="1" a="1"/>
  <c r="U55" i="1"/>
  <c r="S55" i="1" a="1"/>
  <c r="R55" i="1" a="1"/>
  <c r="P55" i="1"/>
  <c r="O55" i="1"/>
  <c r="N55" i="1"/>
  <c r="M55" i="1"/>
  <c r="K55" i="1"/>
  <c r="I55" i="1"/>
  <c r="H55" i="1" a="1"/>
  <c r="G55" i="1" a="1"/>
  <c r="L55" i="1" s="1"/>
  <c r="Q55" i="1" s="1"/>
  <c r="F55" i="1" a="1"/>
  <c r="E55" i="1"/>
  <c r="D55" i="1" a="1"/>
  <c r="C55" i="1" a="1"/>
  <c r="B55" i="1" a="1"/>
  <c r="T55" i="1" s="1"/>
  <c r="A55" i="1"/>
  <c r="Y54" i="1"/>
  <c r="W54" i="1" a="1"/>
  <c r="V54" i="1" a="1"/>
  <c r="U54" i="1"/>
  <c r="S54" i="1" a="1"/>
  <c r="R54" i="1" a="1"/>
  <c r="P54" i="1"/>
  <c r="O54" i="1"/>
  <c r="N54" i="1"/>
  <c r="M54" i="1"/>
  <c r="K54" i="1"/>
  <c r="J54" i="1"/>
  <c r="I54" i="1"/>
  <c r="X54" i="1" s="1"/>
  <c r="H54" i="1" a="1"/>
  <c r="G54" i="1" a="1"/>
  <c r="L54" i="1" s="1"/>
  <c r="Q54" i="1" s="1"/>
  <c r="F54" i="1" a="1"/>
  <c r="E54" i="1"/>
  <c r="D54" i="1" a="1"/>
  <c r="C54" i="1" a="1"/>
  <c r="B54" i="1" a="1"/>
  <c r="T54" i="1" s="1"/>
  <c r="A54" i="1"/>
  <c r="Y53" i="1"/>
  <c r="W53" i="1" a="1"/>
  <c r="V53" i="1" a="1"/>
  <c r="U53" i="1"/>
  <c r="S53" i="1" a="1"/>
  <c r="R53" i="1" a="1"/>
  <c r="P53" i="1"/>
  <c r="O53" i="1"/>
  <c r="N53" i="1"/>
  <c r="M53" i="1"/>
  <c r="K53" i="1"/>
  <c r="I53" i="1"/>
  <c r="H53" i="1" a="1"/>
  <c r="G53" i="1" a="1"/>
  <c r="L53" i="1" s="1"/>
  <c r="Q53" i="1" s="1"/>
  <c r="F53" i="1" a="1"/>
  <c r="E53" i="1"/>
  <c r="D53" i="1" a="1"/>
  <c r="C53" i="1" a="1"/>
  <c r="B53" i="1" a="1"/>
  <c r="T53" i="1" s="1"/>
  <c r="A53" i="1"/>
  <c r="Y52" i="1"/>
  <c r="W52" i="1" a="1"/>
  <c r="V52" i="1" a="1"/>
  <c r="U52" i="1"/>
  <c r="S52" i="1" a="1"/>
  <c r="R52" i="1" a="1"/>
  <c r="P52" i="1"/>
  <c r="O52" i="1"/>
  <c r="N52" i="1"/>
  <c r="M52" i="1"/>
  <c r="K52" i="1"/>
  <c r="J52" i="1"/>
  <c r="I52" i="1"/>
  <c r="X52" i="1" s="1"/>
  <c r="H52" i="1" a="1"/>
  <c r="G52" i="1" a="1"/>
  <c r="L52" i="1" s="1"/>
  <c r="Q52" i="1" s="1"/>
  <c r="F52" i="1" a="1"/>
  <c r="E52" i="1"/>
  <c r="D52" i="1" a="1"/>
  <c r="C52" i="1" a="1"/>
  <c r="B52" i="1" a="1"/>
  <c r="T52" i="1" s="1"/>
  <c r="A52" i="1"/>
  <c r="Y51" i="1"/>
  <c r="W51" i="1" a="1"/>
  <c r="V51" i="1" a="1"/>
  <c r="U51" i="1"/>
  <c r="S51" i="1" a="1"/>
  <c r="R51" i="1" a="1"/>
  <c r="P51" i="1"/>
  <c r="O51" i="1"/>
  <c r="N51" i="1"/>
  <c r="M51" i="1"/>
  <c r="K51" i="1"/>
  <c r="I51" i="1"/>
  <c r="H51" i="1" a="1"/>
  <c r="G51" i="1" a="1"/>
  <c r="L51" i="1" s="1"/>
  <c r="Q51" i="1" s="1"/>
  <c r="F51" i="1" a="1"/>
  <c r="E51" i="1"/>
  <c r="D51" i="1" a="1"/>
  <c r="C51" i="1" a="1"/>
  <c r="B51" i="1" a="1"/>
  <c r="T51" i="1" s="1"/>
  <c r="A51" i="1"/>
  <c r="Y50" i="1"/>
  <c r="W50" i="1" a="1"/>
  <c r="V50" i="1" a="1"/>
  <c r="U50" i="1"/>
  <c r="S50" i="1" a="1"/>
  <c r="R50" i="1" a="1"/>
  <c r="P50" i="1"/>
  <c r="O50" i="1"/>
  <c r="N50" i="1"/>
  <c r="M50" i="1"/>
  <c r="K50" i="1"/>
  <c r="J50" i="1"/>
  <c r="I50" i="1"/>
  <c r="X50" i="1" s="1"/>
  <c r="H50" i="1" a="1"/>
  <c r="G50" i="1" a="1"/>
  <c r="L50" i="1" s="1"/>
  <c r="Q50" i="1" s="1"/>
  <c r="F50" i="1" a="1"/>
  <c r="E50" i="1"/>
  <c r="D50" i="1" a="1"/>
  <c r="C50" i="1" a="1"/>
  <c r="B50" i="1" a="1"/>
  <c r="T50" i="1" s="1"/>
  <c r="A50" i="1"/>
  <c r="Y49" i="1"/>
  <c r="W49" i="1" a="1"/>
  <c r="V49" i="1" a="1"/>
  <c r="U49" i="1"/>
  <c r="S49" i="1" a="1"/>
  <c r="R49" i="1" a="1"/>
  <c r="P49" i="1"/>
  <c r="O49" i="1"/>
  <c r="N49" i="1"/>
  <c r="M49" i="1"/>
  <c r="K49" i="1"/>
  <c r="J49" i="1"/>
  <c r="I49" i="1"/>
  <c r="X49" i="1" s="1"/>
  <c r="H49" i="1" a="1"/>
  <c r="G49" i="1" a="1"/>
  <c r="L49" i="1" s="1"/>
  <c r="Q49" i="1" s="1"/>
  <c r="F49" i="1" a="1"/>
  <c r="E49" i="1"/>
  <c r="D49" i="1" a="1"/>
  <c r="C49" i="1" a="1"/>
  <c r="B49" i="1" a="1"/>
  <c r="T49" i="1" s="1"/>
  <c r="A49" i="1"/>
  <c r="Y48" i="1"/>
  <c r="W48" i="1" a="1"/>
  <c r="V48" i="1" a="1"/>
  <c r="U48" i="1"/>
  <c r="S48" i="1" a="1"/>
  <c r="R48" i="1" a="1"/>
  <c r="P48" i="1"/>
  <c r="O48" i="1"/>
  <c r="N48" i="1"/>
  <c r="M48" i="1"/>
  <c r="K48" i="1"/>
  <c r="I48" i="1"/>
  <c r="H48" i="1" a="1"/>
  <c r="G48" i="1" a="1"/>
  <c r="L48" i="1" s="1"/>
  <c r="Q48" i="1" s="1"/>
  <c r="F48" i="1" a="1"/>
  <c r="E48" i="1"/>
  <c r="D48" i="1" a="1"/>
  <c r="C48" i="1" a="1"/>
  <c r="B48" i="1" a="1"/>
  <c r="T48" i="1" s="1"/>
  <c r="A48" i="1"/>
  <c r="Y47" i="1"/>
  <c r="W47" i="1" a="1"/>
  <c r="V47" i="1" a="1"/>
  <c r="U47" i="1"/>
  <c r="S47" i="1" a="1"/>
  <c r="R47" i="1" a="1"/>
  <c r="P47" i="1"/>
  <c r="O47" i="1"/>
  <c r="N47" i="1"/>
  <c r="M47" i="1"/>
  <c r="K47" i="1"/>
  <c r="J47" i="1"/>
  <c r="I47" i="1"/>
  <c r="X47" i="1" s="1"/>
  <c r="H47" i="1" a="1"/>
  <c r="G47" i="1" a="1"/>
  <c r="L47" i="1" s="1"/>
  <c r="Q47" i="1" s="1"/>
  <c r="F47" i="1" a="1"/>
  <c r="E47" i="1"/>
  <c r="D47" i="1" a="1"/>
  <c r="C47" i="1" a="1"/>
  <c r="B47" i="1" a="1"/>
  <c r="T47" i="1" s="1"/>
  <c r="A47" i="1"/>
  <c r="Y46" i="1"/>
  <c r="W46" i="1" a="1"/>
  <c r="V46" i="1" a="1"/>
  <c r="U46" i="1"/>
  <c r="S46" i="1" a="1"/>
  <c r="R46" i="1" a="1"/>
  <c r="P46" i="1"/>
  <c r="O46" i="1"/>
  <c r="N46" i="1"/>
  <c r="M46" i="1"/>
  <c r="K46" i="1"/>
  <c r="J46" i="1"/>
  <c r="I46" i="1"/>
  <c r="X46" i="1" s="1"/>
  <c r="H46" i="1" a="1"/>
  <c r="G46" i="1" a="1"/>
  <c r="L46" i="1" s="1"/>
  <c r="Q46" i="1" s="1"/>
  <c r="F46" i="1" a="1"/>
  <c r="E46" i="1"/>
  <c r="D46" i="1" a="1"/>
  <c r="C46" i="1" a="1"/>
  <c r="B46" i="1" a="1"/>
  <c r="T46" i="1" s="1"/>
  <c r="A46" i="1"/>
  <c r="Y45" i="1"/>
  <c r="W45" i="1" a="1"/>
  <c r="V45" i="1" a="1"/>
  <c r="U45" i="1"/>
  <c r="S45" i="1" a="1"/>
  <c r="R45" i="1" a="1"/>
  <c r="P45" i="1"/>
  <c r="O45" i="1"/>
  <c r="N45" i="1"/>
  <c r="M45" i="1"/>
  <c r="K45" i="1"/>
  <c r="I45" i="1"/>
  <c r="H45" i="1" a="1"/>
  <c r="G45" i="1" a="1"/>
  <c r="L45" i="1" s="1"/>
  <c r="Q45" i="1" s="1"/>
  <c r="F45" i="1" a="1"/>
  <c r="E45" i="1"/>
  <c r="D45" i="1" a="1"/>
  <c r="C45" i="1" a="1"/>
  <c r="B45" i="1" a="1"/>
  <c r="T45" i="1" s="1"/>
  <c r="A45" i="1"/>
  <c r="Y44" i="1"/>
  <c r="W44" i="1" a="1"/>
  <c r="V44" i="1" a="1"/>
  <c r="U44" i="1"/>
  <c r="S44" i="1" a="1"/>
  <c r="R44" i="1" a="1"/>
  <c r="P44" i="1"/>
  <c r="O44" i="1"/>
  <c r="N44" i="1"/>
  <c r="M44" i="1"/>
  <c r="K44" i="1"/>
  <c r="J44" i="1"/>
  <c r="I44" i="1"/>
  <c r="X44" i="1" s="1"/>
  <c r="H44" i="1" a="1"/>
  <c r="G44" i="1" a="1"/>
  <c r="L44" i="1" s="1"/>
  <c r="Q44" i="1" s="1"/>
  <c r="F44" i="1" a="1"/>
  <c r="E44" i="1"/>
  <c r="D44" i="1" a="1"/>
  <c r="C44" i="1" a="1"/>
  <c r="B44" i="1" a="1"/>
  <c r="T44" i="1" s="1"/>
  <c r="A44" i="1"/>
  <c r="Y43" i="1"/>
  <c r="W43" i="1" a="1"/>
  <c r="V43" i="1" a="1"/>
  <c r="U43" i="1"/>
  <c r="S43" i="1" a="1"/>
  <c r="R43" i="1" a="1"/>
  <c r="P43" i="1"/>
  <c r="O43" i="1"/>
  <c r="N43" i="1"/>
  <c r="M43" i="1"/>
  <c r="K43" i="1"/>
  <c r="J43" i="1"/>
  <c r="I43" i="1"/>
  <c r="X43" i="1" s="1"/>
  <c r="H43" i="1" a="1"/>
  <c r="G43" i="1" a="1"/>
  <c r="L43" i="1" s="1"/>
  <c r="Q43" i="1" s="1"/>
  <c r="F43" i="1" a="1"/>
  <c r="E43" i="1"/>
  <c r="D43" i="1" a="1"/>
  <c r="C43" i="1" a="1"/>
  <c r="B43" i="1" a="1"/>
  <c r="T43" i="1" s="1"/>
  <c r="A43" i="1"/>
  <c r="Y42" i="1"/>
  <c r="W42" i="1" a="1"/>
  <c r="V42" i="1" a="1"/>
  <c r="U42" i="1"/>
  <c r="S42" i="1" a="1"/>
  <c r="R42" i="1" a="1"/>
  <c r="P42" i="1"/>
  <c r="O42" i="1"/>
  <c r="N42" i="1"/>
  <c r="M42" i="1"/>
  <c r="K42" i="1"/>
  <c r="I42" i="1"/>
  <c r="H42" i="1" a="1"/>
  <c r="G42" i="1" a="1"/>
  <c r="L42" i="1" s="1"/>
  <c r="Q42" i="1" s="1"/>
  <c r="F42" i="1" a="1"/>
  <c r="E42" i="1"/>
  <c r="D42" i="1" a="1"/>
  <c r="C42" i="1" a="1"/>
  <c r="B42" i="1" a="1"/>
  <c r="T42" i="1" s="1"/>
  <c r="A42" i="1"/>
  <c r="Y41" i="1"/>
  <c r="W41" i="1" a="1"/>
  <c r="V41" i="1" a="1"/>
  <c r="U41" i="1"/>
  <c r="S41" i="1" a="1"/>
  <c r="R41" i="1" a="1"/>
  <c r="P41" i="1"/>
  <c r="O41" i="1"/>
  <c r="N41" i="1"/>
  <c r="M41" i="1"/>
  <c r="K41" i="1"/>
  <c r="I41" i="1"/>
  <c r="H41" i="1" a="1"/>
  <c r="G41" i="1" a="1"/>
  <c r="L41" i="1" s="1"/>
  <c r="Q41" i="1" s="1"/>
  <c r="F41" i="1" a="1"/>
  <c r="E41" i="1"/>
  <c r="D41" i="1" a="1"/>
  <c r="C41" i="1" a="1"/>
  <c r="B41" i="1" a="1"/>
  <c r="T41" i="1" s="1"/>
  <c r="A41" i="1"/>
  <c r="Y40" i="1"/>
  <c r="W40" i="1" a="1"/>
  <c r="V40" i="1" a="1"/>
  <c r="U40" i="1"/>
  <c r="S40" i="1" a="1"/>
  <c r="R40" i="1" a="1"/>
  <c r="P40" i="1"/>
  <c r="O40" i="1"/>
  <c r="N40" i="1"/>
  <c r="M40" i="1"/>
  <c r="K40" i="1"/>
  <c r="J40" i="1"/>
  <c r="I40" i="1"/>
  <c r="X40" i="1" s="1"/>
  <c r="H40" i="1" a="1"/>
  <c r="G40" i="1" a="1"/>
  <c r="L40" i="1" s="1"/>
  <c r="Q40" i="1" s="1"/>
  <c r="F40" i="1" a="1"/>
  <c r="E40" i="1"/>
  <c r="D40" i="1" a="1"/>
  <c r="C40" i="1" a="1"/>
  <c r="B40" i="1" a="1"/>
  <c r="T40" i="1" s="1"/>
  <c r="A40" i="1"/>
  <c r="Y39" i="1"/>
  <c r="W39" i="1" a="1"/>
  <c r="V39" i="1" a="1"/>
  <c r="U39" i="1"/>
  <c r="S39" i="1" a="1"/>
  <c r="R39" i="1" a="1"/>
  <c r="P39" i="1"/>
  <c r="O39" i="1"/>
  <c r="N39" i="1"/>
  <c r="M39" i="1"/>
  <c r="K39" i="1"/>
  <c r="J39" i="1"/>
  <c r="I39" i="1"/>
  <c r="X39" i="1" s="1"/>
  <c r="H39" i="1" a="1"/>
  <c r="G39" i="1" a="1"/>
  <c r="L39" i="1" s="1"/>
  <c r="Q39" i="1" s="1"/>
  <c r="F39" i="1" a="1"/>
  <c r="E39" i="1"/>
  <c r="D39" i="1" a="1"/>
  <c r="C39" i="1" a="1"/>
  <c r="B39" i="1" a="1"/>
  <c r="T39" i="1" s="1"/>
  <c r="A39" i="1"/>
  <c r="Y38" i="1"/>
  <c r="W38" i="1" a="1"/>
  <c r="V38" i="1" a="1"/>
  <c r="U38" i="1"/>
  <c r="S38" i="1" a="1"/>
  <c r="R38" i="1" a="1"/>
  <c r="P38" i="1"/>
  <c r="O38" i="1"/>
  <c r="N38" i="1"/>
  <c r="M38" i="1"/>
  <c r="K38" i="1"/>
  <c r="J38" i="1"/>
  <c r="I38" i="1"/>
  <c r="X38" i="1" s="1"/>
  <c r="H38" i="1" a="1"/>
  <c r="G38" i="1" a="1"/>
  <c r="L38" i="1" s="1"/>
  <c r="Q38" i="1" s="1"/>
  <c r="F38" i="1" a="1"/>
  <c r="E38" i="1"/>
  <c r="D38" i="1" a="1"/>
  <c r="C38" i="1" a="1"/>
  <c r="B38" i="1" a="1"/>
  <c r="T38" i="1" s="1"/>
  <c r="A38" i="1"/>
  <c r="Y37" i="1"/>
  <c r="W37" i="1" a="1"/>
  <c r="V37" i="1" a="1"/>
  <c r="U37" i="1"/>
  <c r="S37" i="1" a="1"/>
  <c r="R37" i="1" a="1"/>
  <c r="P37" i="1"/>
  <c r="O37" i="1"/>
  <c r="N37" i="1"/>
  <c r="M37" i="1"/>
  <c r="K37" i="1"/>
  <c r="J37" i="1"/>
  <c r="I37" i="1"/>
  <c r="X37" i="1" s="1"/>
  <c r="H37" i="1" a="1"/>
  <c r="G37" i="1" a="1"/>
  <c r="L37" i="1" s="1"/>
  <c r="Q37" i="1" s="1"/>
  <c r="F37" i="1" a="1"/>
  <c r="E37" i="1"/>
  <c r="D37" i="1" a="1"/>
  <c r="C37" i="1" a="1"/>
  <c r="B37" i="1" a="1"/>
  <c r="T37" i="1" s="1"/>
  <c r="A37" i="1"/>
  <c r="Y36" i="1"/>
  <c r="W36" i="1" a="1"/>
  <c r="V36" i="1" a="1"/>
  <c r="U36" i="1"/>
  <c r="S36" i="1" a="1"/>
  <c r="R36" i="1" a="1"/>
  <c r="P36" i="1"/>
  <c r="O36" i="1"/>
  <c r="N36" i="1"/>
  <c r="M36" i="1"/>
  <c r="K36" i="1"/>
  <c r="J36" i="1"/>
  <c r="I36" i="1"/>
  <c r="X36" i="1" s="1"/>
  <c r="H36" i="1" a="1"/>
  <c r="G36" i="1" a="1"/>
  <c r="L36" i="1" s="1"/>
  <c r="Q36" i="1" s="1"/>
  <c r="F36" i="1" a="1"/>
  <c r="E36" i="1"/>
  <c r="D36" i="1" a="1"/>
  <c r="C36" i="1" a="1"/>
  <c r="B36" i="1" a="1"/>
  <c r="T36" i="1" s="1"/>
  <c r="A36" i="1"/>
  <c r="Y35" i="1"/>
  <c r="W35" i="1" a="1"/>
  <c r="V35" i="1" a="1"/>
  <c r="U35" i="1"/>
  <c r="S35" i="1" a="1"/>
  <c r="R35" i="1" a="1"/>
  <c r="P35" i="1"/>
  <c r="O35" i="1"/>
  <c r="N35" i="1"/>
  <c r="M35" i="1"/>
  <c r="K35" i="1"/>
  <c r="I35" i="1"/>
  <c r="H35" i="1" a="1"/>
  <c r="G35" i="1" a="1"/>
  <c r="L35" i="1" s="1"/>
  <c r="Q35" i="1" s="1"/>
  <c r="F35" i="1" a="1"/>
  <c r="E35" i="1"/>
  <c r="D35" i="1" a="1"/>
  <c r="C35" i="1" a="1"/>
  <c r="B35" i="1" a="1"/>
  <c r="T35" i="1" s="1"/>
  <c r="A35" i="1"/>
  <c r="Y34" i="1"/>
  <c r="W34" i="1" a="1"/>
  <c r="V34" i="1" a="1"/>
  <c r="U34" i="1"/>
  <c r="S34" i="1" a="1"/>
  <c r="R34" i="1" a="1"/>
  <c r="P34" i="1"/>
  <c r="O34" i="1"/>
  <c r="N34" i="1"/>
  <c r="M34" i="1"/>
  <c r="K34" i="1"/>
  <c r="J34" i="1"/>
  <c r="I34" i="1"/>
  <c r="X34" i="1" s="1"/>
  <c r="H34" i="1" a="1"/>
  <c r="G34" i="1" a="1"/>
  <c r="L34" i="1" s="1"/>
  <c r="Q34" i="1" s="1"/>
  <c r="F34" i="1" a="1"/>
  <c r="E34" i="1"/>
  <c r="D34" i="1" a="1"/>
  <c r="C34" i="1" a="1"/>
  <c r="B34" i="1" a="1"/>
  <c r="T34" i="1" s="1"/>
  <c r="A34" i="1"/>
  <c r="Y33" i="1"/>
  <c r="W33" i="1" a="1"/>
  <c r="V33" i="1" a="1"/>
  <c r="U33" i="1"/>
  <c r="S33" i="1" a="1"/>
  <c r="R33" i="1" a="1"/>
  <c r="P33" i="1"/>
  <c r="O33" i="1"/>
  <c r="N33" i="1"/>
  <c r="M33" i="1"/>
  <c r="K33" i="1"/>
  <c r="I33" i="1"/>
  <c r="H33" i="1" a="1"/>
  <c r="G33" i="1" a="1"/>
  <c r="L33" i="1" s="1"/>
  <c r="Q33" i="1" s="1"/>
  <c r="F33" i="1" a="1"/>
  <c r="E33" i="1"/>
  <c r="D33" i="1" a="1"/>
  <c r="C33" i="1" a="1"/>
  <c r="B33" i="1" a="1"/>
  <c r="T33" i="1" s="1"/>
  <c r="A33" i="1"/>
  <c r="Y32" i="1"/>
  <c r="W32" i="1" a="1"/>
  <c r="V32" i="1" a="1"/>
  <c r="U32" i="1"/>
  <c r="S32" i="1" a="1"/>
  <c r="R32" i="1" a="1"/>
  <c r="P32" i="1"/>
  <c r="O32" i="1"/>
  <c r="N32" i="1"/>
  <c r="M32" i="1"/>
  <c r="K32" i="1"/>
  <c r="J32" i="1"/>
  <c r="I32" i="1"/>
  <c r="X32" i="1" s="1"/>
  <c r="H32" i="1" a="1"/>
  <c r="G32" i="1" a="1"/>
  <c r="L32" i="1" s="1"/>
  <c r="Q32" i="1" s="1"/>
  <c r="F32" i="1" a="1"/>
  <c r="E32" i="1"/>
  <c r="D32" i="1" a="1"/>
  <c r="C32" i="1" a="1"/>
  <c r="B32" i="1" a="1"/>
  <c r="T32" i="1" s="1"/>
  <c r="A32" i="1"/>
  <c r="Y31" i="1"/>
  <c r="W31" i="1" a="1"/>
  <c r="V31" i="1" a="1"/>
  <c r="U31" i="1"/>
  <c r="S31" i="1" a="1"/>
  <c r="R31" i="1" a="1"/>
  <c r="P31" i="1"/>
  <c r="O31" i="1"/>
  <c r="N31" i="1"/>
  <c r="M31" i="1"/>
  <c r="K31" i="1"/>
  <c r="J31" i="1"/>
  <c r="I31" i="1"/>
  <c r="X31" i="1" s="1"/>
  <c r="H31" i="1" a="1"/>
  <c r="G31" i="1" a="1"/>
  <c r="L31" i="1" s="1"/>
  <c r="Q31" i="1" s="1"/>
  <c r="F31" i="1" a="1"/>
  <c r="E31" i="1"/>
  <c r="D31" i="1" a="1"/>
  <c r="C31" i="1" a="1"/>
  <c r="B31" i="1" a="1"/>
  <c r="T31" i="1" s="1"/>
  <c r="A31" i="1"/>
  <c r="Y30" i="1"/>
  <c r="W30" i="1" a="1"/>
  <c r="V30" i="1" a="1"/>
  <c r="U30" i="1"/>
  <c r="S30" i="1" a="1"/>
  <c r="R30" i="1" a="1"/>
  <c r="P30" i="1"/>
  <c r="O30" i="1"/>
  <c r="N30" i="1"/>
  <c r="M30" i="1"/>
  <c r="K30" i="1"/>
  <c r="J30" i="1"/>
  <c r="I30" i="1"/>
  <c r="X30" i="1" s="1"/>
  <c r="H30" i="1" a="1"/>
  <c r="G30" i="1" a="1"/>
  <c r="L30" i="1" s="1"/>
  <c r="Q30" i="1" s="1"/>
  <c r="F30" i="1" a="1"/>
  <c r="E30" i="1"/>
  <c r="D30" i="1" a="1"/>
  <c r="C30" i="1" a="1"/>
  <c r="B30" i="1" a="1"/>
  <c r="T30" i="1" s="1"/>
  <c r="A30" i="1"/>
  <c r="Y29" i="1"/>
  <c r="W29" i="1" a="1"/>
  <c r="V29" i="1" a="1"/>
  <c r="U29" i="1"/>
  <c r="S29" i="1" a="1"/>
  <c r="R29" i="1" a="1"/>
  <c r="P29" i="1"/>
  <c r="O29" i="1"/>
  <c r="N29" i="1"/>
  <c r="M29" i="1"/>
  <c r="K29" i="1"/>
  <c r="I29" i="1"/>
  <c r="H29" i="1" a="1"/>
  <c r="G29" i="1" a="1"/>
  <c r="L29" i="1" s="1"/>
  <c r="Q29" i="1" s="1"/>
  <c r="F29" i="1" a="1"/>
  <c r="E29" i="1"/>
  <c r="D29" i="1" a="1"/>
  <c r="C29" i="1" a="1"/>
  <c r="B29" i="1" a="1"/>
  <c r="T29" i="1" s="1"/>
  <c r="A29" i="1"/>
  <c r="Y28" i="1"/>
  <c r="W28" i="1" a="1"/>
  <c r="V28" i="1" a="1"/>
  <c r="U28" i="1"/>
  <c r="S28" i="1" a="1"/>
  <c r="R28" i="1" a="1"/>
  <c r="P28" i="1"/>
  <c r="O28" i="1"/>
  <c r="N28" i="1"/>
  <c r="M28" i="1"/>
  <c r="K28" i="1"/>
  <c r="J28" i="1"/>
  <c r="I28" i="1"/>
  <c r="X28" i="1" s="1"/>
  <c r="H28" i="1" a="1"/>
  <c r="G28" i="1" a="1"/>
  <c r="L28" i="1" s="1"/>
  <c r="Q28" i="1" s="1"/>
  <c r="F28" i="1" a="1"/>
  <c r="E28" i="1"/>
  <c r="D28" i="1" a="1"/>
  <c r="C28" i="1" a="1"/>
  <c r="B28" i="1" a="1"/>
  <c r="T28" i="1" s="1"/>
  <c r="A28" i="1"/>
  <c r="Y27" i="1"/>
  <c r="W27" i="1" a="1"/>
  <c r="V27" i="1" a="1"/>
  <c r="U27" i="1"/>
  <c r="S27" i="1" a="1"/>
  <c r="R27" i="1" a="1"/>
  <c r="P27" i="1"/>
  <c r="O27" i="1"/>
  <c r="N27" i="1"/>
  <c r="M27" i="1"/>
  <c r="K27" i="1"/>
  <c r="J27" i="1"/>
  <c r="I27" i="1"/>
  <c r="X27" i="1" s="1"/>
  <c r="H27" i="1" a="1"/>
  <c r="G27" i="1" a="1"/>
  <c r="L27" i="1" s="1"/>
  <c r="Q27" i="1" s="1"/>
  <c r="F27" i="1" a="1"/>
  <c r="E27" i="1"/>
  <c r="D27" i="1" a="1"/>
  <c r="C27" i="1" a="1"/>
  <c r="B27" i="1" a="1"/>
  <c r="T27" i="1" s="1"/>
  <c r="A27" i="1"/>
  <c r="Y26" i="1"/>
  <c r="W26" i="1" a="1"/>
  <c r="V26" i="1" a="1"/>
  <c r="U26" i="1"/>
  <c r="S26" i="1" a="1"/>
  <c r="R26" i="1" a="1"/>
  <c r="P26" i="1"/>
  <c r="O26" i="1"/>
  <c r="N26" i="1"/>
  <c r="M26" i="1"/>
  <c r="K26" i="1"/>
  <c r="I26" i="1"/>
  <c r="H26" i="1" a="1"/>
  <c r="G26" i="1" a="1"/>
  <c r="L26" i="1" s="1"/>
  <c r="Q26" i="1" s="1"/>
  <c r="F26" i="1" a="1"/>
  <c r="E26" i="1"/>
  <c r="D26" i="1" a="1"/>
  <c r="C26" i="1" a="1"/>
  <c r="B26" i="1" a="1"/>
  <c r="T26" i="1" s="1"/>
  <c r="A26" i="1"/>
  <c r="Y25" i="1"/>
  <c r="W25" i="1" a="1"/>
  <c r="V25" i="1" a="1"/>
  <c r="U25" i="1"/>
  <c r="S25" i="1" a="1"/>
  <c r="R25" i="1" a="1"/>
  <c r="P25" i="1"/>
  <c r="O25" i="1"/>
  <c r="N25" i="1"/>
  <c r="M25" i="1"/>
  <c r="K25" i="1"/>
  <c r="J25" i="1"/>
  <c r="I25" i="1"/>
  <c r="X25" i="1" s="1"/>
  <c r="H25" i="1" a="1"/>
  <c r="G25" i="1" a="1"/>
  <c r="L25" i="1" s="1"/>
  <c r="Q25" i="1" s="1"/>
  <c r="F25" i="1" a="1"/>
  <c r="E25" i="1"/>
  <c r="D25" i="1" a="1"/>
  <c r="C25" i="1" a="1"/>
  <c r="B25" i="1" a="1"/>
  <c r="T25" i="1" s="1"/>
  <c r="A25" i="1"/>
  <c r="Y24" i="1"/>
  <c r="W24" i="1" a="1"/>
  <c r="V24" i="1" a="1"/>
  <c r="U24" i="1"/>
  <c r="S24" i="1" a="1"/>
  <c r="R24" i="1" a="1"/>
  <c r="P24" i="1"/>
  <c r="O24" i="1"/>
  <c r="N24" i="1"/>
  <c r="M24" i="1"/>
  <c r="K24" i="1"/>
  <c r="J24" i="1"/>
  <c r="I24" i="1"/>
  <c r="X24" i="1" s="1"/>
  <c r="H24" i="1" a="1"/>
  <c r="G24" i="1" a="1"/>
  <c r="L24" i="1" s="1"/>
  <c r="Q24" i="1" s="1"/>
  <c r="F24" i="1" a="1"/>
  <c r="E24" i="1"/>
  <c r="D24" i="1" a="1"/>
  <c r="C24" i="1" a="1"/>
  <c r="B24" i="1" a="1"/>
  <c r="T24" i="1" s="1"/>
  <c r="A24" i="1"/>
  <c r="Y23" i="1"/>
  <c r="W23" i="1" a="1"/>
  <c r="V23" i="1" a="1"/>
  <c r="U23" i="1"/>
  <c r="S23" i="1" a="1"/>
  <c r="R23" i="1" a="1"/>
  <c r="P23" i="1"/>
  <c r="O23" i="1"/>
  <c r="N23" i="1"/>
  <c r="M23" i="1"/>
  <c r="K23" i="1"/>
  <c r="I23" i="1"/>
  <c r="H23" i="1" a="1"/>
  <c r="G23" i="1" a="1"/>
  <c r="L23" i="1" s="1"/>
  <c r="Q23" i="1" s="1"/>
  <c r="F23" i="1" a="1"/>
  <c r="E23" i="1"/>
  <c r="D23" i="1" a="1"/>
  <c r="C23" i="1" a="1"/>
  <c r="B23" i="1" a="1"/>
  <c r="T23" i="1" s="1"/>
  <c r="A23" i="1"/>
  <c r="Y22" i="1"/>
  <c r="W22" i="1" a="1"/>
  <c r="V22" i="1" a="1"/>
  <c r="U22" i="1"/>
  <c r="S22" i="1" a="1"/>
  <c r="R22" i="1" a="1"/>
  <c r="P22" i="1"/>
  <c r="O22" i="1"/>
  <c r="N22" i="1"/>
  <c r="M22" i="1"/>
  <c r="K22" i="1"/>
  <c r="J22" i="1"/>
  <c r="I22" i="1"/>
  <c r="X22" i="1" s="1"/>
  <c r="H22" i="1" a="1"/>
  <c r="G22" i="1" a="1"/>
  <c r="L22" i="1" s="1"/>
  <c r="Q22" i="1" s="1"/>
  <c r="F22" i="1" a="1"/>
  <c r="E22" i="1"/>
  <c r="D22" i="1" a="1"/>
  <c r="C22" i="1" a="1"/>
  <c r="B22" i="1" a="1"/>
  <c r="T22" i="1" s="1"/>
  <c r="A22" i="1"/>
  <c r="Y21" i="1"/>
  <c r="W21" i="1" a="1"/>
  <c r="V21" i="1" a="1"/>
  <c r="U21" i="1"/>
  <c r="S21" i="1" a="1"/>
  <c r="R21" i="1" a="1"/>
  <c r="P21" i="1"/>
  <c r="O21" i="1"/>
  <c r="N21" i="1"/>
  <c r="M21" i="1"/>
  <c r="K21" i="1"/>
  <c r="I21" i="1"/>
  <c r="X21" i="1" s="1"/>
  <c r="H21" i="1" a="1"/>
  <c r="G21" i="1" a="1"/>
  <c r="L21" i="1" s="1"/>
  <c r="Q21" i="1" s="1"/>
  <c r="F21" i="1" a="1"/>
  <c r="E21" i="1"/>
  <c r="D21" i="1" a="1"/>
  <c r="C21" i="1" a="1"/>
  <c r="B21" i="1" a="1"/>
  <c r="T21" i="1" s="1"/>
  <c r="A21" i="1"/>
  <c r="Y20" i="1"/>
  <c r="W20" i="1" a="1"/>
  <c r="V20" i="1" a="1"/>
  <c r="U20" i="1"/>
  <c r="S20" i="1" a="1"/>
  <c r="R20" i="1" a="1"/>
  <c r="P20" i="1"/>
  <c r="O20" i="1"/>
  <c r="N20" i="1"/>
  <c r="M20" i="1"/>
  <c r="K20" i="1"/>
  <c r="I20" i="1"/>
  <c r="X20" i="1" s="1"/>
  <c r="H20" i="1" a="1"/>
  <c r="G20" i="1" a="1"/>
  <c r="L20" i="1" s="1"/>
  <c r="Q20" i="1" s="1"/>
  <c r="F20" i="1" a="1"/>
  <c r="E20" i="1"/>
  <c r="D20" i="1" a="1"/>
  <c r="C20" i="1" a="1"/>
  <c r="B20" i="1" a="1"/>
  <c r="T20" i="1" s="1"/>
  <c r="A20" i="1"/>
  <c r="Y19" i="1"/>
  <c r="W19" i="1" a="1"/>
  <c r="V19" i="1" a="1"/>
  <c r="U19" i="1"/>
  <c r="S19" i="1" a="1"/>
  <c r="R19" i="1" a="1"/>
  <c r="P19" i="1"/>
  <c r="O19" i="1"/>
  <c r="N19" i="1"/>
  <c r="M19" i="1"/>
  <c r="K19" i="1"/>
  <c r="I19" i="1"/>
  <c r="H19" i="1" a="1"/>
  <c r="G19" i="1" a="1"/>
  <c r="L19" i="1" s="1"/>
  <c r="Q19" i="1" s="1"/>
  <c r="F19" i="1" a="1"/>
  <c r="E19" i="1"/>
  <c r="D19" i="1" a="1"/>
  <c r="C19" i="1" a="1"/>
  <c r="B19" i="1" a="1"/>
  <c r="T19" i="1" s="1"/>
  <c r="A19" i="1"/>
  <c r="Y18" i="1"/>
  <c r="W18" i="1" a="1"/>
  <c r="V18" i="1" a="1"/>
  <c r="U18" i="1"/>
  <c r="S18" i="1" a="1"/>
  <c r="R18" i="1" a="1"/>
  <c r="P18" i="1"/>
  <c r="O18" i="1"/>
  <c r="N18" i="1"/>
  <c r="M18" i="1"/>
  <c r="K18" i="1"/>
  <c r="I18" i="1"/>
  <c r="X18" i="1" s="1"/>
  <c r="H18" i="1" a="1"/>
  <c r="G18" i="1" a="1"/>
  <c r="L18" i="1" s="1"/>
  <c r="Q18" i="1" s="1"/>
  <c r="F18" i="1" a="1"/>
  <c r="E18" i="1"/>
  <c r="D18" i="1" a="1"/>
  <c r="C18" i="1" a="1"/>
  <c r="B18" i="1" a="1"/>
  <c r="T18" i="1" s="1"/>
  <c r="A18" i="1"/>
  <c r="Y17" i="1"/>
  <c r="W17" i="1" a="1"/>
  <c r="V17" i="1" a="1"/>
  <c r="U17" i="1"/>
  <c r="S17" i="1" a="1"/>
  <c r="R17" i="1" a="1"/>
  <c r="P17" i="1"/>
  <c r="O17" i="1"/>
  <c r="N17" i="1"/>
  <c r="M17" i="1"/>
  <c r="K17" i="1"/>
  <c r="I17" i="1"/>
  <c r="H17" i="1" a="1"/>
  <c r="G17" i="1" a="1"/>
  <c r="L17" i="1" s="1"/>
  <c r="Q17" i="1" s="1"/>
  <c r="F17" i="1" a="1"/>
  <c r="E17" i="1"/>
  <c r="D17" i="1" a="1"/>
  <c r="C17" i="1" a="1"/>
  <c r="B17" i="1" a="1"/>
  <c r="T17" i="1" s="1"/>
  <c r="A17" i="1"/>
  <c r="Y16" i="1"/>
  <c r="W16" i="1" a="1"/>
  <c r="V16" i="1" a="1"/>
  <c r="U16" i="1"/>
  <c r="S16" i="1" a="1"/>
  <c r="R16" i="1" a="1"/>
  <c r="P16" i="1"/>
  <c r="O16" i="1"/>
  <c r="N16" i="1"/>
  <c r="M16" i="1"/>
  <c r="K16" i="1"/>
  <c r="J16" i="1"/>
  <c r="I16" i="1"/>
  <c r="X16" i="1" s="1"/>
  <c r="H16" i="1" a="1"/>
  <c r="G16" i="1" a="1"/>
  <c r="L16" i="1" s="1"/>
  <c r="Q16" i="1" s="1"/>
  <c r="F16" i="1" a="1"/>
  <c r="E16" i="1"/>
  <c r="D16" i="1" a="1"/>
  <c r="C16" i="1" a="1"/>
  <c r="B16" i="1" a="1"/>
  <c r="T16" i="1" s="1"/>
  <c r="A16" i="1"/>
  <c r="Y15" i="1"/>
  <c r="W15" i="1" a="1"/>
  <c r="V15" i="1" a="1"/>
  <c r="U15" i="1"/>
  <c r="S15" i="1" a="1"/>
  <c r="R15" i="1" a="1"/>
  <c r="P15" i="1"/>
  <c r="O15" i="1"/>
  <c r="N15" i="1"/>
  <c r="M15" i="1"/>
  <c r="K15" i="1"/>
  <c r="J15" i="1"/>
  <c r="I15" i="1"/>
  <c r="X15" i="1" s="1"/>
  <c r="H15" i="1" a="1"/>
  <c r="G15" i="1" a="1"/>
  <c r="L15" i="1" s="1"/>
  <c r="Q15" i="1" s="1"/>
  <c r="F15" i="1" a="1"/>
  <c r="E15" i="1"/>
  <c r="D15" i="1" a="1"/>
  <c r="C15" i="1" a="1"/>
  <c r="B15" i="1" a="1"/>
  <c r="T15" i="1" s="1"/>
  <c r="A15" i="1"/>
  <c r="Y14" i="1"/>
  <c r="W14" i="1" a="1"/>
  <c r="V14" i="1" a="1"/>
  <c r="U14" i="1"/>
  <c r="S14" i="1" a="1"/>
  <c r="R14" i="1" a="1"/>
  <c r="P14" i="1"/>
  <c r="O14" i="1"/>
  <c r="N14" i="1"/>
  <c r="M14" i="1"/>
  <c r="K14" i="1"/>
  <c r="I14" i="1"/>
  <c r="H14" i="1" a="1"/>
  <c r="G14" i="1" a="1"/>
  <c r="L14" i="1" s="1"/>
  <c r="Q14" i="1" s="1"/>
  <c r="F14" i="1" a="1"/>
  <c r="E14" i="1"/>
  <c r="D14" i="1" a="1"/>
  <c r="C14" i="1" a="1"/>
  <c r="B14" i="1" a="1"/>
  <c r="T14" i="1" s="1"/>
  <c r="A14" i="1"/>
  <c r="Y13" i="1"/>
  <c r="W13" i="1" a="1"/>
  <c r="V13" i="1" a="1"/>
  <c r="U13" i="1"/>
  <c r="S13" i="1" a="1"/>
  <c r="R13" i="1" a="1"/>
  <c r="P13" i="1"/>
  <c r="O13" i="1"/>
  <c r="N13" i="1"/>
  <c r="M13" i="1"/>
  <c r="K13" i="1"/>
  <c r="J13" i="1"/>
  <c r="I13" i="1"/>
  <c r="X13" i="1" s="1"/>
  <c r="H13" i="1" a="1"/>
  <c r="G13" i="1" a="1"/>
  <c r="L13" i="1" s="1"/>
  <c r="Q13" i="1" s="1"/>
  <c r="F13" i="1" a="1"/>
  <c r="E13" i="1"/>
  <c r="D13" i="1" a="1"/>
  <c r="C13" i="1" a="1"/>
  <c r="B13" i="1" a="1"/>
  <c r="T13" i="1" s="1"/>
  <c r="A13" i="1"/>
  <c r="Y12" i="1"/>
  <c r="W12" i="1" a="1"/>
  <c r="V12" i="1" a="1"/>
  <c r="U12" i="1"/>
  <c r="S12" i="1" a="1"/>
  <c r="R12" i="1" a="1"/>
  <c r="P12" i="1"/>
  <c r="O12" i="1"/>
  <c r="N12" i="1"/>
  <c r="M12" i="1"/>
  <c r="K12" i="1"/>
  <c r="J12" i="1"/>
  <c r="I12" i="1"/>
  <c r="X12" i="1" s="1"/>
  <c r="H12" i="1" a="1"/>
  <c r="G12" i="1" a="1"/>
  <c r="L12" i="1" s="1"/>
  <c r="Q12" i="1" s="1"/>
  <c r="F12" i="1" a="1"/>
  <c r="E12" i="1"/>
  <c r="D12" i="1" a="1"/>
  <c r="C12" i="1" a="1"/>
  <c r="B12" i="1" a="1"/>
  <c r="T12" i="1" s="1"/>
  <c r="A12" i="1"/>
  <c r="Y11" i="1"/>
  <c r="W11" i="1" a="1"/>
  <c r="V11" i="1" a="1"/>
  <c r="U11" i="1"/>
  <c r="S11" i="1" a="1"/>
  <c r="R11" i="1" a="1"/>
  <c r="P11" i="1"/>
  <c r="O11" i="1"/>
  <c r="N11" i="1"/>
  <c r="M11" i="1"/>
  <c r="K11" i="1"/>
  <c r="I11" i="1"/>
  <c r="H11" i="1" a="1"/>
  <c r="G11" i="1" a="1"/>
  <c r="L11" i="1" s="1"/>
  <c r="Q11" i="1" s="1"/>
  <c r="F11" i="1" a="1"/>
  <c r="E11" i="1"/>
  <c r="D11" i="1" a="1"/>
  <c r="C11" i="1" a="1"/>
  <c r="B11" i="1" a="1"/>
  <c r="T11" i="1" s="1"/>
  <c r="A11" i="1"/>
  <c r="Y10" i="1"/>
  <c r="W10" i="1" a="1"/>
  <c r="V10" i="1" a="1"/>
  <c r="U10" i="1"/>
  <c r="S10" i="1" a="1"/>
  <c r="R10" i="1" a="1"/>
  <c r="P10" i="1"/>
  <c r="O10" i="1"/>
  <c r="N10" i="1"/>
  <c r="M10" i="1"/>
  <c r="K10" i="1"/>
  <c r="J10" i="1"/>
  <c r="I10" i="1"/>
  <c r="X10" i="1" s="1"/>
  <c r="H10" i="1" a="1"/>
  <c r="G10" i="1" a="1"/>
  <c r="L10" i="1" s="1"/>
  <c r="Q10" i="1" s="1"/>
  <c r="F10" i="1" a="1"/>
  <c r="E10" i="1"/>
  <c r="D10" i="1" a="1"/>
  <c r="C10" i="1" a="1"/>
  <c r="B10" i="1" a="1"/>
  <c r="T10" i="1" s="1"/>
  <c r="A10" i="1"/>
  <c r="Y9" i="1"/>
  <c r="W9" i="1" a="1"/>
  <c r="V9" i="1" a="1"/>
  <c r="U9" i="1"/>
  <c r="S9" i="1" a="1"/>
  <c r="R9" i="1" a="1"/>
  <c r="P9" i="1"/>
  <c r="O9" i="1"/>
  <c r="N9" i="1"/>
  <c r="M9" i="1"/>
  <c r="K9" i="1"/>
  <c r="I9" i="1"/>
  <c r="H9" i="1" a="1"/>
  <c r="G9" i="1" a="1"/>
  <c r="L9" i="1" s="1"/>
  <c r="Q9" i="1" s="1"/>
  <c r="F9" i="1" a="1"/>
  <c r="E9" i="1"/>
  <c r="D9" i="1" a="1"/>
  <c r="C9" i="1" a="1"/>
  <c r="B9" i="1" a="1"/>
  <c r="T9" i="1" s="1"/>
  <c r="A9" i="1"/>
  <c r="Y8" i="1"/>
  <c r="W8" i="1" a="1"/>
  <c r="V8" i="1" a="1"/>
  <c r="U8" i="1"/>
  <c r="S8" i="1" a="1"/>
  <c r="R8" i="1" a="1"/>
  <c r="P8" i="1"/>
  <c r="O8" i="1"/>
  <c r="N8" i="1"/>
  <c r="M8" i="1"/>
  <c r="K8" i="1"/>
  <c r="J8" i="1"/>
  <c r="I8" i="1"/>
  <c r="X8" i="1" s="1"/>
  <c r="H8" i="1" a="1"/>
  <c r="G8" i="1" a="1"/>
  <c r="L8" i="1" s="1"/>
  <c r="Q8" i="1" s="1"/>
  <c r="F8" i="1" a="1"/>
  <c r="E8" i="1"/>
  <c r="D8" i="1" a="1"/>
  <c r="C8" i="1" a="1"/>
  <c r="B8" i="1" a="1"/>
  <c r="T8" i="1" s="1"/>
  <c r="A8" i="1"/>
  <c r="Y7" i="1"/>
  <c r="W7" i="1" a="1"/>
  <c r="V7" i="1" a="1"/>
  <c r="U7" i="1"/>
  <c r="S7" i="1" a="1"/>
  <c r="R7" i="1" a="1"/>
  <c r="P7" i="1"/>
  <c r="O7" i="1"/>
  <c r="N7" i="1"/>
  <c r="M7" i="1"/>
  <c r="K7" i="1"/>
  <c r="J7" i="1"/>
  <c r="I7" i="1"/>
  <c r="X7" i="1" s="1"/>
  <c r="H7" i="1" a="1"/>
  <c r="G7" i="1" a="1"/>
  <c r="L7" i="1" s="1"/>
  <c r="Q7" i="1" s="1"/>
  <c r="F7" i="1" a="1"/>
  <c r="E7" i="1"/>
  <c r="D7" i="1" a="1"/>
  <c r="C7" i="1" a="1"/>
  <c r="B7" i="1" a="1"/>
  <c r="T7" i="1" s="1"/>
  <c r="A7" i="1"/>
  <c r="Y6" i="1"/>
  <c r="W6" i="1" a="1"/>
  <c r="V6" i="1" a="1"/>
  <c r="U6" i="1"/>
  <c r="S6" i="1" a="1"/>
  <c r="R6" i="1" a="1"/>
  <c r="P6" i="1"/>
  <c r="O6" i="1"/>
  <c r="N6" i="1"/>
  <c r="M6" i="1"/>
  <c r="K6" i="1"/>
  <c r="I6" i="1"/>
  <c r="H6" i="1" a="1"/>
  <c r="G6" i="1" a="1"/>
  <c r="L6" i="1" s="1"/>
  <c r="Q6" i="1" s="1"/>
  <c r="F6" i="1" a="1"/>
  <c r="E6" i="1"/>
  <c r="D6" i="1" a="1"/>
  <c r="C6" i="1" a="1"/>
  <c r="B6" i="1" a="1"/>
  <c r="T6" i="1" s="1"/>
  <c r="A6" i="1"/>
  <c r="Y5" i="1"/>
  <c r="W5" i="1" a="1"/>
  <c r="V5" i="1" a="1"/>
  <c r="U5" i="1"/>
  <c r="S5" i="1" a="1"/>
  <c r="R5" i="1" a="1"/>
  <c r="P5" i="1"/>
  <c r="O5" i="1"/>
  <c r="N5" i="1"/>
  <c r="M5" i="1"/>
  <c r="K5" i="1"/>
  <c r="J5" i="1" s="1"/>
  <c r="I5" i="1"/>
  <c r="X5" i="1" s="1"/>
  <c r="H5" i="1" a="1"/>
  <c r="G5" i="1" a="1"/>
  <c r="L5" i="1" s="1"/>
  <c r="Q5" i="1" s="1"/>
  <c r="F5" i="1" a="1"/>
  <c r="E5" i="1"/>
  <c r="D5" i="1" a="1"/>
  <c r="C5" i="1" a="1"/>
  <c r="B5" i="1" a="1"/>
  <c r="T5" i="1" s="1"/>
  <c r="A5" i="1"/>
  <c r="Y4" i="1"/>
  <c r="W4" i="1" a="1"/>
  <c r="V4" i="1" a="1"/>
  <c r="U4" i="1"/>
  <c r="S4" i="1" a="1"/>
  <c r="R4" i="1" a="1"/>
  <c r="P4" i="1"/>
  <c r="O4" i="1"/>
  <c r="N4" i="1"/>
  <c r="M4" i="1"/>
  <c r="K4" i="1"/>
  <c r="J4" i="1"/>
  <c r="I4" i="1"/>
  <c r="X4" i="1" s="1"/>
  <c r="H4" i="1" a="1"/>
  <c r="G4" i="1" a="1"/>
  <c r="L4" i="1" s="1"/>
  <c r="Q4" i="1" s="1"/>
  <c r="F4" i="1" a="1"/>
  <c r="E4" i="1"/>
  <c r="D4" i="1" a="1"/>
  <c r="C4" i="1" a="1"/>
  <c r="B4" i="1" a="1"/>
  <c r="T4" i="1" s="1"/>
  <c r="A4" i="1"/>
  <c r="Y3" i="1"/>
  <c r="W3" i="1" a="1"/>
  <c r="V3" i="1" a="1"/>
  <c r="U3" i="1"/>
  <c r="S3" i="1" a="1"/>
  <c r="R3" i="1" a="1"/>
  <c r="P3" i="1"/>
  <c r="O3" i="1"/>
  <c r="N3" i="1"/>
  <c r="M3" i="1"/>
  <c r="K3" i="1"/>
  <c r="J3" i="1" s="1"/>
  <c r="I3" i="1"/>
  <c r="X3" i="1" s="1"/>
  <c r="H3" i="1" a="1"/>
  <c r="G3" i="1" a="1"/>
  <c r="L3" i="1" s="1"/>
  <c r="Q3" i="1" s="1"/>
  <c r="F3" i="1" a="1"/>
  <c r="E3" i="1"/>
  <c r="D3" i="1" a="1"/>
  <c r="C3" i="1" a="1"/>
  <c r="B3" i="1" a="1"/>
  <c r="T3" i="1" s="1"/>
  <c r="A3" i="1"/>
  <c r="AA2" i="1" a="1"/>
  <c r="Y2" i="1"/>
  <c r="W2" i="1" a="1"/>
  <c r="I8" i="3" s="1"/>
  <c r="V2" i="1" a="1"/>
  <c r="U2" i="1"/>
  <c r="S2" i="1" a="1"/>
  <c r="R2" i="1" a="1"/>
  <c r="P2" i="1"/>
  <c r="O2" i="1"/>
  <c r="N2" i="1"/>
  <c r="M2" i="1"/>
  <c r="A13" i="3" s="1"/>
  <c r="K2" i="1"/>
  <c r="I2" i="1"/>
  <c r="X2" i="1" s="1"/>
  <c r="H2" i="1" a="1"/>
  <c r="G2" i="1" a="1"/>
  <c r="L2" i="1" s="1"/>
  <c r="F2" i="1" a="1"/>
  <c r="E2" i="1"/>
  <c r="D2" i="1" a="1"/>
  <c r="C2" i="1" a="1"/>
  <c r="B2" i="1" a="1"/>
  <c r="T2" i="1" s="1"/>
  <c r="A2" i="1"/>
  <c r="E8" i="3" l="1"/>
  <c r="Q2" i="1"/>
  <c r="N44" i="2"/>
  <c r="K38" i="2"/>
  <c r="K40" i="2"/>
  <c r="K36" i="2"/>
  <c r="K41" i="2"/>
  <c r="N42" i="2"/>
  <c r="N39" i="2"/>
  <c r="N40" i="2"/>
  <c r="K42" i="2"/>
  <c r="K37" i="2"/>
  <c r="N43" i="2"/>
  <c r="K39" i="2"/>
  <c r="N41" i="2"/>
  <c r="N36" i="2"/>
  <c r="K43" i="2"/>
  <c r="N37" i="2"/>
  <c r="K44" i="2"/>
  <c r="N38" i="2"/>
  <c r="J129" i="1"/>
  <c r="J65" i="1"/>
  <c r="J345" i="1"/>
  <c r="J196" i="1"/>
  <c r="J207" i="1"/>
  <c r="J140" i="1"/>
  <c r="J139" i="1"/>
  <c r="J137" i="1"/>
  <c r="J80" i="1"/>
  <c r="X497" i="1"/>
  <c r="J497" i="1"/>
  <c r="X493" i="1"/>
  <c r="J493" i="1"/>
  <c r="X471" i="1"/>
  <c r="J471" i="1"/>
  <c r="X467" i="1"/>
  <c r="J467" i="1"/>
  <c r="X452" i="1"/>
  <c r="J452" i="1"/>
  <c r="X451" i="1"/>
  <c r="J451" i="1"/>
  <c r="X446" i="1"/>
  <c r="J446" i="1"/>
  <c r="X442" i="1"/>
  <c r="J442" i="1"/>
  <c r="X440" i="1"/>
  <c r="J440" i="1"/>
  <c r="X435" i="1"/>
  <c r="J435" i="1"/>
  <c r="X434" i="1"/>
  <c r="J434" i="1"/>
  <c r="X432" i="1"/>
  <c r="J432" i="1"/>
  <c r="X413" i="1"/>
  <c r="J413" i="1"/>
  <c r="X405" i="1"/>
  <c r="J405" i="1"/>
  <c r="X404" i="1"/>
  <c r="J404" i="1"/>
  <c r="X401" i="1"/>
  <c r="J401" i="1"/>
  <c r="X400" i="1"/>
  <c r="J400" i="1"/>
  <c r="X396" i="1"/>
  <c r="J396" i="1"/>
  <c r="X390" i="1"/>
  <c r="J390" i="1"/>
  <c r="X389" i="1"/>
  <c r="J389" i="1"/>
  <c r="X388" i="1"/>
  <c r="J388" i="1"/>
  <c r="X377" i="1"/>
  <c r="J377" i="1"/>
  <c r="X364" i="1"/>
  <c r="J364" i="1"/>
  <c r="X361" i="1"/>
  <c r="J361" i="1"/>
  <c r="X352" i="1"/>
  <c r="J352" i="1"/>
  <c r="X347" i="1"/>
  <c r="J347" i="1"/>
  <c r="X331" i="1"/>
  <c r="J331" i="1"/>
  <c r="X313" i="1"/>
  <c r="J313" i="1"/>
  <c r="X310" i="1"/>
  <c r="J310" i="1"/>
  <c r="X308" i="1"/>
  <c r="J308" i="1"/>
  <c r="X307" i="1"/>
  <c r="J307" i="1"/>
  <c r="X303" i="1"/>
  <c r="J303" i="1"/>
  <c r="X298" i="1"/>
  <c r="J298" i="1"/>
  <c r="X293" i="1"/>
  <c r="J293" i="1"/>
  <c r="X286" i="1"/>
  <c r="J286" i="1"/>
  <c r="X267" i="1"/>
  <c r="J267" i="1"/>
  <c r="X257" i="1"/>
  <c r="J257" i="1"/>
  <c r="X246" i="1"/>
  <c r="J246" i="1"/>
  <c r="X232" i="1"/>
  <c r="J232" i="1"/>
  <c r="J189" i="1"/>
  <c r="X189" i="1"/>
  <c r="X188" i="1"/>
  <c r="J188" i="1"/>
  <c r="X182" i="1"/>
  <c r="J182" i="1"/>
  <c r="X181" i="1"/>
  <c r="J181" i="1"/>
  <c r="X170" i="1"/>
  <c r="J170" i="1"/>
  <c r="X169" i="1"/>
  <c r="J169" i="1"/>
  <c r="X161" i="1"/>
  <c r="J161" i="1"/>
  <c r="X154" i="1"/>
  <c r="J154" i="1"/>
  <c r="X148" i="1"/>
  <c r="J148" i="1"/>
  <c r="X121" i="1"/>
  <c r="J121" i="1"/>
  <c r="X100" i="1"/>
  <c r="J100" i="1"/>
  <c r="X97" i="1"/>
  <c r="J97" i="1"/>
  <c r="X94" i="1"/>
  <c r="J94" i="1"/>
  <c r="X86" i="1"/>
  <c r="J86" i="1"/>
  <c r="X82" i="1"/>
  <c r="J82" i="1"/>
  <c r="X56" i="1"/>
  <c r="J56" i="1"/>
  <c r="X55" i="1"/>
  <c r="J55" i="1"/>
  <c r="X48" i="1"/>
  <c r="J48" i="1"/>
  <c r="X45" i="1"/>
  <c r="J45" i="1"/>
  <c r="X42" i="1"/>
  <c r="J42" i="1"/>
  <c r="X29" i="1"/>
  <c r="J29" i="1"/>
  <c r="X26" i="1"/>
  <c r="J26" i="1"/>
  <c r="X19" i="1"/>
  <c r="J19" i="1"/>
  <c r="X9" i="1"/>
  <c r="J9" i="1"/>
  <c r="J501" i="1"/>
  <c r="X501" i="1"/>
  <c r="J498" i="1"/>
  <c r="X498" i="1"/>
  <c r="X487" i="1"/>
  <c r="J487" i="1"/>
  <c r="X475" i="1"/>
  <c r="J475" i="1"/>
  <c r="X472" i="1"/>
  <c r="J472" i="1"/>
  <c r="J466" i="1"/>
  <c r="X466" i="1"/>
  <c r="J465" i="1"/>
  <c r="X465" i="1"/>
  <c r="J464" i="1"/>
  <c r="X464" i="1"/>
  <c r="X463" i="1"/>
  <c r="J463" i="1"/>
  <c r="X462" i="1"/>
  <c r="J462" i="1"/>
  <c r="X460" i="1"/>
  <c r="J460" i="1"/>
  <c r="X459" i="1"/>
  <c r="J459" i="1"/>
  <c r="X455" i="1"/>
  <c r="J455" i="1"/>
  <c r="J453" i="1"/>
  <c r="X453" i="1"/>
  <c r="J448" i="1"/>
  <c r="X448" i="1"/>
  <c r="X445" i="1"/>
  <c r="J445" i="1"/>
  <c r="J444" i="1"/>
  <c r="X444" i="1"/>
  <c r="X438" i="1"/>
  <c r="J438" i="1"/>
  <c r="J433" i="1"/>
  <c r="X433" i="1"/>
  <c r="J422" i="1"/>
  <c r="X422" i="1"/>
  <c r="X421" i="1"/>
  <c r="J421" i="1"/>
  <c r="J418" i="1"/>
  <c r="X418" i="1"/>
  <c r="X409" i="1"/>
  <c r="J409" i="1"/>
  <c r="X406" i="1"/>
  <c r="J406" i="1"/>
  <c r="J403" i="1"/>
  <c r="X403" i="1"/>
  <c r="X395" i="1"/>
  <c r="J395" i="1"/>
  <c r="X394" i="1"/>
  <c r="J394" i="1"/>
  <c r="X393" i="1"/>
  <c r="J393" i="1"/>
  <c r="X387" i="1"/>
  <c r="J387" i="1"/>
  <c r="J385" i="1"/>
  <c r="X385" i="1"/>
  <c r="X375" i="1"/>
  <c r="J375" i="1"/>
  <c r="X371" i="1"/>
  <c r="J371" i="1"/>
  <c r="X370" i="1"/>
  <c r="J370" i="1"/>
  <c r="J368" i="1"/>
  <c r="X368" i="1"/>
  <c r="X366" i="1"/>
  <c r="J366" i="1"/>
  <c r="X360" i="1"/>
  <c r="J360" i="1"/>
  <c r="X355" i="1"/>
  <c r="J355" i="1"/>
  <c r="J344" i="1"/>
  <c r="X344" i="1"/>
  <c r="X343" i="1"/>
  <c r="J343" i="1"/>
  <c r="X335" i="1"/>
  <c r="J335" i="1"/>
  <c r="J327" i="1"/>
  <c r="X327" i="1"/>
  <c r="X314" i="1"/>
  <c r="J314" i="1"/>
  <c r="X312" i="1"/>
  <c r="J312" i="1"/>
  <c r="J306" i="1"/>
  <c r="X306" i="1"/>
  <c r="X299" i="1"/>
  <c r="J299" i="1"/>
  <c r="X277" i="1"/>
  <c r="J277" i="1"/>
  <c r="J276" i="1"/>
  <c r="X276" i="1"/>
  <c r="X275" i="1"/>
  <c r="J275" i="1"/>
  <c r="J271" i="1"/>
  <c r="X271" i="1"/>
  <c r="X270" i="1"/>
  <c r="J270" i="1"/>
  <c r="X266" i="1"/>
  <c r="J266" i="1"/>
  <c r="J264" i="1"/>
  <c r="X264" i="1"/>
  <c r="X263" i="1"/>
  <c r="J263" i="1"/>
  <c r="X259" i="1"/>
  <c r="J259" i="1"/>
  <c r="X254" i="1"/>
  <c r="J254" i="1"/>
  <c r="X250" i="1"/>
  <c r="J250" i="1"/>
  <c r="J240" i="1"/>
  <c r="X240" i="1"/>
  <c r="X239" i="1"/>
  <c r="J239" i="1"/>
  <c r="X229" i="1"/>
  <c r="J229" i="1"/>
  <c r="J225" i="1"/>
  <c r="X225" i="1"/>
  <c r="X220" i="1"/>
  <c r="J220" i="1"/>
  <c r="J218" i="1"/>
  <c r="X218" i="1"/>
  <c r="X215" i="1"/>
  <c r="J215" i="1"/>
  <c r="J210" i="1"/>
  <c r="X210" i="1"/>
  <c r="J206" i="1"/>
  <c r="X206" i="1"/>
  <c r="J190" i="1"/>
  <c r="X190" i="1"/>
  <c r="X179" i="1"/>
  <c r="J179" i="1"/>
  <c r="X171" i="1"/>
  <c r="J171" i="1"/>
  <c r="X165" i="1"/>
  <c r="J165" i="1"/>
  <c r="X162" i="1"/>
  <c r="J162" i="1"/>
  <c r="X158" i="1"/>
  <c r="J158" i="1"/>
  <c r="X157" i="1"/>
  <c r="J157" i="1"/>
  <c r="X155" i="1"/>
  <c r="J155" i="1"/>
  <c r="X146" i="1"/>
  <c r="J146" i="1"/>
  <c r="J126" i="1"/>
  <c r="X126" i="1"/>
  <c r="X115" i="1"/>
  <c r="J115" i="1"/>
  <c r="X107" i="1"/>
  <c r="J107" i="1"/>
  <c r="J106" i="1"/>
  <c r="X106" i="1"/>
  <c r="X98" i="1"/>
  <c r="J98" i="1"/>
  <c r="X96" i="1"/>
  <c r="J96" i="1"/>
  <c r="J95" i="1"/>
  <c r="X95" i="1"/>
  <c r="X84" i="1"/>
  <c r="J84" i="1"/>
  <c r="X63" i="1"/>
  <c r="J63" i="1"/>
  <c r="X62" i="1"/>
  <c r="J62" i="1"/>
  <c r="J60" i="1"/>
  <c r="X60" i="1"/>
  <c r="J59" i="1"/>
  <c r="X59" i="1"/>
  <c r="X53" i="1"/>
  <c r="J53" i="1"/>
  <c r="J51" i="1"/>
  <c r="X51" i="1"/>
  <c r="X41" i="1"/>
  <c r="J41" i="1"/>
  <c r="J35" i="1"/>
  <c r="X35" i="1"/>
  <c r="X33" i="1"/>
  <c r="J33" i="1"/>
  <c r="X23" i="1"/>
  <c r="J23" i="1"/>
  <c r="X17" i="1"/>
  <c r="J17" i="1"/>
  <c r="J14" i="1"/>
  <c r="X14" i="1"/>
  <c r="X11" i="1"/>
  <c r="J11" i="1"/>
  <c r="J6" i="1"/>
  <c r="X6" i="1"/>
  <c r="J2" i="1"/>
  <c r="T37" i="2"/>
  <c r="J20" i="1"/>
  <c r="I13" i="3"/>
  <c r="J21" i="1"/>
  <c r="T36" i="2"/>
  <c r="J18" i="1"/>
  <c r="Q37" i="2" l="1"/>
  <c r="E13" i="3"/>
  <c r="Q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<sst xmlns="http://schemas.openxmlformats.org/spreadsheetml/2006/main" count="272" uniqueCount="185">
  <si>
    <t>Employee Id</t>
  </si>
  <si>
    <t>First Name</t>
  </si>
  <si>
    <t>Last Name</t>
  </si>
  <si>
    <t>Gender</t>
  </si>
  <si>
    <t>Age</t>
  </si>
  <si>
    <t>Department</t>
  </si>
  <si>
    <t>Job Role</t>
  </si>
  <si>
    <t>Location</t>
  </si>
  <si>
    <t>Hire Date</t>
  </si>
  <si>
    <t>Exit Date</t>
  </si>
  <si>
    <t>Employment Status</t>
  </si>
  <si>
    <t>Salary</t>
  </si>
  <si>
    <t>Performance Rating</t>
  </si>
  <si>
    <t>Training Hours</t>
  </si>
  <si>
    <t>Absence Days</t>
  </si>
  <si>
    <t>Overtime Hours</t>
  </si>
  <si>
    <t>Promotion Status</t>
  </si>
  <si>
    <t>Education</t>
  </si>
  <si>
    <t>Manager</t>
  </si>
  <si>
    <t>Email</t>
  </si>
  <si>
    <t>Phone</t>
  </si>
  <si>
    <t>Employment Type</t>
  </si>
  <si>
    <t>Bonus</t>
  </si>
  <si>
    <t>Years of Service</t>
  </si>
  <si>
    <t>Random Role Number</t>
  </si>
  <si>
    <t>Employemnt Status</t>
  </si>
  <si>
    <t>Employement Type</t>
  </si>
  <si>
    <t>Job Roles</t>
  </si>
  <si>
    <t>Managers</t>
  </si>
  <si>
    <t>V (Male Names)</t>
  </si>
  <si>
    <t>W (Female Names)</t>
  </si>
  <si>
    <t>X (Other/Unisex)</t>
  </si>
  <si>
    <t>HR</t>
  </si>
  <si>
    <t>Dublin</t>
  </si>
  <si>
    <t>Active</t>
  </si>
  <si>
    <t>Full- Time</t>
  </si>
  <si>
    <t>High School</t>
  </si>
  <si>
    <t>Yes</t>
  </si>
  <si>
    <t>Male</t>
  </si>
  <si>
    <t>HR Assistant</t>
  </si>
  <si>
    <t>Sarah Johnson</t>
  </si>
  <si>
    <t>Johnson</t>
  </si>
  <si>
    <t>James</t>
  </si>
  <si>
    <t>Emma</t>
  </si>
  <si>
    <t>Alex</t>
  </si>
  <si>
    <t>All Departments</t>
  </si>
  <si>
    <t>Finance</t>
  </si>
  <si>
    <t>Cork</t>
  </si>
  <si>
    <t>Resigned</t>
  </si>
  <si>
    <t>Part-Time</t>
  </si>
  <si>
    <t>Dipolma</t>
  </si>
  <si>
    <t>No</t>
  </si>
  <si>
    <t>Female</t>
  </si>
  <si>
    <t>HR Executive</t>
  </si>
  <si>
    <t>Michael Brown</t>
  </si>
  <si>
    <t>Brown</t>
  </si>
  <si>
    <t>Michael</t>
  </si>
  <si>
    <t>Olivia</t>
  </si>
  <si>
    <t>Taylor</t>
  </si>
  <si>
    <t>IT</t>
  </si>
  <si>
    <t>Galway</t>
  </si>
  <si>
    <t>Contract</t>
  </si>
  <si>
    <t>Bachelor's</t>
  </si>
  <si>
    <t>Other</t>
  </si>
  <si>
    <t>HR Manager</t>
  </si>
  <si>
    <t>Emma Wilson</t>
  </si>
  <si>
    <t>Murphy</t>
  </si>
  <si>
    <t>David</t>
  </si>
  <si>
    <t>Sophia</t>
  </si>
  <si>
    <t>Jordan</t>
  </si>
  <si>
    <t>Sales</t>
  </si>
  <si>
    <t>Limerick</t>
  </si>
  <si>
    <t>Intern</t>
  </si>
  <si>
    <t>Master's</t>
  </si>
  <si>
    <t>Recruiter</t>
  </si>
  <si>
    <t>David Murphy</t>
  </si>
  <si>
    <t>Kelly</t>
  </si>
  <si>
    <t>Daniel</t>
  </si>
  <si>
    <t>Charlotte</t>
  </si>
  <si>
    <t>Casey</t>
  </si>
  <si>
    <t>Accountant</t>
  </si>
  <si>
    <t>Marketing</t>
  </si>
  <si>
    <t>Waterford</t>
  </si>
  <si>
    <t>PhD</t>
  </si>
  <si>
    <t>Payroll Officer</t>
  </si>
  <si>
    <t>Olivia Smith</t>
  </si>
  <si>
    <t>Wilson</t>
  </si>
  <si>
    <t>John</t>
  </si>
  <si>
    <t>Emily</t>
  </si>
  <si>
    <t>Morgan</t>
  </si>
  <si>
    <t>Operations</t>
  </si>
  <si>
    <t>Belfast</t>
  </si>
  <si>
    <t>James Taylor</t>
  </si>
  <si>
    <t>Smith</t>
  </si>
  <si>
    <t>Ryan</t>
  </si>
  <si>
    <t>Ava</t>
  </si>
  <si>
    <t>Jamie</t>
  </si>
  <si>
    <t>Financial Analyst</t>
  </si>
  <si>
    <t>Customer Support</t>
  </si>
  <si>
    <t>Daniel Kelly</t>
  </si>
  <si>
    <t>Jack</t>
  </si>
  <si>
    <t>Ella</t>
  </si>
  <si>
    <t>Riley</t>
  </si>
  <si>
    <t>Data Analyst</t>
  </si>
  <si>
    <t>Legal</t>
  </si>
  <si>
    <t>Grace O'Connor</t>
  </si>
  <si>
    <t>Martin</t>
  </si>
  <si>
    <t>Oliver</t>
  </si>
  <si>
    <t>Mia</t>
  </si>
  <si>
    <t>Avery</t>
  </si>
  <si>
    <t>Business Analyst</t>
  </si>
  <si>
    <t>Procurement</t>
  </si>
  <si>
    <t>Liam Byrne</t>
  </si>
  <si>
    <t>Thomas</t>
  </si>
  <si>
    <t>Noah</t>
  </si>
  <si>
    <t>Amelia</t>
  </si>
  <si>
    <t>Quinn</t>
  </si>
  <si>
    <t>IT Support Specialist</t>
  </si>
  <si>
    <t>IT Support specialist</t>
  </si>
  <si>
    <t>Sophia Martin</t>
  </si>
  <si>
    <t>White</t>
  </si>
  <si>
    <t>Lucas</t>
  </si>
  <si>
    <t>Isabella</t>
  </si>
  <si>
    <t>Skyler</t>
  </si>
  <si>
    <t>Sales Executive</t>
  </si>
  <si>
    <t>System Administrator</t>
  </si>
  <si>
    <t>Moore</t>
  </si>
  <si>
    <t>Leo</t>
  </si>
  <si>
    <t>Hannah</t>
  </si>
  <si>
    <t>Cameron</t>
  </si>
  <si>
    <t>Account Manager</t>
  </si>
  <si>
    <t>Walker</t>
  </si>
  <si>
    <t>William</t>
  </si>
  <si>
    <t>Grace</t>
  </si>
  <si>
    <t>Robin</t>
  </si>
  <si>
    <t>Business Development Executive</t>
  </si>
  <si>
    <t>Young</t>
  </si>
  <si>
    <t>Marketing Executive</t>
  </si>
  <si>
    <t>Lewis</t>
  </si>
  <si>
    <t>Digital Marketing Specialist</t>
  </si>
  <si>
    <t>Hall</t>
  </si>
  <si>
    <t>Brand Executive</t>
  </si>
  <si>
    <t>Operations Executive</t>
  </si>
  <si>
    <t>Allen</t>
  </si>
  <si>
    <t>Operations Manager</t>
  </si>
  <si>
    <t>King</t>
  </si>
  <si>
    <t>Customer Support Representative</t>
  </si>
  <si>
    <t>Scott</t>
  </si>
  <si>
    <t>Operations Coordinator</t>
  </si>
  <si>
    <t>Customer Success specialist</t>
  </si>
  <si>
    <t>Green</t>
  </si>
  <si>
    <t>Legal Assistant</t>
  </si>
  <si>
    <t>Baker</t>
  </si>
  <si>
    <t>Customer Success Specialist</t>
  </si>
  <si>
    <t>Compliance Officer</t>
  </si>
  <si>
    <t>Adams</t>
  </si>
  <si>
    <t>Technical Support Specialist</t>
  </si>
  <si>
    <t>Procurement Officer</t>
  </si>
  <si>
    <t>Nelson</t>
  </si>
  <si>
    <t>Purchasing Executive</t>
  </si>
  <si>
    <t>Hill</t>
  </si>
  <si>
    <t>Campbell</t>
  </si>
  <si>
    <t>Legal Executive</t>
  </si>
  <si>
    <t>Turner</t>
  </si>
  <si>
    <t>Parker</t>
  </si>
  <si>
    <t>Collins</t>
  </si>
  <si>
    <t>Procurement Analyst</t>
  </si>
  <si>
    <t>Edwards</t>
  </si>
  <si>
    <t>Evans</t>
  </si>
  <si>
    <t>Cooper</t>
  </si>
  <si>
    <t>Employee Count</t>
  </si>
  <si>
    <t>Average Salary by Department</t>
  </si>
  <si>
    <t>Employees</t>
  </si>
  <si>
    <t>Average Salary</t>
  </si>
  <si>
    <t>Count</t>
  </si>
  <si>
    <t>Promoted</t>
  </si>
  <si>
    <t>Not Promoted</t>
  </si>
  <si>
    <t>HR Analytics Dashboard</t>
  </si>
  <si>
    <t>Dashboard Filters</t>
  </si>
  <si>
    <t>👥 Total Employees</t>
  </si>
  <si>
    <t>💰 Average Salary</t>
  </si>
  <si>
    <t>🎁 Total Bonus</t>
  </si>
  <si>
    <t>⭐ Average Rating (Out Of 5)</t>
  </si>
  <si>
    <t>📈 Promotion Rate</t>
  </si>
  <si>
    <t>🚪 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</si>
</sst>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&quot;€&quot;#,##0"/>
    <numFmt numFmtId="169" formatCode="0.0"/>
    <numFmt numFmtId="170" formatCode="0.0%"/>
    <numFmt numFmtId="171" formatCode="&quot;€&quot;#,##0.00"/>
  </numFmts>
  <fonts count="14">
    <font>
      <sz val="12"/>
      <color theme="1"/>
      <name val="Aptos Narrow"/>
      <charset val="134"/>
      <scheme val="minor"/>
    </font>
    <font>
      <b/>
      <sz val="24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b/>
      <sz val="13"/>
      <color theme="0"/>
      <name val="Aptos Narrow"/>
      <scheme val="minor"/>
    </font>
    <font>
      <b/>
      <sz val="13"/>
      <color theme="0"/>
      <name val="Calibri"/>
      <family val="2"/>
    </font>
    <font>
      <b/>
      <sz val="28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9">
    <xf numFmtId="0" fontId="0" fillId="0" borderId="0" xfId="0"/>
    <xf numFmtId="0" fontId="0" fillId="0" borderId="4" xfId="0" applyBorder="1"/>
    <xf numFmtId="0" fontId="0" fillId="0" borderId="5" xfId="0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4" xfId="0" applyFont="1" applyBorder="1"/>
    <xf numFmtId="0" fontId="8" fillId="0" borderId="0" xfId="0" applyFont="1"/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8" fontId="0" fillId="0" borderId="0" xfId="0" applyNumberFormat="1"/>
    <xf numFmtId="0" fontId="11" fillId="0" borderId="0" xfId="0" applyFont="1"/>
    <xf numFmtId="0" fontId="10" fillId="0" borderId="0" xfId="0" applyFont="1"/>
    <xf numFmtId="1" fontId="0" fillId="0" borderId="0" xfId="0" applyNumberFormat="1"/>
    <xf numFmtId="0" fontId="12" fillId="0" borderId="0" xfId="0" applyFont="1"/>
    <xf numFmtId="14" fontId="0" fillId="0" borderId="0" xfId="0" applyNumberFormat="1"/>
    <xf numFmtId="171" fontId="0" fillId="0" borderId="0" xfId="0" applyNumberFormat="1"/>
    <xf numFmtId="14" fontId="11" fillId="0" borderId="0" xfId="0" applyNumberFormat="1" applyFont="1"/>
    <xf numFmtId="171" fontId="10" fillId="0" borderId="0" xfId="0" applyNumberFormat="1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1" fontId="11" fillId="0" borderId="0" xfId="0" applyNumberFormat="1" applyFont="1"/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9" fontId="6" fillId="4" borderId="4" xfId="0" applyNumberFormat="1" applyFont="1" applyFill="1" applyBorder="1" applyAlignment="1">
      <alignment horizontal="center" vertical="center"/>
    </xf>
    <xf numFmtId="169" fontId="6" fillId="4" borderId="0" xfId="0" applyNumberFormat="1" applyFont="1" applyFill="1" applyAlignment="1">
      <alignment horizontal="center" vertical="center"/>
    </xf>
    <xf numFmtId="170" fontId="6" fillId="4" borderId="0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8" fontId="6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25"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  <alignment horizontal="center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  <alignment horizontal="center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  <alignment horizontal="center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  <alignment horizontal="center"/>
    </dxf>
    <dxf>
      <font>
        <b/>
        <i val="0"/>
        <strike val="0"/>
        <u val="none"/>
        <sz val="12"/>
        <color theme="1"/>
        <name val="Aptos Narrow"/>
        <scheme val="none"/>
      </font>
      <alignment horizontal="center"/>
    </dxf>
    <dxf>
      <font>
        <b/>
        <i val="0"/>
        <strike val="0"/>
        <u val="none"/>
        <sz val="12"/>
        <color theme="1"/>
        <name val="Aptos Narrow"/>
        <scheme val="none"/>
      </font>
      <numFmt numFmtId="171" formatCode="&quot;€&quot;#,##0.00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19" formatCode="dd/mm/yyyy"/>
    </dxf>
    <dxf>
      <font>
        <b/>
        <i val="0"/>
        <strike val="0"/>
        <u val="none"/>
        <sz val="12"/>
        <color theme="1"/>
        <name val="Aptos Narrow"/>
        <scheme val="none"/>
      </font>
      <numFmt numFmtId="19" formatCode="dd/mm/yyyy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  <numFmt numFmtId="0" formatCode="General"/>
    </dxf>
    <dxf>
      <font>
        <b/>
        <i val="0"/>
        <strike val="0"/>
        <u val="no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Employees by Department</a:t>
            </a:r>
          </a:p>
        </c:rich>
      </c:tx>
      <c:layout>
        <c:manualLayout>
          <c:xMode val="edge"/>
          <c:yMode val="edge"/>
          <c:x val="0.28338888888888902"/>
          <c:y val="5.0925925925925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Lookup!$K$35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Lookup!$J$36:$J$44</c:f>
              <c:strCache>
                <c:ptCount val="9"/>
                <c:pt idx="0">
                  <c:v>Marketing</c:v>
                </c:pt>
                <c:pt idx="1">
                  <c:v>Customer Support</c:v>
                </c:pt>
                <c:pt idx="2">
                  <c:v>HR</c:v>
                </c:pt>
                <c:pt idx="3">
                  <c:v>Operations</c:v>
                </c:pt>
                <c:pt idx="4">
                  <c:v>Legal</c:v>
                </c:pt>
                <c:pt idx="5">
                  <c:v>Procurement</c:v>
                </c:pt>
                <c:pt idx="6">
                  <c:v>IT</c:v>
                </c:pt>
                <c:pt idx="7">
                  <c:v>Finance</c:v>
                </c:pt>
                <c:pt idx="8">
                  <c:v>Sales</c:v>
                </c:pt>
              </c:strCache>
            </c:strRef>
          </c:cat>
          <c:val>
            <c:numRef>
              <c:f>Lookup!$K$36:$K$44</c:f>
              <c:numCache>
                <c:formatCode>General</c:formatCode>
                <c:ptCount val="9"/>
                <c:pt idx="0">
                  <c:v>60</c:v>
                </c:pt>
                <c:pt idx="1">
                  <c:v>66</c:v>
                </c:pt>
                <c:pt idx="2">
                  <c:v>47</c:v>
                </c:pt>
                <c:pt idx="3">
                  <c:v>50</c:v>
                </c:pt>
                <c:pt idx="4">
                  <c:v>63</c:v>
                </c:pt>
                <c:pt idx="5">
                  <c:v>55</c:v>
                </c:pt>
                <c:pt idx="6">
                  <c:v>53</c:v>
                </c:pt>
                <c:pt idx="7">
                  <c:v>57</c:v>
                </c:pt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9-B843-95B7-BC0D79E5EF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1120768"/>
        <c:axId val="1491122480"/>
      </c:barChart>
      <c:catAx>
        <c:axId val="149112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22480"/>
        <c:crosses val="autoZero"/>
        <c:auto val="1"/>
        <c:lblAlgn val="ctr"/>
        <c:lblOffset val="100"/>
        <c:noMultiLvlLbl val="0"/>
      </c:catAx>
      <c:valAx>
        <c:axId val="149112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79964e-ad1d-47b9-9a08-fa55d37c5994}"/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Average 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Lookup!$N$35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Lookup!$M$36:$M$44</c:f>
              <c:strCache>
                <c:ptCount val="9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Marketing</c:v>
                </c:pt>
                <c:pt idx="6">
                  <c:v>Operations</c:v>
                </c:pt>
                <c:pt idx="7">
                  <c:v>Procurement</c:v>
                </c:pt>
                <c:pt idx="8">
                  <c:v>Sales</c:v>
                </c:pt>
              </c:strCache>
            </c:strRef>
          </c:cat>
          <c:val>
            <c:numRef>
              <c:f>Lookup!$N$36:$N$44</c:f>
              <c:numCache>
                <c:formatCode>0</c:formatCode>
                <c:ptCount val="9"/>
                <c:pt idx="0">
                  <c:v>46835</c:v>
                </c:pt>
                <c:pt idx="1">
                  <c:v>57006.140350877198</c:v>
                </c:pt>
                <c:pt idx="2">
                  <c:v>51109.148936170197</c:v>
                </c:pt>
                <c:pt idx="3">
                  <c:v>60650</c:v>
                </c:pt>
                <c:pt idx="4">
                  <c:v>58082.857142857101</c:v>
                </c:pt>
                <c:pt idx="5">
                  <c:v>52275.333333333299</c:v>
                </c:pt>
                <c:pt idx="6">
                  <c:v>56833.4</c:v>
                </c:pt>
                <c:pt idx="7">
                  <c:v>51472.181818181802</c:v>
                </c:pt>
                <c:pt idx="8">
                  <c:v>53568.367346938801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3-2143-8B07-A220647DF7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103536"/>
        <c:axId val="1491172480"/>
      </c:barChart>
      <c:catAx>
        <c:axId val="14911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72480"/>
        <c:crosses val="autoZero"/>
        <c:auto val="1"/>
        <c:lblAlgn val="ctr"/>
        <c:lblOffset val="100"/>
        <c:noMultiLvlLbl val="0"/>
      </c:catAx>
      <c:valAx>
        <c:axId val="14911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03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9b9c50-dcda-4833-8acb-b2d46006da89}"/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Promotion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Lookup!$Q$35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4-194D-B537-E8F9099F60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4-194D-B537-E8F9099F60AA}"/>
              </c:ext>
            </c:extLst>
          </c:dPt>
          <c:dLbls>
            <c:dLbl>
              <c:idx val="0"/>
              <c:layout>
                <c:manualLayout>
                  <c:x val="0.114942528735632"/>
                  <c:y val="3.87596899224805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E4-194D-B537-E8F9099F60AA}"/>
                </c:ext>
              </c:extLst>
            </c:dLbl>
            <c:dLbl>
              <c:idx val="1"/>
              <c:layout>
                <c:manualLayout>
                  <c:x val="-5.7471264367816098E-2"/>
                  <c:y val="-4.651162790697670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E4-194D-B537-E8F9099F60A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Lookup!$P$36:$P$37</c:f>
              <c:strCache>
                <c:ptCount val="2"/>
                <c:pt idx="0">
                  <c:v>Promoted</c:v>
                </c:pt>
                <c:pt idx="1">
                  <c:v>Not Promoted</c:v>
                </c:pt>
              </c:strCache>
            </c:strRef>
          </c:cat>
          <c:val>
            <c:numRef>
              <c:f>Lookup!$Q$36:$Q$37</c:f>
              <c:numCache>
                <c:formatCode>General</c:formatCode>
                <c:ptCount val="2"/>
                <c:pt idx="0">
                  <c:v>334</c:v>
                </c:pt>
                <c:pt idx="1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4-194D-B537-E8F9099F60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b51ebe-e1f4-4c16-9ac3-0fa52e1097a1}"/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Lookup!$T$35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2A-0F44-B0AB-48080EEE1A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2A-0F44-B0AB-48080EEE1A7D}"/>
              </c:ext>
            </c:extLst>
          </c:dPt>
          <c:dLbls>
            <c:dLbl>
              <c:idx val="0"/>
              <c:layout>
                <c:manualLayout>
                  <c:x val="8.3333333333333301E-2"/>
                  <c:y val="3.703703703703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A-0F44-B0AB-48080EEE1A7D}"/>
                </c:ext>
              </c:extLst>
            </c:dLbl>
            <c:dLbl>
              <c:idx val="1"/>
              <c:layout>
                <c:manualLayout>
                  <c:x val="-8.6111111111111194E-2"/>
                  <c:y val="-5.55555555555556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2A-0F44-B0AB-48080EEE1A7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Lookup!$S$36:$S$37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Lookup!$T$36:$T$37</c:f>
              <c:numCache>
                <c:formatCode>General</c:formatCode>
                <c:ptCount val="2"/>
                <c:pt idx="0">
                  <c:v>401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2A-0F44-B0AB-48080EEE1A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628d23-1b4a-463d-9465-316e86f7013d}"/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16</xdr:row>
      <xdr:rowOff>50800</xdr:rowOff>
    </xdr:from>
    <xdr:to>
      <xdr:col>5</xdr:col>
      <xdr:colOff>59775</xdr:colOff>
      <xdr:row>28</xdr:row>
      <xdr:rowOff>194733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301977</xdr:colOff>
      <xdr:row>16</xdr:row>
      <xdr:rowOff>63500</xdr:rowOff>
    </xdr:from>
    <xdr:to>
      <xdr:col>10</xdr:col>
      <xdr:colOff>89407</xdr:colOff>
      <xdr:row>29</xdr:row>
      <xdr:rowOff>9878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389468</xdr:colOff>
      <xdr:row>16</xdr:row>
      <xdr:rowOff>25400</xdr:rowOff>
    </xdr:from>
    <xdr:to>
      <xdr:col>13</xdr:col>
      <xdr:colOff>122768</xdr:colOff>
      <xdr:row>24</xdr:row>
      <xdr:rowOff>36011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402168</xdr:colOff>
      <xdr:row>24</xdr:row>
      <xdr:rowOff>139700</xdr:rowOff>
    </xdr:from>
    <xdr:to>
      <xdr:col>13</xdr:col>
      <xdr:colOff>135637</xdr:colOff>
      <xdr:row>32</xdr:row>
      <xdr:rowOff>150312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" displayName="EmployeeData" ref="A1:Y501" totalsRowShown="0">
  <autoFilter ref="A1:Y501" xr:uid="{00000000-0009-0000-0100-000001000000}"/>
  <tableColumns count="25">
    <tableColumn id="1" xr3:uid="{00000000-0010-0000-0000-000001000000}" name="Employee Id" dataDxfId="24">
      <calculatedColumnFormula>"EMP"&amp;TEXT(ROW()-1,"000")</calculatedColumnFormula>
    </tableColumn>
    <tableColumn id="2" xr3:uid="{00000000-0010-0000-0000-000002000000}" name="First Name" dataDxfId="23">
      <calculatedColumnFormula array="1">IF(D2="Male",INDEX(Lookup!$L$2:$L$13,RANDBETWEEN(1,12)),IF(D2="Female",INDEX(Lookup!$M$2:$M$13,RANDBETWEEN(1,12)),INDEX(Lookup!$N$2:$N$13,RANDBETWEEN(1,12))))</calculatedColumnFormula>
    </tableColumn>
    <tableColumn id="3" xr3:uid="{00000000-0010-0000-0000-000003000000}" name="Last Name" dataDxfId="22">
      <calculatedColumnFormula array="1">INDEX(Lookup!$K$2:$K$31,RANDBETWEEN(1,30))</calculatedColumnFormula>
    </tableColumn>
    <tableColumn id="4" xr3:uid="{00000000-0010-0000-0000-000004000000}" name="Gender" dataDxfId="21">
      <calculatedColumnFormula array="1">INDEX(Lookup!$H$2:$H$4,RANDBETWEEN(1,3))</calculatedColumnFormula>
    </tableColumn>
    <tableColumn id="5" xr3:uid="{00000000-0010-0000-0000-000005000000}" name="Age" dataDxfId="20">
      <calculatedColumnFormula>RANDBETWEEN(21,60)</calculatedColumnFormula>
    </tableColumn>
    <tableColumn id="6" xr3:uid="{00000000-0010-0000-0000-000006000000}" name="Department" dataDxfId="19">
      <calculatedColumnFormula array="1">INDEX(Lookup!$A$2:$A$10,RANDBETWEEN(1,9))</calculatedColumnFormula>
    </tableColumn>
    <tableColumn id="7" xr3:uid="{00000000-0010-0000-0000-000007000000}" name="Job Role" dataDxfId="18">
      <calculatedColumnFormula array="1">_xlfn.LET(_xlpm.Roles,_xlfn._xlws.FILTER(Lookup!$P$2:$P$28,Lookup!$O$2:$O$28=F2),INDEX(_xlpm.Roles,RANDBETWEEN(1,ROWS(_xlpm.Roles))))</calculatedColumnFormula>
    </tableColumn>
    <tableColumn id="8" xr3:uid="{00000000-0010-0000-0000-000008000000}" name="Location" dataDxfId="17">
      <calculatedColumnFormula array="1">INDEX(Lookup!$B$2:$B$7,RANDBETWEEN(1,6))</calculatedColumnFormula>
    </tableColumn>
    <tableColumn id="9" xr3:uid="{00000000-0010-0000-0000-000009000000}" name="Hire Date" dataDxfId="16">
      <calculatedColumnFormula>DATE(RANDBETWEEN(2018,2025),RANDBETWEEN(1,12),RANDBETWEEN(1,28))</calculatedColumnFormula>
    </tableColumn>
    <tableColumn id="10" xr3:uid="{00000000-0010-0000-0000-00000A000000}" name="Exit Date" dataDxfId="15">
      <calculatedColumnFormula>IF(K2="Resigned",I2+RANDBETWEEN(180,2000),"")</calculatedColumnFormula>
    </tableColumn>
    <tableColumn id="11" xr3:uid="{00000000-0010-0000-0000-00000B000000}" name="Employment Status" dataDxfId="14">
      <calculatedColumnFormula>IF(RANDBETWEEN(1,10)&lt;=8,"Active","Resigned")</calculatedColumnFormula>
    </tableColumn>
    <tableColumn id="12" xr3:uid="{00000000-0010-0000-0000-00000C000000}" name="Salary" dataDxfId="13">
      <calculatedColumnFormula>_xlfn.XLOOKUP(G2,Lookup!$P$2:$P$28,Lookup!$Q$2:$Q$28)*(1+MIN(X2*3%,30%))</calculatedColumnFormula>
    </tableColumn>
    <tableColumn id="13" xr3:uid="{00000000-0010-0000-0000-00000D000000}" name="Performance Rating" dataDxfId="12">
      <calculatedColumnFormula>RANDBETWEEN(1,5)</calculatedColumnFormula>
    </tableColumn>
    <tableColumn id="14" xr3:uid="{00000000-0010-0000-0000-00000E000000}" name="Training Hours" dataDxfId="11">
      <calculatedColumnFormula>RANDBETWEEN(0,80)</calculatedColumnFormula>
    </tableColumn>
    <tableColumn id="15" xr3:uid="{00000000-0010-0000-0000-00000F000000}" name="Absence Days" dataDxfId="10">
      <calculatedColumnFormula>RANDBETWEEN(0,20)</calculatedColumnFormula>
    </tableColumn>
    <tableColumn id="16" xr3:uid="{00000000-0010-0000-0000-000010000000}" name="Overtime Hours" dataDxfId="9">
      <calculatedColumnFormula>RANDBETWEEN(0,60)</calculatedColumnFormula>
    </tableColumn>
    <tableColumn id="17" xr3:uid="{00000000-0010-0000-0000-000011000000}" name="Promotion Status" dataDxfId="8">
      <calculatedColumnFormula>IF(AND(L2&gt;=4,X2&gt;=2,K2="Active"),"Promoted","Not Promoted")</calculatedColumnFormula>
    </tableColumn>
    <tableColumn id="18" xr3:uid="{00000000-0010-0000-0000-000012000000}" name="Education" dataDxfId="7">
      <calculatedColumnFormula array="1">INDEX(Lookup!$E$2:$E$6,RANDBETWEEN(1,5))</calculatedColumnFormula>
    </tableColumn>
    <tableColumn id="19" xr3:uid="{00000000-0010-0000-0000-000013000000}" name="Manager" dataDxfId="6">
      <calculatedColumnFormula array="1">INDEX(Lookup!$J$2:$J$11,RANDBETWEEN(1,10))</calculatedColumnFormula>
    </tableColumn>
    <tableColumn id="20" xr3:uid="{00000000-0010-0000-0000-000014000000}" name="Email" dataDxfId="5">
      <calculatedColumnFormula>LOWER(B2&amp;"."&amp;C2&amp;"@hranalytics.com")</calculatedColumnFormula>
    </tableColumn>
    <tableColumn id="21" xr3:uid="{00000000-0010-0000-0000-000015000000}" name="Phone" dataDxfId="4">
      <calculatedColumnFormula>"08"&amp;RANDBETWEEN(3,9)&amp;TEXT(RANDBETWEEN(1000000,9999999),"0000000")</calculatedColumnFormula>
    </tableColumn>
    <tableColumn id="22" xr3:uid="{00000000-0010-0000-0000-000016000000}" name="Employment Type" dataDxfId="3">
      <calculatedColumnFormula array="1">_xlfn.LET(_xlpm.r,RANDBETWEEN(1,100),_xlfn.IFS(_xlpm.r&lt;=70,"Full-Time",_xlpm.r&lt;=85,"Part-Time",_xlpm.r&lt;=95,"Contract",TRUE,"Intern"))</calculatedColumnFormula>
    </tableColumn>
    <tableColumn id="23" xr3:uid="{00000000-0010-0000-0000-000017000000}" name="Bonus" dataDxfId="2">
      <calculatedColumnFormula array="1">IF(K2&lt;&gt;"Active",0,_xlfn.IFS(M2=5,L2*15%,M2=4,L2*10%,M2=3,L2*5%,M2=2,L2*2%,TRUE,0))</calculatedColumnFormula>
    </tableColumn>
    <tableColumn id="24" xr3:uid="{00000000-0010-0000-0000-000018000000}" name="Years of Service" dataDxfId="1">
      <calculatedColumnFormula>DATEDIF(I2,TODAY(),"Y")</calculatedColumnFormula>
    </tableColumn>
    <tableColumn id="26" xr3:uid="{00000000-0010-0000-0000-00001A000000}" name="Random Role Number" dataDxfId="0">
      <calculatedColumnFormula>RANDBETWEEN(1,3)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O1:Q28" totalsRowShown="0">
  <autoFilter ref="O1:Q28" xr:uid="{00000000-0009-0000-0100-000003000000}"/>
  <tableColumns count="3">
    <tableColumn id="1" xr3:uid="{00000000-0010-0000-0100-000001000000}" name="Department"/>
    <tableColumn id="2" xr3:uid="{00000000-0010-0000-0100-000002000000}" name="Job Role"/>
    <tableColumn id="3" xr3:uid="{00000000-0010-0000-0100-000003000000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opLeftCell="A467" zoomScale="70" zoomScaleNormal="70" workbookViewId="0">
      <selection activeCell="J2" sqref="J2:J501"/>
    </sheetView>
  </sheetViews>
  <sheetFormatPr baseColWidth="10" defaultColWidth="11" defaultRowHeight="16"/>
  <cols>
    <col min="1" max="1" width="16" customWidth="1"/>
    <col min="2" max="2" width="15" customWidth="1"/>
    <col min="3" max="3" width="15.5" customWidth="1"/>
    <col min="6" max="6" width="17.33203125" customWidth="1"/>
    <col min="7" max="7" width="31.33203125" customWidth="1"/>
    <col min="9" max="9" width="12.83203125" customWidth="1"/>
    <col min="10" max="10" width="14.1640625" style="20" customWidth="1"/>
    <col min="11" max="11" width="18.83203125" customWidth="1"/>
    <col min="12" max="12" width="12.1640625" style="21" customWidth="1"/>
    <col min="13" max="13" width="25.5" style="4" customWidth="1"/>
    <col min="14" max="14" width="21.33203125" style="4" customWidth="1"/>
    <col min="15" max="15" width="20.6640625" style="4" customWidth="1"/>
    <col min="16" max="16" width="16" style="4" customWidth="1"/>
    <col min="17" max="17" width="19.6640625" customWidth="1"/>
    <col min="18" max="18" width="11.5" customWidth="1"/>
    <col min="19" max="19" width="15" customWidth="1"/>
    <col min="20" max="20" width="32.33203125" customWidth="1"/>
    <col min="21" max="21" width="12.6640625" customWidth="1"/>
    <col min="22" max="22" width="20.5" customWidth="1"/>
    <col min="24" max="24" width="22.33203125" style="4" customWidth="1"/>
    <col min="25" max="25" width="26.83203125" customWidth="1"/>
    <col min="27" max="27" width="23.5" customWidth="1"/>
  </cols>
  <sheetData>
    <row r="1" spans="1:27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2" t="s">
        <v>9</v>
      </c>
      <c r="K1" s="16" t="s">
        <v>10</v>
      </c>
      <c r="L1" s="23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24" t="s">
        <v>23</v>
      </c>
      <c r="Y1" s="25" t="s">
        <v>24</v>
      </c>
    </row>
    <row r="2" spans="1:27">
      <c r="A2" s="16" t="str">
        <f>"EMP"&amp;TEXT(ROW()-1,"000")</f>
        <v>EMP001</v>
      </c>
      <c r="B2" s="16" t="str" cm="1">
        <f t="array" ref="B2" ca="1">IF(D2="Male",INDEX(Lookup!$L$2:$L$13,RANDBETWEEN(1,12)),IF(D2="Female",INDEX(Lookup!$M$2:$M$13,RANDBETWEEN(1,12)),INDEX(Lookup!$N$2:$N$13,RANDBETWEEN(1,12))))</f>
        <v>Quinn</v>
      </c>
      <c r="C2" s="17" t="str" cm="1">
        <f t="array" ref="C2" ca="1">INDEX(Lookup!$K$2:$K$31,RANDBETWEEN(1,30))</f>
        <v>Johnson</v>
      </c>
      <c r="D2" s="16" t="str" cm="1">
        <f t="array" ref="D2" ca="1">INDEX(Lookup!$H$2:$H$4,RANDBETWEEN(1,3))</f>
        <v>Other</v>
      </c>
      <c r="E2" s="16">
        <f ca="1">RANDBETWEEN(21,60)</f>
        <v>47</v>
      </c>
      <c r="F2" s="16" t="str" cm="1">
        <f t="array" ref="F2" ca="1">INDEX(Lookup!$A$2:$A$10,RANDBETWEEN(1,9))</f>
        <v>Sales</v>
      </c>
      <c r="G2" s="16" t="str" cm="1">
        <f t="array" ref="G2" ca="1">_xlfn.LET(_xlpm.Roles,_xlfn._xlws.FILTER(Lookup!$P$2:$P$28,Lookup!$O$2:$O$28=F2),INDEX(_xlpm.Roles,RANDBETWEEN(1,ROWS(_xlpm.Roles))))</f>
        <v>Business Development Executive</v>
      </c>
      <c r="H2" s="16" t="str" cm="1">
        <f t="array" ref="H2" ca="1">INDEX(Lookup!$B$2:$B$7,RANDBETWEEN(1,6))</f>
        <v>Belfast</v>
      </c>
      <c r="I2" s="22">
        <f t="shared" ref="I2:I65" ca="1" si="0">DATE(RANDBETWEEN(2018,2025),RANDBETWEEN(1,12),RANDBETWEEN(1,28))</f>
        <v>44706</v>
      </c>
      <c r="J2" s="22">
        <f t="shared" ref="J2:J65" ca="1" si="1">IF(K2="Resigned",I2+RANDBETWEEN(180,2000),"")</f>
        <v>45767</v>
      </c>
      <c r="K2" s="16" t="str">
        <f ca="1">IF(RANDBETWEEN(1,10)&lt;=8,"Active","Resigned")</f>
        <v>Resigned</v>
      </c>
      <c r="L2" s="26">
        <f ca="1">_xlfn.XLOOKUP(G2,Lookup!$P$2:$P$28,Lookup!$Q$2:$Q$28)*(1+MIN(X2*3%,30%))</f>
        <v>49440</v>
      </c>
      <c r="M2" s="24">
        <f ca="1">RANDBETWEEN(1,5)</f>
        <v>5</v>
      </c>
      <c r="N2" s="24">
        <f t="shared" ref="N2:N65" ca="1" si="2">RANDBETWEEN(0,80)</f>
        <v>7</v>
      </c>
      <c r="O2" s="24">
        <f t="shared" ref="O2:O65" ca="1" si="3">RANDBETWEEN(0,20)</f>
        <v>0</v>
      </c>
      <c r="P2" s="24">
        <f t="shared" ref="P2:P65" ca="1" si="4">RANDBETWEEN(0,60)</f>
        <v>50</v>
      </c>
      <c r="Q2" s="16" t="str">
        <f t="shared" ref="Q2:Q65" ca="1" si="5">IF(AND(L2&gt;=4,X2&gt;=2,K2="Active"),"Promoted","Not Promoted")</f>
        <v>Not Promoted</v>
      </c>
      <c r="R2" s="16" t="str" cm="1">
        <f t="array" ref="R2" ca="1">INDEX(Lookup!$E$2:$E$6,RANDBETWEEN(1,5))</f>
        <v>Master's</v>
      </c>
      <c r="S2" s="16" t="str" cm="1">
        <f t="array" ref="S2" ca="1">INDEX(Lookup!$J$2:$J$11,RANDBETWEEN(1,10))</f>
        <v>Emma Wilson</v>
      </c>
      <c r="T2" s="16" t="str">
        <f t="shared" ref="T2:T65" ca="1" si="6">LOWER(B2&amp;"."&amp;C2&amp;"@hranalytics.com")</f>
        <v>quinn.johnson@hranalytics.com</v>
      </c>
      <c r="U2" s="16" t="str">
        <f t="shared" ref="U2:U65" ca="1" si="7">"08"&amp;RANDBETWEEN(3,9)&amp;TEXT(RANDBETWEEN(1000000,9999999),"0000000")</f>
        <v>0849510251</v>
      </c>
      <c r="V2" s="16" t="str" cm="1">
        <f t="array" ref="V2" ca="1">_xlfn.LET(_xlpm.r,RANDBETWEEN(1,100),_xlfn.IFS(_xlpm.r&lt;=70,"Full-Time",_xlpm.r&lt;=85,"Part-Time",_xlpm.r&lt;=95,"Contract",TRUE,"Intern"))</f>
        <v>Part-Time</v>
      </c>
      <c r="W2" s="16" cm="1">
        <f t="array" ref="W2" ca="1">IF(K2&lt;&gt;"Active",0,_xlfn.IFS(M2=5,L2*15%,M2=4,L2*10%,M2=3,L2*5%,M2=2,L2*2%,TRUE,0))</f>
        <v>4944</v>
      </c>
      <c r="X2" s="24">
        <f t="shared" ref="X2:X65" ca="1" si="8">DATEDIF(I2,TODAY(),"Y")</f>
        <v>4</v>
      </c>
      <c r="Y2" s="24">
        <f t="shared" ref="Y2:Y65" ca="1" si="9">RANDBETWEEN(1,3)</f>
        <v>3</v>
      </c>
      <c r="AA2" t="str" cm="1">
        <f t="array" ref="AA2:AA4" ca="1">_xlfn._xlws.FILTER(Lookup!$P$2:$P$28,Lookup!$O$2:$O$28=F2)</f>
        <v>Sales Executive</v>
      </c>
    </row>
    <row r="3" spans="1:27">
      <c r="A3" s="16" t="str">
        <f t="shared" ref="A3:A66" si="10">"EMP"&amp;TEXT(ROW()-1,"000")</f>
        <v>EMP002</v>
      </c>
      <c r="B3" s="16" t="str" cm="1">
        <f t="array" ref="B3" ca="1">IF(D3="Male",INDEX(Lookup!$L$2:$L$13,RANDBETWEEN(1,12)),IF(D3="Female",INDEX(Lookup!$M$2:$M$13,RANDBETWEEN(1,12)),INDEX(Lookup!$N$2:$N$13,RANDBETWEEN(1,12))))</f>
        <v>Casey</v>
      </c>
      <c r="C3" s="16" t="str" cm="1">
        <f t="array" ref="C3" ca="1">INDEX(Lookup!$K$2:$K$31,RANDBETWEEN(1,30))</f>
        <v>White</v>
      </c>
      <c r="D3" s="16" t="str" cm="1">
        <f t="array" ref="D3" ca="1">INDEX(Lookup!$H$2:$H$4,RANDBETWEEN(1,3))</f>
        <v>Other</v>
      </c>
      <c r="E3" s="16">
        <f t="shared" ref="E3:E65" ca="1" si="11">RANDBETWEEN(21,60)</f>
        <v>42</v>
      </c>
      <c r="F3" s="16" t="str" cm="1">
        <f t="array" ref="F3" ca="1">INDEX(Lookup!$A$2:$A$10,RANDBETWEEN(1,9))</f>
        <v>HR</v>
      </c>
      <c r="G3" s="16" t="str" cm="1">
        <f t="array" ref="G3" ca="1">_xlfn.LET(_xlpm.Roles,_xlfn._xlws.FILTER(Lookup!$P$2:$P$28,Lookup!$O$2:$O$28=F3),INDEX(_xlpm.Roles,RANDBETWEEN(1,ROWS(_xlpm.Roles))))</f>
        <v>HR Assistant</v>
      </c>
      <c r="H3" s="16" t="str" cm="1">
        <f t="array" ref="H3" ca="1">INDEX(Lookup!$B$2:$B$7,RANDBETWEEN(1,6))</f>
        <v>Waterford</v>
      </c>
      <c r="I3" s="22">
        <f t="shared" ca="1" si="0"/>
        <v>45181</v>
      </c>
      <c r="J3" s="22" t="str">
        <f t="shared" ca="1" si="1"/>
        <v/>
      </c>
      <c r="K3" s="16" t="str">
        <f t="shared" ref="K3:K65" ca="1" si="12">IF(RANDBETWEEN(1,10)&lt;=8,"Active","Resigned")</f>
        <v>Active</v>
      </c>
      <c r="L3" s="26">
        <f ca="1">_xlfn.XLOOKUP(G3,Lookup!$P$2:$P$28,Lookup!$Q$2:$Q$28)*(1+MIN(X3*3%,30%))</f>
        <v>40120</v>
      </c>
      <c r="M3" s="24">
        <f t="shared" ref="M3:M66" ca="1" si="13">RANDBETWEEN(1,5)</f>
        <v>4</v>
      </c>
      <c r="N3" s="24">
        <f t="shared" ca="1" si="2"/>
        <v>44</v>
      </c>
      <c r="O3" s="24">
        <f t="shared" ca="1" si="3"/>
        <v>13</v>
      </c>
      <c r="P3" s="24">
        <f t="shared" ca="1" si="4"/>
        <v>54</v>
      </c>
      <c r="Q3" s="16" t="str">
        <f t="shared" ca="1" si="5"/>
        <v>Not Promoted</v>
      </c>
      <c r="R3" s="16" t="str" cm="1">
        <f t="array" ref="R3" ca="1">INDEX(Lookup!$E$2:$E$6,RANDBETWEEN(1,5))</f>
        <v>Dipolma</v>
      </c>
      <c r="S3" s="16" t="str" cm="1">
        <f t="array" ref="S3" ca="1">INDEX(Lookup!$J$2:$J$11,RANDBETWEEN(1,10))</f>
        <v>Sophia Martin</v>
      </c>
      <c r="T3" s="16" t="str">
        <f t="shared" ca="1" si="6"/>
        <v>casey.white@hranalytics.com</v>
      </c>
      <c r="U3" s="16" t="str">
        <f t="shared" ca="1" si="7"/>
        <v>0883399749</v>
      </c>
      <c r="V3" s="16" t="str" cm="1">
        <f t="array" ref="V3" ca="1">_xlfn.LET(_xlpm.r,RANDBETWEEN(1,100),_xlfn.IFS(_xlpm.r&lt;=70,"Full-Time",_xlpm.r&lt;=85,"Part-Time",_xlpm.r&lt;=95,"Contract",TRUE,"Intern"))</f>
        <v>Part-Time</v>
      </c>
      <c r="W3" s="16" cm="1">
        <f t="array" ref="W3" ca="1">IF(K3&lt;&gt;"Active",0,_xlfn.IFS(M3=5,L3*15%,M3=4,L3*10%,M3=3,L3*5%,M3=2,L3*2%,TRUE,0))</f>
        <v>0</v>
      </c>
      <c r="X3" s="24">
        <f t="shared" ca="1" si="8"/>
        <v>2</v>
      </c>
      <c r="Y3" s="24">
        <f t="shared" ca="1" si="9"/>
        <v>3</v>
      </c>
      <c r="AA3" t="str">
        <v>Account Manager</v>
      </c>
    </row>
    <row r="4" spans="1:27">
      <c r="A4" s="16" t="str">
        <f t="shared" si="10"/>
        <v>EMP003</v>
      </c>
      <c r="B4" s="16" t="str" cm="1">
        <f t="array" ref="B4" ca="1">IF(D4="Male",INDEX(Lookup!$L$2:$L$13,RANDBETWEEN(1,12)),IF(D4="Female",INDEX(Lookup!$M$2:$M$13,RANDBETWEEN(1,12)),INDEX(Lookup!$N$2:$N$13,RANDBETWEEN(1,12))))</f>
        <v>James</v>
      </c>
      <c r="C4" s="16" t="str" cm="1">
        <f t="array" ref="C4" ca="1">INDEX(Lookup!$K$2:$K$31,RANDBETWEEN(1,30))</f>
        <v>Evans</v>
      </c>
      <c r="D4" s="16" t="str" cm="1">
        <f t="array" ref="D4" ca="1">INDEX(Lookup!$H$2:$H$4,RANDBETWEEN(1,3))</f>
        <v>Male</v>
      </c>
      <c r="E4" s="16">
        <f t="shared" ca="1" si="11"/>
        <v>48</v>
      </c>
      <c r="F4" s="16" t="str" cm="1">
        <f t="array" ref="F4" ca="1">INDEX(Lookup!$A$2:$A$10,RANDBETWEEN(1,9))</f>
        <v>Customer Support</v>
      </c>
      <c r="G4" s="16" t="str" cm="1">
        <f t="array" ref="G4" ca="1">_xlfn.LET(_xlpm.Roles,_xlfn._xlws.FILTER(Lookup!$P$2:$P$28,Lookup!$O$2:$O$28=F4),INDEX(_xlpm.Roles,RANDBETWEEN(1,ROWS(_xlpm.Roles))))</f>
        <v>Customer Success Specialist</v>
      </c>
      <c r="H4" s="16" t="str" cm="1">
        <f t="array" ref="H4" ca="1">INDEX(Lookup!$B$2:$B$7,RANDBETWEEN(1,6))</f>
        <v>Waterford</v>
      </c>
      <c r="I4" s="22">
        <f t="shared" ca="1" si="0"/>
        <v>45902</v>
      </c>
      <c r="J4" s="22" t="str">
        <f t="shared" ca="1" si="1"/>
        <v/>
      </c>
      <c r="K4" s="16" t="str">
        <f t="shared" ca="1" si="12"/>
        <v>Active</v>
      </c>
      <c r="L4" s="26">
        <f ca="1">_xlfn.XLOOKUP(G4,Lookup!$P$2:$P$28,Lookup!$Q$2:$Q$28)*(1+MIN(X4*3%,30%))</f>
        <v>49560</v>
      </c>
      <c r="M4" s="24">
        <f t="shared" ca="1" si="13"/>
        <v>3</v>
      </c>
      <c r="N4" s="24">
        <f t="shared" ca="1" si="2"/>
        <v>79</v>
      </c>
      <c r="O4" s="24">
        <f t="shared" ca="1" si="3"/>
        <v>6</v>
      </c>
      <c r="P4" s="24">
        <f t="shared" ca="1" si="4"/>
        <v>5</v>
      </c>
      <c r="Q4" s="16" t="str">
        <f t="shared" ca="1" si="5"/>
        <v>Promoted</v>
      </c>
      <c r="R4" s="16" t="str" cm="1">
        <f t="array" ref="R4" ca="1">INDEX(Lookup!$E$2:$E$6,RANDBETWEEN(1,5))</f>
        <v>Dipolma</v>
      </c>
      <c r="S4" s="16" t="str" cm="1">
        <f t="array" ref="S4" ca="1">INDEX(Lookup!$J$2:$J$11,RANDBETWEEN(1,10))</f>
        <v>Olivia Smith</v>
      </c>
      <c r="T4" s="16" t="str">
        <f t="shared" ca="1" si="6"/>
        <v>james.evans@hranalytics.com</v>
      </c>
      <c r="U4" s="16" t="str">
        <f t="shared" ca="1" si="7"/>
        <v>0898677519</v>
      </c>
      <c r="V4" s="16" t="str" cm="1">
        <f t="array" ref="V4" ca="1">_xlfn.LET(_xlpm.r,RANDBETWEEN(1,100),_xlfn.IFS(_xlpm.r&lt;=70,"Full-Time",_xlpm.r&lt;=85,"Part-Time",_xlpm.r&lt;=95,"Contract",TRUE,"Intern"))</f>
        <v>Contract</v>
      </c>
      <c r="W4" s="16" cm="1">
        <f t="array" ref="W4" ca="1">IF(K4&lt;&gt;"Active",0,_xlfn.IFS(M4=5,L4*15%,M4=4,L4*10%,M4=3,L4*5%,M4=2,L4*2%,TRUE,0))</f>
        <v>991.2</v>
      </c>
      <c r="X4" s="24">
        <f t="shared" ca="1" si="8"/>
        <v>0</v>
      </c>
      <c r="Y4" s="24">
        <f t="shared" ca="1" si="9"/>
        <v>1</v>
      </c>
      <c r="AA4" t="str">
        <v>Business Development Executive</v>
      </c>
    </row>
    <row r="5" spans="1:27">
      <c r="A5" s="16" t="str">
        <f t="shared" si="10"/>
        <v>EMP004</v>
      </c>
      <c r="B5" s="16" t="str" cm="1">
        <f t="array" ref="B5" ca="1">IF(D5="Male",INDEX(Lookup!$L$2:$L$13,RANDBETWEEN(1,12)),IF(D5="Female",INDEX(Lookup!$M$2:$M$13,RANDBETWEEN(1,12)),INDEX(Lookup!$N$2:$N$13,RANDBETWEEN(1,12))))</f>
        <v>Morgan</v>
      </c>
      <c r="C5" s="16" t="str" cm="1">
        <f t="array" ref="C5" ca="1">INDEX(Lookup!$K$2:$K$31,RANDBETWEEN(1,30))</f>
        <v>Wilson</v>
      </c>
      <c r="D5" s="16" t="str" cm="1">
        <f t="array" ref="D5" ca="1">INDEX(Lookup!$H$2:$H$4,RANDBETWEEN(1,3))</f>
        <v>Other</v>
      </c>
      <c r="E5" s="16">
        <f t="shared" ca="1" si="11"/>
        <v>38</v>
      </c>
      <c r="F5" s="16" t="str" cm="1">
        <f t="array" ref="F5" ca="1">INDEX(Lookup!$A$2:$A$10,RANDBETWEEN(1,9))</f>
        <v>Customer Support</v>
      </c>
      <c r="G5" s="16" t="str" cm="1">
        <f t="array" ref="G5" ca="1">_xlfn.LET(_xlpm.Roles,_xlfn._xlws.FILTER(Lookup!$P$2:$P$28,Lookup!$O$2:$O$28=F5),INDEX(_xlpm.Roles,RANDBETWEEN(1,ROWS(_xlpm.Roles))))</f>
        <v>Customer Support Representative</v>
      </c>
      <c r="H5" s="16" t="str" cm="1">
        <f t="array" ref="H5" ca="1">INDEX(Lookup!$B$2:$B$7,RANDBETWEEN(1,6))</f>
        <v>Limerick</v>
      </c>
      <c r="I5" s="22">
        <f t="shared" ca="1" si="0"/>
        <v>44066</v>
      </c>
      <c r="J5" s="22" t="str">
        <f t="shared" ca="1" si="1"/>
        <v/>
      </c>
      <c r="K5" s="16" t="str">
        <f t="shared" ca="1" si="12"/>
        <v>Active</v>
      </c>
      <c r="L5" s="26">
        <f ca="1">_xlfn.XLOOKUP(G5,Lookup!$P$2:$P$28,Lookup!$Q$2:$Q$28)*(1+MIN(X5*3%,30%))</f>
        <v>38160</v>
      </c>
      <c r="M5" s="24">
        <f t="shared" ca="1" si="13"/>
        <v>2</v>
      </c>
      <c r="N5" s="24">
        <f t="shared" ca="1" si="2"/>
        <v>30</v>
      </c>
      <c r="O5" s="24">
        <f t="shared" ca="1" si="3"/>
        <v>16</v>
      </c>
      <c r="P5" s="24">
        <f t="shared" ca="1" si="4"/>
        <v>32</v>
      </c>
      <c r="Q5" s="16" t="str">
        <f t="shared" ca="1" si="5"/>
        <v>Promoted</v>
      </c>
      <c r="R5" s="16" t="str" cm="1">
        <f t="array" ref="R5" ca="1">INDEX(Lookup!$E$2:$E$6,RANDBETWEEN(1,5))</f>
        <v>High School</v>
      </c>
      <c r="S5" s="16" t="str" cm="1">
        <f t="array" ref="S5" ca="1">INDEX(Lookup!$J$2:$J$11,RANDBETWEEN(1,10))</f>
        <v>Michael Brown</v>
      </c>
      <c r="T5" s="16" t="str">
        <f t="shared" ca="1" si="6"/>
        <v>morgan.wilson@hranalytics.com</v>
      </c>
      <c r="U5" s="16" t="str">
        <f t="shared" ca="1" si="7"/>
        <v>0848094228</v>
      </c>
      <c r="V5" s="16" t="str" cm="1">
        <f t="array" ref="V5" ca="1">_xlfn.LET(_xlpm.r,RANDBETWEEN(1,100),_xlfn.IFS(_xlpm.r&lt;=70,"Full-Time",_xlpm.r&lt;=85,"Part-Time",_xlpm.r&lt;=95,"Contract",TRUE,"Intern"))</f>
        <v>Part-Time</v>
      </c>
      <c r="W5" s="16" cm="1">
        <f t="array" ref="W5" ca="1">IF(K5&lt;&gt;"Active",0,_xlfn.IFS(M5=5,L5*15%,M5=4,L5*10%,M5=3,L5*5%,M5=2,L5*2%,TRUE,0))</f>
        <v>5724</v>
      </c>
      <c r="X5" s="24">
        <f t="shared" ca="1" si="8"/>
        <v>6</v>
      </c>
      <c r="Y5" s="24">
        <f t="shared" ca="1" si="9"/>
        <v>1</v>
      </c>
    </row>
    <row r="6" spans="1:27">
      <c r="A6" s="16" t="str">
        <f t="shared" si="10"/>
        <v>EMP005</v>
      </c>
      <c r="B6" s="16" t="str" cm="1">
        <f t="array" ref="B6" ca="1">IF(D6="Male",INDEX(Lookup!$L$2:$L$13,RANDBETWEEN(1,12)),IF(D6="Female",INDEX(Lookup!$M$2:$M$13,RANDBETWEEN(1,12)),INDEX(Lookup!$N$2:$N$13,RANDBETWEEN(1,12))))</f>
        <v>Emily</v>
      </c>
      <c r="C6" s="16" t="str" cm="1">
        <f t="array" ref="C6" ca="1">INDEX(Lookup!$K$2:$K$31,RANDBETWEEN(1,30))</f>
        <v>Campbell</v>
      </c>
      <c r="D6" s="16" t="str" cm="1">
        <f t="array" ref="D6" ca="1">INDEX(Lookup!$H$2:$H$4,RANDBETWEEN(1,3))</f>
        <v>Female</v>
      </c>
      <c r="E6" s="16">
        <f t="shared" ca="1" si="11"/>
        <v>46</v>
      </c>
      <c r="F6" s="16" t="str" cm="1">
        <f t="array" ref="F6" ca="1">INDEX(Lookup!$A$2:$A$10,RANDBETWEEN(1,9))</f>
        <v>Legal</v>
      </c>
      <c r="G6" s="16" t="str" cm="1">
        <f t="array" ref="G6" ca="1">_xlfn.LET(_xlpm.Roles,_xlfn._xlws.FILTER(Lookup!$P$2:$P$28,Lookup!$O$2:$O$28=F6),INDEX(_xlpm.Roles,RANDBETWEEN(1,ROWS(_xlpm.Roles))))</f>
        <v>Legal Assistant</v>
      </c>
      <c r="H6" s="16" t="str" cm="1">
        <f t="array" ref="H6" ca="1">INDEX(Lookup!$B$2:$B$7,RANDBETWEEN(1,6))</f>
        <v>Galway</v>
      </c>
      <c r="I6" s="22">
        <f t="shared" ca="1" si="0"/>
        <v>44220</v>
      </c>
      <c r="J6" s="22" t="str">
        <f t="shared" ca="1" si="1"/>
        <v/>
      </c>
      <c r="K6" s="16" t="str">
        <f t="shared" ca="1" si="12"/>
        <v>Active</v>
      </c>
      <c r="L6" s="26">
        <f ca="1">_xlfn.XLOOKUP(G6,Lookup!$P$2:$P$28,Lookup!$Q$2:$Q$28)*(1+MIN(X6*3%,30%))</f>
        <v>49560</v>
      </c>
      <c r="M6" s="24">
        <f t="shared" ca="1" si="13"/>
        <v>4</v>
      </c>
      <c r="N6" s="24">
        <f t="shared" ca="1" si="2"/>
        <v>39</v>
      </c>
      <c r="O6" s="24">
        <f t="shared" ca="1" si="3"/>
        <v>8</v>
      </c>
      <c r="P6" s="24">
        <f t="shared" ca="1" si="4"/>
        <v>47</v>
      </c>
      <c r="Q6" s="16" t="str">
        <f t="shared" ca="1" si="5"/>
        <v>Not Promoted</v>
      </c>
      <c r="R6" s="16" t="str" cm="1">
        <f t="array" ref="R6" ca="1">INDEX(Lookup!$E$2:$E$6,RANDBETWEEN(1,5))</f>
        <v>Dipolma</v>
      </c>
      <c r="S6" s="16" t="str" cm="1">
        <f t="array" ref="S6" ca="1">INDEX(Lookup!$J$2:$J$11,RANDBETWEEN(1,10))</f>
        <v>Sophia Martin</v>
      </c>
      <c r="T6" s="16" t="str">
        <f t="shared" ca="1" si="6"/>
        <v>emily.campbell@hranalytics.com</v>
      </c>
      <c r="U6" s="16" t="str">
        <f t="shared" ca="1" si="7"/>
        <v>0897260195</v>
      </c>
      <c r="V6" s="16" t="str" cm="1">
        <f t="array" ref="V6" ca="1">_xlfn.LET(_xlpm.r,RANDBETWEEN(1,100),_xlfn.IFS(_xlpm.r&lt;=70,"Full-Time",_xlpm.r&lt;=85,"Part-Time",_xlpm.r&lt;=95,"Contract",TRUE,"Intern"))</f>
        <v>Full-Time</v>
      </c>
      <c r="W6" s="16" cm="1">
        <f t="array" ref="W6" ca="1">IF(K6&lt;&gt;"Active",0,_xlfn.IFS(M6=5,L6*15%,M6=4,L6*10%,M6=3,L6*5%,M6=2,L6*2%,TRUE,0))</f>
        <v>0</v>
      </c>
      <c r="X6" s="24">
        <f t="shared" ca="1" si="8"/>
        <v>5</v>
      </c>
      <c r="Y6" s="24">
        <f t="shared" ca="1" si="9"/>
        <v>2</v>
      </c>
    </row>
    <row r="7" spans="1:27">
      <c r="A7" s="16" t="str">
        <f t="shared" si="10"/>
        <v>EMP006</v>
      </c>
      <c r="B7" s="16" t="str" cm="1">
        <f t="array" ref="B7" ca="1">IF(D7="Male",INDEX(Lookup!$L$2:$L$13,RANDBETWEEN(1,12)),IF(D7="Female",INDEX(Lookup!$M$2:$M$13,RANDBETWEEN(1,12)),INDEX(Lookup!$N$2:$N$13,RANDBETWEEN(1,12))))</f>
        <v>Robin</v>
      </c>
      <c r="C7" s="16" t="str" cm="1">
        <f t="array" ref="C7" ca="1">INDEX(Lookup!$K$2:$K$31,RANDBETWEEN(1,30))</f>
        <v>Green</v>
      </c>
      <c r="D7" s="16" t="str" cm="1">
        <f t="array" ref="D7" ca="1">INDEX(Lookup!$H$2:$H$4,RANDBETWEEN(1,3))</f>
        <v>Other</v>
      </c>
      <c r="E7" s="16">
        <f t="shared" ca="1" si="11"/>
        <v>51</v>
      </c>
      <c r="F7" s="16" t="str" cm="1">
        <f t="array" ref="F7" ca="1">INDEX(Lookup!$A$2:$A$10,RANDBETWEEN(1,9))</f>
        <v>Operations</v>
      </c>
      <c r="G7" s="16" t="str" cm="1">
        <f t="array" ref="G7" ca="1">_xlfn.LET(_xlpm.Roles,_xlfn._xlws.FILTER(Lookup!$P$2:$P$28,Lookup!$O$2:$O$28=F7),INDEX(_xlpm.Roles,RANDBETWEEN(1,ROWS(_xlpm.Roles))))</f>
        <v>Operations Executive</v>
      </c>
      <c r="H7" s="16" t="str" cm="1">
        <f t="array" ref="H7" ca="1">INDEX(Lookup!$B$2:$B$7,RANDBETWEEN(1,6))</f>
        <v>Limerick</v>
      </c>
      <c r="I7" s="22">
        <f t="shared" ca="1" si="0"/>
        <v>43691</v>
      </c>
      <c r="J7" s="22" t="str">
        <f t="shared" ca="1" si="1"/>
        <v/>
      </c>
      <c r="K7" s="16" t="str">
        <f t="shared" ca="1" si="12"/>
        <v>Active</v>
      </c>
      <c r="L7" s="26">
        <f ca="1">_xlfn.XLOOKUP(G7,Lookup!$P$2:$P$28,Lookup!$Q$2:$Q$28)*(1+MIN(X7*3%,30%))</f>
        <v>48300</v>
      </c>
      <c r="M7" s="24">
        <f t="shared" ca="1" si="13"/>
        <v>3</v>
      </c>
      <c r="N7" s="24">
        <f t="shared" ca="1" si="2"/>
        <v>31</v>
      </c>
      <c r="O7" s="24">
        <f t="shared" ca="1" si="3"/>
        <v>0</v>
      </c>
      <c r="P7" s="24">
        <f t="shared" ca="1" si="4"/>
        <v>18</v>
      </c>
      <c r="Q7" s="16" t="str">
        <f t="shared" ca="1" si="5"/>
        <v>Promoted</v>
      </c>
      <c r="R7" s="16" t="str" cm="1">
        <f t="array" ref="R7" ca="1">INDEX(Lookup!$E$2:$E$6,RANDBETWEEN(1,5))</f>
        <v>Dipolma</v>
      </c>
      <c r="S7" s="16" t="str" cm="1">
        <f t="array" ref="S7" ca="1">INDEX(Lookup!$J$2:$J$11,RANDBETWEEN(1,10))</f>
        <v>Emma Wilson</v>
      </c>
      <c r="T7" s="16" t="str">
        <f t="shared" ca="1" si="6"/>
        <v>robin.green@hranalytics.com</v>
      </c>
      <c r="U7" s="16" t="str">
        <f t="shared" ca="1" si="7"/>
        <v>0898071866</v>
      </c>
      <c r="V7" s="16" t="str" cm="1">
        <f t="array" ref="V7" ca="1">_xlfn.LET(_xlpm.r,RANDBETWEEN(1,100),_xlfn.IFS(_xlpm.r&lt;=70,"Full-Time",_xlpm.r&lt;=85,"Part-Time",_xlpm.r&lt;=95,"Contract",TRUE,"Intern"))</f>
        <v>Full-Time</v>
      </c>
      <c r="W7" s="16" cm="1">
        <f t="array" ref="W7" ca="1">IF(K7&lt;&gt;"Active",0,_xlfn.IFS(M7=5,L7*15%,M7=4,L7*10%,M7=3,L7*5%,M7=2,L7*2%,TRUE,0))</f>
        <v>4830</v>
      </c>
      <c r="X7" s="24">
        <f t="shared" ca="1" si="8"/>
        <v>7</v>
      </c>
      <c r="Y7" s="24">
        <f t="shared" ca="1" si="9"/>
        <v>1</v>
      </c>
    </row>
    <row r="8" spans="1:27">
      <c r="A8" s="16" t="str">
        <f t="shared" si="10"/>
        <v>EMP007</v>
      </c>
      <c r="B8" s="16" t="str" cm="1">
        <f t="array" ref="B8" ca="1">IF(D8="Male",INDEX(Lookup!$L$2:$L$13,RANDBETWEEN(1,12)),IF(D8="Female",INDEX(Lookup!$M$2:$M$13,RANDBETWEEN(1,12)),INDEX(Lookup!$N$2:$N$13,RANDBETWEEN(1,12))))</f>
        <v>John</v>
      </c>
      <c r="C8" s="16" t="str" cm="1">
        <f t="array" ref="C8" ca="1">INDEX(Lookup!$K$2:$K$31,RANDBETWEEN(1,30))</f>
        <v>Hill</v>
      </c>
      <c r="D8" s="16" t="str" cm="1">
        <f t="array" ref="D8" ca="1">INDEX(Lookup!$H$2:$H$4,RANDBETWEEN(1,3))</f>
        <v>Male</v>
      </c>
      <c r="E8" s="16">
        <f t="shared" ca="1" si="11"/>
        <v>48</v>
      </c>
      <c r="F8" s="16" t="str" cm="1">
        <f t="array" ref="F8" ca="1">INDEX(Lookup!$A$2:$A$10,RANDBETWEEN(1,9))</f>
        <v>Operations</v>
      </c>
      <c r="G8" s="16" t="str" cm="1">
        <f t="array" ref="G8" ca="1">_xlfn.LET(_xlpm.Roles,_xlfn._xlws.FILTER(Lookup!$P$2:$P$28,Lookup!$O$2:$O$28=F8),INDEX(_xlpm.Roles,RANDBETWEEN(1,ROWS(_xlpm.Roles))))</f>
        <v>Operations Coordinator</v>
      </c>
      <c r="H8" s="16" t="str" cm="1">
        <f t="array" ref="H8" ca="1">INDEX(Lookup!$B$2:$B$7,RANDBETWEEN(1,6))</f>
        <v>Cork</v>
      </c>
      <c r="I8" s="22">
        <f t="shared" ca="1" si="0"/>
        <v>44113</v>
      </c>
      <c r="J8" s="22" t="str">
        <f t="shared" ca="1" si="1"/>
        <v/>
      </c>
      <c r="K8" s="16" t="str">
        <f t="shared" ca="1" si="12"/>
        <v>Active</v>
      </c>
      <c r="L8" s="26">
        <f ca="1">_xlfn.XLOOKUP(G8,Lookup!$P$2:$P$28,Lookup!$Q$2:$Q$28)*(1+MIN(X8*3%,30%))</f>
        <v>53100</v>
      </c>
      <c r="M8" s="24">
        <f t="shared" ca="1" si="13"/>
        <v>2</v>
      </c>
      <c r="N8" s="24">
        <f t="shared" ca="1" si="2"/>
        <v>2</v>
      </c>
      <c r="O8" s="24">
        <f t="shared" ca="1" si="3"/>
        <v>1</v>
      </c>
      <c r="P8" s="24">
        <f t="shared" ca="1" si="4"/>
        <v>47</v>
      </c>
      <c r="Q8" s="16" t="str">
        <f t="shared" ca="1" si="5"/>
        <v>Promoted</v>
      </c>
      <c r="R8" s="16" t="str" cm="1">
        <f t="array" ref="R8" ca="1">INDEX(Lookup!$E$2:$E$6,RANDBETWEEN(1,5))</f>
        <v>Dipolma</v>
      </c>
      <c r="S8" s="16" t="str" cm="1">
        <f t="array" ref="S8" ca="1">INDEX(Lookup!$J$2:$J$11,RANDBETWEEN(1,10))</f>
        <v>James Taylor</v>
      </c>
      <c r="T8" s="16" t="str">
        <f t="shared" ca="1" si="6"/>
        <v>john.hill@hranalytics.com</v>
      </c>
      <c r="U8" s="16" t="str">
        <f t="shared" ca="1" si="7"/>
        <v>0896298878</v>
      </c>
      <c r="V8" s="16" t="str" cm="1">
        <f t="array" ref="V8" ca="1">_xlfn.LET(_xlpm.r,RANDBETWEEN(1,100),_xlfn.IFS(_xlpm.r&lt;=70,"Full-Time",_xlpm.r&lt;=85,"Part-Time",_xlpm.r&lt;=95,"Contract",TRUE,"Intern"))</f>
        <v>Full-Time</v>
      </c>
      <c r="W8" s="16" cm="1">
        <f t="array" ref="W8" ca="1">IF(K8&lt;&gt;"Active",0,_xlfn.IFS(M8=5,L8*15%,M8=4,L8*10%,M8=3,L8*5%,M8=2,L8*2%,TRUE,0))</f>
        <v>7965</v>
      </c>
      <c r="X8" s="24">
        <f t="shared" ca="1" si="8"/>
        <v>5</v>
      </c>
      <c r="Y8" s="24">
        <f t="shared" ca="1" si="9"/>
        <v>1</v>
      </c>
    </row>
    <row r="9" spans="1:27">
      <c r="A9" s="16" t="str">
        <f t="shared" si="10"/>
        <v>EMP008</v>
      </c>
      <c r="B9" s="16" t="str" cm="1">
        <f t="array" ref="B9" ca="1">IF(D9="Male",INDEX(Lookup!$L$2:$L$13,RANDBETWEEN(1,12)),IF(D9="Female",INDEX(Lookup!$M$2:$M$13,RANDBETWEEN(1,12)),INDEX(Lookup!$N$2:$N$13,RANDBETWEEN(1,12))))</f>
        <v>Ella</v>
      </c>
      <c r="C9" s="16" t="str" cm="1">
        <f t="array" ref="C9" ca="1">INDEX(Lookup!$K$2:$K$31,RANDBETWEEN(1,30))</f>
        <v>Johnson</v>
      </c>
      <c r="D9" s="16" t="str" cm="1">
        <f t="array" ref="D9" ca="1">INDEX(Lookup!$H$2:$H$4,RANDBETWEEN(1,3))</f>
        <v>Female</v>
      </c>
      <c r="E9" s="16">
        <f t="shared" ca="1" si="11"/>
        <v>27</v>
      </c>
      <c r="F9" s="16" t="str" cm="1">
        <f t="array" ref="F9" ca="1">INDEX(Lookup!$A$2:$A$10,RANDBETWEEN(1,9))</f>
        <v>Marketing</v>
      </c>
      <c r="G9" s="16" t="str" cm="1">
        <f t="array" ref="G9" ca="1">_xlfn.LET(_xlpm.Roles,_xlfn._xlws.FILTER(Lookup!$P$2:$P$28,Lookup!$O$2:$O$28=F9),INDEX(_xlpm.Roles,RANDBETWEEN(1,ROWS(_xlpm.Roles))))</f>
        <v>Brand Executive</v>
      </c>
      <c r="H9" s="16" t="str" cm="1">
        <f t="array" ref="H9" ca="1">INDEX(Lookup!$B$2:$B$7,RANDBETWEEN(1,6))</f>
        <v>Cork</v>
      </c>
      <c r="I9" s="22">
        <f t="shared" ca="1" si="0"/>
        <v>45915</v>
      </c>
      <c r="J9" s="22">
        <f t="shared" ca="1" si="1"/>
        <v>46891</v>
      </c>
      <c r="K9" s="16" t="str">
        <f t="shared" ca="1" si="12"/>
        <v>Resigned</v>
      </c>
      <c r="L9" s="26">
        <f ca="1">_xlfn.XLOOKUP(G9,Lookup!$P$2:$P$28,Lookup!$Q$2:$Q$28)*(1+MIN(X9*3%,30%))</f>
        <v>51520</v>
      </c>
      <c r="M9" s="24">
        <f t="shared" ca="1" si="13"/>
        <v>5</v>
      </c>
      <c r="N9" s="24">
        <f t="shared" ca="1" si="2"/>
        <v>9</v>
      </c>
      <c r="O9" s="24">
        <f t="shared" ca="1" si="3"/>
        <v>14</v>
      </c>
      <c r="P9" s="24">
        <f t="shared" ca="1" si="4"/>
        <v>26</v>
      </c>
      <c r="Q9" s="16" t="str">
        <f t="shared" ca="1" si="5"/>
        <v>Promoted</v>
      </c>
      <c r="R9" s="16" t="str" cm="1">
        <f t="array" ref="R9" ca="1">INDEX(Lookup!$E$2:$E$6,RANDBETWEEN(1,5))</f>
        <v>Bachelor's</v>
      </c>
      <c r="S9" s="16" t="str" cm="1">
        <f t="array" ref="S9" ca="1">INDEX(Lookup!$J$2:$J$11,RANDBETWEEN(1,10))</f>
        <v>Sophia Martin</v>
      </c>
      <c r="T9" s="16" t="str">
        <f t="shared" ca="1" si="6"/>
        <v>ella.johnson@hranalytics.com</v>
      </c>
      <c r="U9" s="16" t="str">
        <f t="shared" ca="1" si="7"/>
        <v>0862295218</v>
      </c>
      <c r="V9" s="16" t="str" cm="1">
        <f t="array" ref="V9" ca="1">_xlfn.LET(_xlpm.r,RANDBETWEEN(1,100),_xlfn.IFS(_xlpm.r&lt;=70,"Full-Time",_xlpm.r&lt;=85,"Part-Time",_xlpm.r&lt;=95,"Contract",TRUE,"Intern"))</f>
        <v>Part-Time</v>
      </c>
      <c r="W9" s="16" cm="1">
        <f t="array" ref="W9" ca="1">IF(K9&lt;&gt;"Active",0,_xlfn.IFS(M9=5,L9*15%,M9=4,L9*10%,M9=3,L9*5%,M9=2,L9*2%,TRUE,0))</f>
        <v>5152</v>
      </c>
      <c r="X9" s="24">
        <f t="shared" ca="1" si="8"/>
        <v>0</v>
      </c>
      <c r="Y9" s="24">
        <f t="shared" ca="1" si="9"/>
        <v>1</v>
      </c>
    </row>
    <row r="10" spans="1:27">
      <c r="A10" s="16" t="str">
        <f t="shared" si="10"/>
        <v>EMP009</v>
      </c>
      <c r="B10" s="16" t="str" cm="1">
        <f t="array" ref="B10" ca="1">IF(D10="Male",INDEX(Lookup!$L$2:$L$13,RANDBETWEEN(1,12)),IF(D10="Female",INDEX(Lookup!$M$2:$M$13,RANDBETWEEN(1,12)),INDEX(Lookup!$N$2:$N$13,RANDBETWEEN(1,12))))</f>
        <v>Isabella</v>
      </c>
      <c r="C10" s="16" t="str" cm="1">
        <f t="array" ref="C10" ca="1">INDEX(Lookup!$K$2:$K$31,RANDBETWEEN(1,30))</f>
        <v>Edwards</v>
      </c>
      <c r="D10" s="16" t="str" cm="1">
        <f t="array" ref="D10" ca="1">INDEX(Lookup!$H$2:$H$4,RANDBETWEEN(1,3))</f>
        <v>Female</v>
      </c>
      <c r="E10" s="16">
        <f t="shared" ca="1" si="11"/>
        <v>21</v>
      </c>
      <c r="F10" s="16" t="str" cm="1">
        <f t="array" ref="F10" ca="1">INDEX(Lookup!$A$2:$A$10,RANDBETWEEN(1,9))</f>
        <v>Procurement</v>
      </c>
      <c r="G10" s="16" t="str" cm="1">
        <f t="array" ref="G10" ca="1">_xlfn.LET(_xlpm.Roles,_xlfn._xlws.FILTER(Lookup!$P$2:$P$28,Lookup!$O$2:$O$28=F10),INDEX(_xlpm.Roles,RANDBETWEEN(1,ROWS(_xlpm.Roles))))</f>
        <v>Purchasing Executive</v>
      </c>
      <c r="H10" s="16" t="str" cm="1">
        <f t="array" ref="H10" ca="1">INDEX(Lookup!$B$2:$B$7,RANDBETWEEN(1,6))</f>
        <v>Waterford</v>
      </c>
      <c r="I10" s="22">
        <f t="shared" ca="1" si="0"/>
        <v>44666</v>
      </c>
      <c r="J10" s="22" t="str">
        <f t="shared" ca="1" si="1"/>
        <v/>
      </c>
      <c r="K10" s="16" t="str">
        <f t="shared" ca="1" si="12"/>
        <v>Active</v>
      </c>
      <c r="L10" s="26">
        <f ca="1">_xlfn.XLOOKUP(G10,Lookup!$P$2:$P$28,Lookup!$Q$2:$Q$28)*(1+MIN(X10*3%,30%))</f>
        <v>44520</v>
      </c>
      <c r="M10" s="24">
        <f t="shared" ca="1" si="13"/>
        <v>1</v>
      </c>
      <c r="N10" s="24">
        <f t="shared" ca="1" si="2"/>
        <v>53</v>
      </c>
      <c r="O10" s="24">
        <f t="shared" ca="1" si="3"/>
        <v>20</v>
      </c>
      <c r="P10" s="24">
        <f t="shared" ca="1" si="4"/>
        <v>45</v>
      </c>
      <c r="Q10" s="16" t="str">
        <f t="shared" ca="1" si="5"/>
        <v>Promoted</v>
      </c>
      <c r="R10" s="16" t="str" cm="1">
        <f t="array" ref="R10" ca="1">INDEX(Lookup!$E$2:$E$6,RANDBETWEEN(1,5))</f>
        <v>Bachelor's</v>
      </c>
      <c r="S10" s="16" t="str" cm="1">
        <f t="array" ref="S10" ca="1">INDEX(Lookup!$J$2:$J$11,RANDBETWEEN(1,10))</f>
        <v>Liam Byrne</v>
      </c>
      <c r="T10" s="16" t="str">
        <f t="shared" ca="1" si="6"/>
        <v>isabella.edwards@hranalytics.com</v>
      </c>
      <c r="U10" s="16" t="str">
        <f t="shared" ca="1" si="7"/>
        <v>0838060506</v>
      </c>
      <c r="V10" s="16" t="str" cm="1">
        <f t="array" ref="V10" ca="1">_xlfn.LET(_xlpm.r,RANDBETWEEN(1,100),_xlfn.IFS(_xlpm.r&lt;=70,"Full-Time",_xlpm.r&lt;=85,"Part-Time",_xlpm.r&lt;=95,"Contract",TRUE,"Intern"))</f>
        <v>Part-Time</v>
      </c>
      <c r="W10" s="16" cm="1">
        <f t="array" ref="W10" ca="1">IF(K10&lt;&gt;"Active",0,_xlfn.IFS(M10=5,L10*15%,M10=4,L10*10%,M10=3,L10*5%,M10=2,L10*2%,TRUE,0))</f>
        <v>4452</v>
      </c>
      <c r="X10" s="24">
        <f t="shared" ca="1" si="8"/>
        <v>4</v>
      </c>
      <c r="Y10" s="24">
        <f t="shared" ca="1" si="9"/>
        <v>2</v>
      </c>
    </row>
    <row r="11" spans="1:27">
      <c r="A11" s="16" t="str">
        <f t="shared" si="10"/>
        <v>EMP010</v>
      </c>
      <c r="B11" s="16" t="str" cm="1">
        <f t="array" ref="B11" ca="1">IF(D11="Male",INDEX(Lookup!$L$2:$L$13,RANDBETWEEN(1,12)),IF(D11="Female",INDEX(Lookup!$M$2:$M$13,RANDBETWEEN(1,12)),INDEX(Lookup!$N$2:$N$13,RANDBETWEEN(1,12))))</f>
        <v>Cameron</v>
      </c>
      <c r="C11" s="16" t="str" cm="1">
        <f t="array" ref="C11" ca="1">INDEX(Lookup!$K$2:$K$31,RANDBETWEEN(1,30))</f>
        <v>Murphy</v>
      </c>
      <c r="D11" s="16" t="str" cm="1">
        <f t="array" ref="D11" ca="1">INDEX(Lookup!$H$2:$H$4,RANDBETWEEN(1,3))</f>
        <v>Other</v>
      </c>
      <c r="E11" s="16">
        <f t="shared" ca="1" si="11"/>
        <v>31</v>
      </c>
      <c r="F11" s="16" t="str" cm="1">
        <f t="array" ref="F11" ca="1">INDEX(Lookup!$A$2:$A$10,RANDBETWEEN(1,9))</f>
        <v>Legal</v>
      </c>
      <c r="G11" s="16" t="str" cm="1">
        <f t="array" ref="G11" ca="1">_xlfn.LET(_xlpm.Roles,_xlfn._xlws.FILTER(Lookup!$P$2:$P$28,Lookup!$O$2:$O$28=F11),INDEX(_xlpm.Roles,RANDBETWEEN(1,ROWS(_xlpm.Roles))))</f>
        <v>Legal Assistant</v>
      </c>
      <c r="H11" s="16" t="str" cm="1">
        <f t="array" ref="H11" ca="1">INDEX(Lookup!$B$2:$B$7,RANDBETWEEN(1,6))</f>
        <v>Belfast</v>
      </c>
      <c r="I11" s="22">
        <f t="shared" ca="1" si="0"/>
        <v>43498</v>
      </c>
      <c r="J11" s="22" t="str">
        <f t="shared" ca="1" si="1"/>
        <v/>
      </c>
      <c r="K11" s="16" t="str">
        <f t="shared" ca="1" si="12"/>
        <v>Active</v>
      </c>
      <c r="L11" s="26">
        <f ca="1">_xlfn.XLOOKUP(G11,Lookup!$P$2:$P$28,Lookup!$Q$2:$Q$28)*(1+MIN(X11*3%,30%))</f>
        <v>47040</v>
      </c>
      <c r="M11" s="24">
        <f t="shared" ca="1" si="13"/>
        <v>2</v>
      </c>
      <c r="N11" s="24">
        <f t="shared" ca="1" si="2"/>
        <v>34</v>
      </c>
      <c r="O11" s="24">
        <f t="shared" ca="1" si="3"/>
        <v>16</v>
      </c>
      <c r="P11" s="24">
        <f t="shared" ca="1" si="4"/>
        <v>53</v>
      </c>
      <c r="Q11" s="16" t="str">
        <f t="shared" ca="1" si="5"/>
        <v>Promoted</v>
      </c>
      <c r="R11" s="16" t="str" cm="1">
        <f t="array" ref="R11" ca="1">INDEX(Lookup!$E$2:$E$6,RANDBETWEEN(1,5))</f>
        <v>PhD</v>
      </c>
      <c r="S11" s="16" t="str" cm="1">
        <f t="array" ref="S11" ca="1">INDEX(Lookup!$J$2:$J$11,RANDBETWEEN(1,10))</f>
        <v>David Murphy</v>
      </c>
      <c r="T11" s="16" t="str">
        <f t="shared" ca="1" si="6"/>
        <v>cameron.murphy@hranalytics.com</v>
      </c>
      <c r="U11" s="16" t="str">
        <f t="shared" ca="1" si="7"/>
        <v>0896803531</v>
      </c>
      <c r="V11" s="16" t="str" cm="1">
        <f t="array" ref="V11" ca="1">_xlfn.LET(_xlpm.r,RANDBETWEEN(1,100),_xlfn.IFS(_xlpm.r&lt;=70,"Full-Time",_xlpm.r&lt;=85,"Part-Time",_xlpm.r&lt;=95,"Contract",TRUE,"Intern"))</f>
        <v>Full-Time</v>
      </c>
      <c r="W11" s="16" cm="1">
        <f t="array" ref="W11" ca="1">IF(K11&lt;&gt;"Active",0,_xlfn.IFS(M11=5,L11*15%,M11=4,L11*10%,M11=3,L11*5%,M11=2,L11*2%,TRUE,0))</f>
        <v>2352</v>
      </c>
      <c r="X11" s="24">
        <f t="shared" ca="1" si="8"/>
        <v>7</v>
      </c>
      <c r="Y11" s="24">
        <f t="shared" ca="1" si="9"/>
        <v>3</v>
      </c>
    </row>
    <row r="12" spans="1:27">
      <c r="A12" s="16" t="str">
        <f t="shared" si="10"/>
        <v>EMP011</v>
      </c>
      <c r="B12" s="16" t="str" cm="1">
        <f t="array" ref="B12" ca="1">IF(D12="Male",INDEX(Lookup!$L$2:$L$13,RANDBETWEEN(1,12)),IF(D12="Female",INDEX(Lookup!$M$2:$M$13,RANDBETWEEN(1,12)),INDEX(Lookup!$N$2:$N$13,RANDBETWEEN(1,12))))</f>
        <v>William</v>
      </c>
      <c r="C12" s="16" t="str" cm="1">
        <f t="array" ref="C12" ca="1">INDEX(Lookup!$K$2:$K$31,RANDBETWEEN(1,30))</f>
        <v>Edwards</v>
      </c>
      <c r="D12" s="16" t="str" cm="1">
        <f t="array" ref="D12" ca="1">INDEX(Lookup!$H$2:$H$4,RANDBETWEEN(1,3))</f>
        <v>Male</v>
      </c>
      <c r="E12" s="16">
        <f t="shared" ca="1" si="11"/>
        <v>44</v>
      </c>
      <c r="F12" s="16" t="str" cm="1">
        <f t="array" ref="F12" ca="1">INDEX(Lookup!$A$2:$A$10,RANDBETWEEN(1,9))</f>
        <v>IT</v>
      </c>
      <c r="G12" s="16" t="str" cm="1">
        <f t="array" ref="G12" ca="1">_xlfn.LET(_xlpm.Roles,_xlfn._xlws.FILTER(Lookup!$P$2:$P$28,Lookup!$O$2:$O$28=F12),INDEX(_xlpm.Roles,RANDBETWEEN(1,ROWS(_xlpm.Roles))))</f>
        <v>IT Support Specialist</v>
      </c>
      <c r="H12" s="16" t="str" cm="1">
        <f t="array" ref="H12" ca="1">INDEX(Lookup!$B$2:$B$7,RANDBETWEEN(1,6))</f>
        <v>Galway</v>
      </c>
      <c r="I12" s="22">
        <f t="shared" ca="1" si="0"/>
        <v>45538</v>
      </c>
      <c r="J12" s="22" t="str">
        <f t="shared" ca="1" si="1"/>
        <v/>
      </c>
      <c r="K12" s="16" t="str">
        <f t="shared" ca="1" si="12"/>
        <v>Active</v>
      </c>
      <c r="L12" s="26">
        <f ca="1">_xlfn.XLOOKUP(G12,Lookup!$P$2:$P$28,Lookup!$Q$2:$Q$28)*(1+MIN(X12*3%,30%))</f>
        <v>58080</v>
      </c>
      <c r="M12" s="24">
        <f t="shared" ca="1" si="13"/>
        <v>3</v>
      </c>
      <c r="N12" s="24">
        <f t="shared" ca="1" si="2"/>
        <v>29</v>
      </c>
      <c r="O12" s="24">
        <f t="shared" ca="1" si="3"/>
        <v>18</v>
      </c>
      <c r="P12" s="24">
        <f t="shared" ca="1" si="4"/>
        <v>51</v>
      </c>
      <c r="Q12" s="16" t="str">
        <f t="shared" ca="1" si="5"/>
        <v>Not Promoted</v>
      </c>
      <c r="R12" s="16" t="str" cm="1">
        <f t="array" ref="R12" ca="1">INDEX(Lookup!$E$2:$E$6,RANDBETWEEN(1,5))</f>
        <v>High School</v>
      </c>
      <c r="S12" s="16" t="str" cm="1">
        <f t="array" ref="S12" ca="1">INDEX(Lookup!$J$2:$J$11,RANDBETWEEN(1,10))</f>
        <v>Michael Brown</v>
      </c>
      <c r="T12" s="16" t="str">
        <f t="shared" ca="1" si="6"/>
        <v>william.edwards@hranalytics.com</v>
      </c>
      <c r="U12" s="16" t="str">
        <f t="shared" ca="1" si="7"/>
        <v>0859341457</v>
      </c>
      <c r="V12" s="16" t="str" cm="1">
        <f t="array" ref="V12" ca="1">_xlfn.LET(_xlpm.r,RANDBETWEEN(1,100),_xlfn.IFS(_xlpm.r&lt;=70,"Full-Time",_xlpm.r&lt;=85,"Part-Time",_xlpm.r&lt;=95,"Contract",TRUE,"Intern"))</f>
        <v>Full-Time</v>
      </c>
      <c r="W12" s="16" cm="1">
        <f t="array" ref="W12" ca="1">IF(K12&lt;&gt;"Active",0,_xlfn.IFS(M12=5,L12*15%,M12=4,L12*10%,M12=3,L12*5%,M12=2,L12*2%,TRUE,0))</f>
        <v>0</v>
      </c>
      <c r="X12" s="24">
        <f t="shared" ca="1" si="8"/>
        <v>1</v>
      </c>
      <c r="Y12" s="24">
        <f t="shared" ca="1" si="9"/>
        <v>2</v>
      </c>
    </row>
    <row r="13" spans="1:27">
      <c r="A13" s="16" t="str">
        <f t="shared" si="10"/>
        <v>EMP012</v>
      </c>
      <c r="B13" s="16" t="str" cm="1">
        <f t="array" ref="B13" ca="1">IF(D13="Male",INDEX(Lookup!$L$2:$L$13,RANDBETWEEN(1,12)),IF(D13="Female",INDEX(Lookup!$M$2:$M$13,RANDBETWEEN(1,12)),INDEX(Lookup!$N$2:$N$13,RANDBETWEEN(1,12))))</f>
        <v>Skyler</v>
      </c>
      <c r="C13" s="16" t="str" cm="1">
        <f t="array" ref="C13" ca="1">INDEX(Lookup!$K$2:$K$31,RANDBETWEEN(1,30))</f>
        <v>Moore</v>
      </c>
      <c r="D13" s="16" t="str" cm="1">
        <f t="array" ref="D13" ca="1">INDEX(Lookup!$H$2:$H$4,RANDBETWEEN(1,3))</f>
        <v>Other</v>
      </c>
      <c r="E13" s="16">
        <f t="shared" ca="1" si="11"/>
        <v>40</v>
      </c>
      <c r="F13" s="16" t="str" cm="1">
        <f t="array" ref="F13" ca="1">INDEX(Lookup!$A$2:$A$10,RANDBETWEEN(1,9))</f>
        <v>Finance</v>
      </c>
      <c r="G13" s="16" t="str" cm="1">
        <f t="array" ref="G13" ca="1">_xlfn.LET(_xlpm.Roles,_xlfn._xlws.FILTER(Lookup!$P$2:$P$28,Lookup!$O$2:$O$28=F13),INDEX(_xlpm.Roles,RANDBETWEEN(1,ROWS(_xlpm.Roles))))</f>
        <v>Accountant</v>
      </c>
      <c r="H13" s="16" t="str" cm="1">
        <f t="array" ref="H13" ca="1">INDEX(Lookup!$B$2:$B$7,RANDBETWEEN(1,6))</f>
        <v>Dublin</v>
      </c>
      <c r="I13" s="22">
        <f t="shared" ca="1" si="0"/>
        <v>44997</v>
      </c>
      <c r="J13" s="22" t="str">
        <f t="shared" ca="1" si="1"/>
        <v/>
      </c>
      <c r="K13" s="16" t="str">
        <f t="shared" ca="1" si="12"/>
        <v>Active</v>
      </c>
      <c r="L13" s="26">
        <f ca="1">_xlfn.XLOOKUP(G13,Lookup!$P$2:$P$28,Lookup!$Q$2:$Q$28)*(1+MIN(X13*3%,30%))</f>
        <v>60500</v>
      </c>
      <c r="M13" s="24">
        <f t="shared" ca="1" si="13"/>
        <v>3</v>
      </c>
      <c r="N13" s="24">
        <f t="shared" ca="1" si="2"/>
        <v>24</v>
      </c>
      <c r="O13" s="24">
        <f t="shared" ca="1" si="3"/>
        <v>18</v>
      </c>
      <c r="P13" s="24">
        <f t="shared" ca="1" si="4"/>
        <v>40</v>
      </c>
      <c r="Q13" s="16" t="str">
        <f t="shared" ca="1" si="5"/>
        <v>Promoted</v>
      </c>
      <c r="R13" s="16" t="str" cm="1">
        <f t="array" ref="R13" ca="1">INDEX(Lookup!$E$2:$E$6,RANDBETWEEN(1,5))</f>
        <v>Master's</v>
      </c>
      <c r="S13" s="16" t="str" cm="1">
        <f t="array" ref="S13" ca="1">INDEX(Lookup!$J$2:$J$11,RANDBETWEEN(1,10))</f>
        <v>James Taylor</v>
      </c>
      <c r="T13" s="16" t="str">
        <f t="shared" ca="1" si="6"/>
        <v>skyler.moore@hranalytics.com</v>
      </c>
      <c r="U13" s="16" t="str">
        <f t="shared" ca="1" si="7"/>
        <v>0886966414</v>
      </c>
      <c r="V13" s="16" t="str" cm="1">
        <f t="array" ref="V13" ca="1">_xlfn.LET(_xlpm.r,RANDBETWEEN(1,100),_xlfn.IFS(_xlpm.r&lt;=70,"Full-Time",_xlpm.r&lt;=85,"Part-Time",_xlpm.r&lt;=95,"Contract",TRUE,"Intern"))</f>
        <v>Full-Time</v>
      </c>
      <c r="W13" s="16" cm="1">
        <f t="array" ref="W13" ca="1">IF(K13&lt;&gt;"Active",0,_xlfn.IFS(M13=5,L13*15%,M13=4,L13*10%,M13=3,L13*5%,M13=2,L13*2%,TRUE,0))</f>
        <v>1210</v>
      </c>
      <c r="X13" s="24">
        <f t="shared" ca="1" si="8"/>
        <v>3</v>
      </c>
      <c r="Y13" s="24">
        <f t="shared" ca="1" si="9"/>
        <v>1</v>
      </c>
    </row>
    <row r="14" spans="1:27">
      <c r="A14" s="16" t="str">
        <f t="shared" si="10"/>
        <v>EMP013</v>
      </c>
      <c r="B14" s="16" t="str" cm="1">
        <f t="array" ref="B14" ca="1">IF(D14="Male",INDEX(Lookup!$L$2:$L$13,RANDBETWEEN(1,12)),IF(D14="Female",INDEX(Lookup!$M$2:$M$13,RANDBETWEEN(1,12)),INDEX(Lookup!$N$2:$N$13,RANDBETWEEN(1,12))))</f>
        <v>Alex</v>
      </c>
      <c r="C14" s="16" t="str" cm="1">
        <f t="array" ref="C14" ca="1">INDEX(Lookup!$K$2:$K$31,RANDBETWEEN(1,30))</f>
        <v>Thomas</v>
      </c>
      <c r="D14" s="16" t="str" cm="1">
        <f t="array" ref="D14" ca="1">INDEX(Lookup!$H$2:$H$4,RANDBETWEEN(1,3))</f>
        <v>Other</v>
      </c>
      <c r="E14" s="16">
        <f t="shared" ca="1" si="11"/>
        <v>46</v>
      </c>
      <c r="F14" s="16" t="str" cm="1">
        <f t="array" ref="F14" ca="1">INDEX(Lookup!$A$2:$A$10,RANDBETWEEN(1,9))</f>
        <v>Customer Support</v>
      </c>
      <c r="G14" s="16" t="str" cm="1">
        <f t="array" ref="G14" ca="1">_xlfn.LET(_xlpm.Roles,_xlfn._xlws.FILTER(Lookup!$P$2:$P$28,Lookup!$O$2:$O$28=F14),INDEX(_xlpm.Roles,RANDBETWEEN(1,ROWS(_xlpm.Roles))))</f>
        <v>Customer Success Specialist</v>
      </c>
      <c r="H14" s="16" t="str" cm="1">
        <f t="array" ref="H14" ca="1">INDEX(Lookup!$B$2:$B$7,RANDBETWEEN(1,6))</f>
        <v>Cork</v>
      </c>
      <c r="I14" s="22">
        <f t="shared" ca="1" si="0"/>
        <v>44172</v>
      </c>
      <c r="J14" s="22">
        <f t="shared" ca="1" si="1"/>
        <v>45315</v>
      </c>
      <c r="K14" s="16" t="str">
        <f t="shared" ca="1" si="12"/>
        <v>Resigned</v>
      </c>
      <c r="L14" s="26">
        <f ca="1">_xlfn.XLOOKUP(G14,Lookup!$P$2:$P$28,Lookup!$Q$2:$Q$28)*(1+MIN(X14*3%,30%))</f>
        <v>50820</v>
      </c>
      <c r="M14" s="24">
        <f t="shared" ca="1" si="13"/>
        <v>2</v>
      </c>
      <c r="N14" s="24">
        <f t="shared" ca="1" si="2"/>
        <v>63</v>
      </c>
      <c r="O14" s="24">
        <f t="shared" ca="1" si="3"/>
        <v>18</v>
      </c>
      <c r="P14" s="24">
        <f t="shared" ca="1" si="4"/>
        <v>14</v>
      </c>
      <c r="Q14" s="16" t="str">
        <f t="shared" ca="1" si="5"/>
        <v>Promoted</v>
      </c>
      <c r="R14" s="16" t="str" cm="1">
        <f t="array" ref="R14" ca="1">INDEX(Lookup!$E$2:$E$6,RANDBETWEEN(1,5))</f>
        <v>Master's</v>
      </c>
      <c r="S14" s="16" t="str" cm="1">
        <f t="array" ref="S14" ca="1">INDEX(Lookup!$J$2:$J$11,RANDBETWEEN(1,10))</f>
        <v>James Taylor</v>
      </c>
      <c r="T14" s="16" t="str">
        <f t="shared" ca="1" si="6"/>
        <v>alex.thomas@hranalytics.com</v>
      </c>
      <c r="U14" s="16" t="str">
        <f t="shared" ca="1" si="7"/>
        <v>0863000051</v>
      </c>
      <c r="V14" s="16" t="str" cm="1">
        <f t="array" ref="V14" ca="1">_xlfn.LET(_xlpm.r,RANDBETWEEN(1,100),_xlfn.IFS(_xlpm.r&lt;=70,"Full-Time",_xlpm.r&lt;=85,"Part-Time",_xlpm.r&lt;=95,"Contract",TRUE,"Intern"))</f>
        <v>Full-Time</v>
      </c>
      <c r="W14" s="16" cm="1">
        <f t="array" ref="W14" ca="1">IF(K14&lt;&gt;"Active",0,_xlfn.IFS(M14=5,L14*15%,M14=4,L14*10%,M14=3,L14*5%,M14=2,L14*2%,TRUE,0))</f>
        <v>0</v>
      </c>
      <c r="X14" s="24">
        <f t="shared" ca="1" si="8"/>
        <v>5</v>
      </c>
      <c r="Y14" s="24">
        <f t="shared" ca="1" si="9"/>
        <v>3</v>
      </c>
    </row>
    <row r="15" spans="1:27">
      <c r="A15" s="16" t="str">
        <f t="shared" si="10"/>
        <v>EMP014</v>
      </c>
      <c r="B15" s="16" t="str" cm="1">
        <f t="array" ref="B15" ca="1">IF(D15="Male",INDEX(Lookup!$L$2:$L$13,RANDBETWEEN(1,12)),IF(D15="Female",INDEX(Lookup!$M$2:$M$13,RANDBETWEEN(1,12)),INDEX(Lookup!$N$2:$N$13,RANDBETWEEN(1,12))))</f>
        <v>Leo</v>
      </c>
      <c r="C15" s="16" t="str" cm="1">
        <f t="array" ref="C15" ca="1">INDEX(Lookup!$K$2:$K$31,RANDBETWEEN(1,30))</f>
        <v>Lewis</v>
      </c>
      <c r="D15" s="16" t="str" cm="1">
        <f t="array" ref="D15" ca="1">INDEX(Lookup!$H$2:$H$4,RANDBETWEEN(1,3))</f>
        <v>Male</v>
      </c>
      <c r="E15" s="16">
        <f t="shared" ca="1" si="11"/>
        <v>60</v>
      </c>
      <c r="F15" s="16" t="str" cm="1">
        <f t="array" ref="F15" ca="1">INDEX(Lookup!$A$2:$A$10,RANDBETWEEN(1,9))</f>
        <v>Legal</v>
      </c>
      <c r="G15" s="16" t="str" cm="1">
        <f t="array" ref="G15" ca="1">_xlfn.LET(_xlpm.Roles,_xlfn._xlws.FILTER(Lookup!$P$2:$P$28,Lookup!$O$2:$O$28=F15),INDEX(_xlpm.Roles,RANDBETWEEN(1,ROWS(_xlpm.Roles))))</f>
        <v>Legal Executive</v>
      </c>
      <c r="H15" s="16" t="str" cm="1">
        <f t="array" ref="H15" ca="1">INDEX(Lookup!$B$2:$B$7,RANDBETWEEN(1,6))</f>
        <v>Cork</v>
      </c>
      <c r="I15" s="22">
        <f t="shared" ca="1" si="0"/>
        <v>45704</v>
      </c>
      <c r="J15" s="22" t="str">
        <f t="shared" ca="1" si="1"/>
        <v/>
      </c>
      <c r="K15" s="16" t="str">
        <f t="shared" ca="1" si="12"/>
        <v>Active</v>
      </c>
      <c r="L15" s="26">
        <f ca="1">_xlfn.XLOOKUP(G15,Lookup!$P$2:$P$28,Lookup!$Q$2:$Q$28)*(1+MIN(X15*3%,30%))</f>
        <v>61360</v>
      </c>
      <c r="M15" s="24">
        <f t="shared" ca="1" si="13"/>
        <v>3</v>
      </c>
      <c r="N15" s="24">
        <f t="shared" ca="1" si="2"/>
        <v>8</v>
      </c>
      <c r="O15" s="24">
        <f t="shared" ca="1" si="3"/>
        <v>10</v>
      </c>
      <c r="P15" s="24">
        <f t="shared" ca="1" si="4"/>
        <v>2</v>
      </c>
      <c r="Q15" s="16" t="str">
        <f t="shared" ca="1" si="5"/>
        <v>Not Promoted</v>
      </c>
      <c r="R15" s="16" t="str" cm="1">
        <f t="array" ref="R15" ca="1">INDEX(Lookup!$E$2:$E$6,RANDBETWEEN(1,5))</f>
        <v>High School</v>
      </c>
      <c r="S15" s="16" t="str" cm="1">
        <f t="array" ref="S15" ca="1">INDEX(Lookup!$J$2:$J$11,RANDBETWEEN(1,10))</f>
        <v>David Murphy</v>
      </c>
      <c r="T15" s="16" t="str">
        <f t="shared" ca="1" si="6"/>
        <v>leo.lewis@hranalytics.com</v>
      </c>
      <c r="U15" s="16" t="str">
        <f t="shared" ca="1" si="7"/>
        <v>0862002847</v>
      </c>
      <c r="V15" s="16" t="str" cm="1">
        <f t="array" ref="V15" ca="1">_xlfn.LET(_xlpm.r,RANDBETWEEN(1,100),_xlfn.IFS(_xlpm.r&lt;=70,"Full-Time",_xlpm.r&lt;=85,"Part-Time",_xlpm.r&lt;=95,"Contract",TRUE,"Intern"))</f>
        <v>Full-Time</v>
      </c>
      <c r="W15" s="16" cm="1">
        <f t="array" ref="W15" ca="1">IF(K15&lt;&gt;"Active",0,_xlfn.IFS(M15=5,L15*15%,M15=4,L15*10%,M15=3,L15*5%,M15=2,L15*2%,TRUE,0))</f>
        <v>0</v>
      </c>
      <c r="X15" s="24">
        <f t="shared" ca="1" si="8"/>
        <v>1</v>
      </c>
      <c r="Y15" s="24">
        <f t="shared" ca="1" si="9"/>
        <v>2</v>
      </c>
    </row>
    <row r="16" spans="1:27">
      <c r="A16" s="16" t="str">
        <f t="shared" si="10"/>
        <v>EMP015</v>
      </c>
      <c r="B16" s="16" t="str" cm="1">
        <f t="array" ref="B16" ca="1">IF(D16="Male",INDEX(Lookup!$L$2:$L$13,RANDBETWEEN(1,12)),IF(D16="Female",INDEX(Lookup!$M$2:$M$13,RANDBETWEEN(1,12)),INDEX(Lookup!$N$2:$N$13,RANDBETWEEN(1,12))))</f>
        <v>Michael</v>
      </c>
      <c r="C16" s="16" t="str" cm="1">
        <f t="array" ref="C16" ca="1">INDEX(Lookup!$K$2:$K$31,RANDBETWEEN(1,30))</f>
        <v>Edwards</v>
      </c>
      <c r="D16" s="16" t="str" cm="1">
        <f t="array" ref="D16" ca="1">INDEX(Lookup!$H$2:$H$4,RANDBETWEEN(1,3))</f>
        <v>Male</v>
      </c>
      <c r="E16" s="16">
        <f t="shared" ca="1" si="11"/>
        <v>38</v>
      </c>
      <c r="F16" s="16" t="str" cm="1">
        <f t="array" ref="F16" ca="1">INDEX(Lookup!$A$2:$A$10,RANDBETWEEN(1,9))</f>
        <v>HR</v>
      </c>
      <c r="G16" s="16" t="str" cm="1">
        <f t="array" ref="G16" ca="1">_xlfn.LET(_xlpm.Roles,_xlfn._xlws.FILTER(Lookup!$P$2:$P$28,Lookup!$O$2:$O$28=F16),INDEX(_xlpm.Roles,RANDBETWEEN(1,ROWS(_xlpm.Roles))))</f>
        <v>HR Executive</v>
      </c>
      <c r="H16" s="16" t="str" cm="1">
        <f t="array" ref="H16" ca="1">INDEX(Lookup!$B$2:$B$7,RANDBETWEEN(1,6))</f>
        <v>Belfast</v>
      </c>
      <c r="I16" s="22">
        <f t="shared" ca="1" si="0"/>
        <v>43913</v>
      </c>
      <c r="J16" s="22" t="str">
        <f t="shared" ca="1" si="1"/>
        <v/>
      </c>
      <c r="K16" s="16" t="str">
        <f t="shared" ca="1" si="12"/>
        <v>Active</v>
      </c>
      <c r="L16" s="26">
        <f ca="1">_xlfn.XLOOKUP(G16,Lookup!$P$2:$P$28,Lookup!$Q$2:$Q$28)*(1+MIN(X16*3%,30%))</f>
        <v>47040</v>
      </c>
      <c r="M16" s="24">
        <f t="shared" ca="1" si="13"/>
        <v>4</v>
      </c>
      <c r="N16" s="24">
        <f t="shared" ca="1" si="2"/>
        <v>71</v>
      </c>
      <c r="O16" s="24">
        <f t="shared" ca="1" si="3"/>
        <v>15</v>
      </c>
      <c r="P16" s="24">
        <f t="shared" ca="1" si="4"/>
        <v>15</v>
      </c>
      <c r="Q16" s="16" t="str">
        <f t="shared" ca="1" si="5"/>
        <v>Promoted</v>
      </c>
      <c r="R16" s="16" t="str" cm="1">
        <f t="array" ref="R16" ca="1">INDEX(Lookup!$E$2:$E$6,RANDBETWEEN(1,5))</f>
        <v>Dipolma</v>
      </c>
      <c r="S16" s="16" t="str" cm="1">
        <f t="array" ref="S16" ca="1">INDEX(Lookup!$J$2:$J$11,RANDBETWEEN(1,10))</f>
        <v>James Taylor</v>
      </c>
      <c r="T16" s="16" t="str">
        <f t="shared" ca="1" si="6"/>
        <v>michael.edwards@hranalytics.com</v>
      </c>
      <c r="U16" s="16" t="str">
        <f t="shared" ca="1" si="7"/>
        <v>0837619178</v>
      </c>
      <c r="V16" s="16" t="str" cm="1">
        <f t="array" ref="V16" ca="1">_xlfn.LET(_xlpm.r,RANDBETWEEN(1,100),_xlfn.IFS(_xlpm.r&lt;=70,"Full-Time",_xlpm.r&lt;=85,"Part-Time",_xlpm.r&lt;=95,"Contract",TRUE,"Intern"))</f>
        <v>Full-Time</v>
      </c>
      <c r="W16" s="16" cm="1">
        <f t="array" ref="W16" ca="1">IF(K16&lt;&gt;"Active",0,_xlfn.IFS(M16=5,L16*15%,M16=4,L16*10%,M16=3,L16*5%,M16=2,L16*2%,TRUE,0))</f>
        <v>7056</v>
      </c>
      <c r="X16" s="24">
        <f t="shared" ca="1" si="8"/>
        <v>6</v>
      </c>
      <c r="Y16" s="24">
        <f t="shared" ca="1" si="9"/>
        <v>1</v>
      </c>
    </row>
    <row r="17" spans="1:25">
      <c r="A17" s="16" t="str">
        <f t="shared" si="10"/>
        <v>EMP016</v>
      </c>
      <c r="B17" s="16" t="str" cm="1">
        <f t="array" ref="B17" ca="1">IF(D17="Male",INDEX(Lookup!$L$2:$L$13,RANDBETWEEN(1,12)),IF(D17="Female",INDEX(Lookup!$M$2:$M$13,RANDBETWEEN(1,12)),INDEX(Lookup!$N$2:$N$13,RANDBETWEEN(1,12))))</f>
        <v>Emma</v>
      </c>
      <c r="C17" s="16" t="str" cm="1">
        <f t="array" ref="C17" ca="1">INDEX(Lookup!$K$2:$K$31,RANDBETWEEN(1,30))</f>
        <v>Green</v>
      </c>
      <c r="D17" s="16" t="str" cm="1">
        <f t="array" ref="D17" ca="1">INDEX(Lookup!$H$2:$H$4,RANDBETWEEN(1,3))</f>
        <v>Female</v>
      </c>
      <c r="E17" s="16">
        <f t="shared" ca="1" si="11"/>
        <v>55</v>
      </c>
      <c r="F17" s="16" t="str" cm="1">
        <f t="array" ref="F17" ca="1">INDEX(Lookup!$A$2:$A$10,RANDBETWEEN(1,9))</f>
        <v>IT</v>
      </c>
      <c r="G17" s="16" t="str" cm="1">
        <f t="array" ref="G17" ca="1">_xlfn.LET(_xlpm.Roles,_xlfn._xlws.FILTER(Lookup!$P$2:$P$28,Lookup!$O$2:$O$28=F17),INDEX(_xlpm.Roles,RANDBETWEEN(1,ROWS(_xlpm.Roles))))</f>
        <v>Data Analyst</v>
      </c>
      <c r="H17" s="16" t="str" cm="1">
        <f t="array" ref="H17" ca="1">INDEX(Lookup!$B$2:$B$7,RANDBETWEEN(1,6))</f>
        <v>Waterford</v>
      </c>
      <c r="I17" s="22">
        <f t="shared" ca="1" si="0"/>
        <v>43224</v>
      </c>
      <c r="J17" s="22" t="str">
        <f t="shared" ca="1" si="1"/>
        <v/>
      </c>
      <c r="K17" s="16" t="str">
        <f t="shared" ca="1" si="12"/>
        <v>Active</v>
      </c>
      <c r="L17" s="26">
        <f ca="1">_xlfn.XLOOKUP(G17,Lookup!$P$2:$P$28,Lookup!$Q$2:$Q$28)*(1+MIN(X17*3%,30%))</f>
        <v>56650</v>
      </c>
      <c r="M17" s="24">
        <f t="shared" ca="1" si="13"/>
        <v>4</v>
      </c>
      <c r="N17" s="24">
        <f t="shared" ca="1" si="2"/>
        <v>20</v>
      </c>
      <c r="O17" s="24">
        <f t="shared" ca="1" si="3"/>
        <v>19</v>
      </c>
      <c r="P17" s="24">
        <f t="shared" ca="1" si="4"/>
        <v>21</v>
      </c>
      <c r="Q17" s="16" t="str">
        <f t="shared" ca="1" si="5"/>
        <v>Not Promoted</v>
      </c>
      <c r="R17" s="16" t="str" cm="1">
        <f t="array" ref="R17" ca="1">INDEX(Lookup!$E$2:$E$6,RANDBETWEEN(1,5))</f>
        <v>Dipolma</v>
      </c>
      <c r="S17" s="16" t="str" cm="1">
        <f t="array" ref="S17" ca="1">INDEX(Lookup!$J$2:$J$11,RANDBETWEEN(1,10))</f>
        <v>David Murphy</v>
      </c>
      <c r="T17" s="16" t="str">
        <f t="shared" ca="1" si="6"/>
        <v>emma.green@hranalytics.com</v>
      </c>
      <c r="U17" s="16" t="str">
        <f t="shared" ca="1" si="7"/>
        <v>0866328318</v>
      </c>
      <c r="V17" s="16" t="str" cm="1">
        <f t="array" ref="V17" ca="1">_xlfn.LET(_xlpm.r,RANDBETWEEN(1,100),_xlfn.IFS(_xlpm.r&lt;=70,"Full-Time",_xlpm.r&lt;=85,"Part-Time",_xlpm.r&lt;=95,"Contract",TRUE,"Intern"))</f>
        <v>Full-Time</v>
      </c>
      <c r="W17" s="16" cm="1">
        <f t="array" ref="W17" ca="1">IF(K17&lt;&gt;"Active",0,_xlfn.IFS(M17=5,L17*15%,M17=4,L17*10%,M17=3,L17*5%,M17=2,L17*2%,TRUE,0))</f>
        <v>0</v>
      </c>
      <c r="X17" s="24">
        <f t="shared" ca="1" si="8"/>
        <v>8</v>
      </c>
      <c r="Y17" s="24">
        <f t="shared" ca="1" si="9"/>
        <v>3</v>
      </c>
    </row>
    <row r="18" spans="1:25">
      <c r="A18" s="16" t="str">
        <f t="shared" si="10"/>
        <v>EMP017</v>
      </c>
      <c r="B18" s="16" t="str" cm="1">
        <f t="array" ref="B18" ca="1">IF(D18="Male",INDEX(Lookup!$L$2:$L$13,RANDBETWEEN(1,12)),IF(D18="Female",INDEX(Lookup!$M$2:$M$13,RANDBETWEEN(1,12)),INDEX(Lookup!$N$2:$N$13,RANDBETWEEN(1,12))))</f>
        <v>Mia</v>
      </c>
      <c r="C18" s="16" t="str" cm="1">
        <f t="array" ref="C18" ca="1">INDEX(Lookup!$K$2:$K$31,RANDBETWEEN(1,30))</f>
        <v>Moore</v>
      </c>
      <c r="D18" s="16" t="str" cm="1">
        <f t="array" ref="D18" ca="1">INDEX(Lookup!$H$2:$H$4,RANDBETWEEN(1,3))</f>
        <v>Female</v>
      </c>
      <c r="E18" s="16">
        <f t="shared" ca="1" si="11"/>
        <v>32</v>
      </c>
      <c r="F18" s="16" t="str" cm="1">
        <f t="array" ref="F18" ca="1">INDEX(Lookup!$A$2:$A$10,RANDBETWEEN(1,9))</f>
        <v>Procurement</v>
      </c>
      <c r="G18" s="16" t="str" cm="1">
        <f t="array" ref="G18" ca="1">_xlfn.LET(_xlpm.Roles,_xlfn._xlws.FILTER(Lookup!$P$2:$P$28,Lookup!$O$2:$O$28=F18),INDEX(_xlpm.Roles,RANDBETWEEN(1,ROWS(_xlpm.Roles))))</f>
        <v>Procurement Officer</v>
      </c>
      <c r="H18" s="16" t="str" cm="1">
        <f t="array" ref="H18" ca="1">INDEX(Lookup!$B$2:$B$7,RANDBETWEEN(1,6))</f>
        <v>Cork</v>
      </c>
      <c r="I18" s="22">
        <f t="shared" ca="1" si="0"/>
        <v>44350</v>
      </c>
      <c r="J18" s="22">
        <f ca="1">IF(K2="Resigned",I2+RANDBETWEEN(180,MIN(2000,TODAY()-I2)),"")</f>
        <v>45273</v>
      </c>
      <c r="K18" s="16" t="str">
        <f t="shared" ca="1" si="12"/>
        <v>Active</v>
      </c>
      <c r="L18" s="26">
        <f ca="1">_xlfn.XLOOKUP(G18,Lookup!$P$2:$P$28,Lookup!$Q$2:$Q$28)*(1+MIN(X18*3%,30%))</f>
        <v>51750</v>
      </c>
      <c r="M18" s="24">
        <f t="shared" ca="1" si="13"/>
        <v>3</v>
      </c>
      <c r="N18" s="24">
        <f t="shared" ca="1" si="2"/>
        <v>64</v>
      </c>
      <c r="O18" s="24">
        <f t="shared" ca="1" si="3"/>
        <v>18</v>
      </c>
      <c r="P18" s="24">
        <f t="shared" ca="1" si="4"/>
        <v>31</v>
      </c>
      <c r="Q18" s="16" t="str">
        <f t="shared" ca="1" si="5"/>
        <v>Not Promoted</v>
      </c>
      <c r="R18" s="16" t="str" cm="1">
        <f t="array" ref="R18" ca="1">INDEX(Lookup!$E$2:$E$6,RANDBETWEEN(1,5))</f>
        <v>High School</v>
      </c>
      <c r="S18" s="16" t="str" cm="1">
        <f t="array" ref="S18" ca="1">INDEX(Lookup!$J$2:$J$11,RANDBETWEEN(1,10))</f>
        <v>Emma Wilson</v>
      </c>
      <c r="T18" s="16" t="str">
        <f t="shared" ca="1" si="6"/>
        <v>mia.moore@hranalytics.com</v>
      </c>
      <c r="U18" s="16" t="str">
        <f t="shared" ca="1" si="7"/>
        <v>0886951665</v>
      </c>
      <c r="V18" s="16" t="str" cm="1">
        <f t="array" ref="V18" ca="1">_xlfn.LET(_xlpm.r,RANDBETWEEN(1,100),_xlfn.IFS(_xlpm.r&lt;=70,"Full-Time",_xlpm.r&lt;=85,"Part-Time",_xlpm.r&lt;=95,"Contract",TRUE,"Intern"))</f>
        <v>Full-Time</v>
      </c>
      <c r="W18" s="16" cm="1">
        <f t="array" ref="W18" ca="1">IF(K18&lt;&gt;"Active",0,_xlfn.IFS(M18=5,L18*15%,M18=4,L18*10%,M18=3,L18*5%,M18=2,L18*2%,TRUE,0))</f>
        <v>0</v>
      </c>
      <c r="X18" s="24">
        <f t="shared" ca="1" si="8"/>
        <v>5</v>
      </c>
      <c r="Y18" s="24">
        <f t="shared" ca="1" si="9"/>
        <v>2</v>
      </c>
    </row>
    <row r="19" spans="1:25">
      <c r="A19" s="16" t="str">
        <f t="shared" si="10"/>
        <v>EMP018</v>
      </c>
      <c r="B19" s="16" t="str" cm="1">
        <f t="array" ref="B19" ca="1">IF(D19="Male",INDEX(Lookup!$L$2:$L$13,RANDBETWEEN(1,12)),IF(D19="Female",INDEX(Lookup!$M$2:$M$13,RANDBETWEEN(1,12)),INDEX(Lookup!$N$2:$N$13,RANDBETWEEN(1,12))))</f>
        <v>Olivia</v>
      </c>
      <c r="C19" s="16" t="str" cm="1">
        <f t="array" ref="C19" ca="1">INDEX(Lookup!$K$2:$K$31,RANDBETWEEN(1,30))</f>
        <v>King</v>
      </c>
      <c r="D19" s="16" t="str" cm="1">
        <f t="array" ref="D19" ca="1">INDEX(Lookup!$H$2:$H$4,RANDBETWEEN(1,3))</f>
        <v>Female</v>
      </c>
      <c r="E19" s="16">
        <f t="shared" ca="1" si="11"/>
        <v>46</v>
      </c>
      <c r="F19" s="16" t="str" cm="1">
        <f t="array" ref="F19" ca="1">INDEX(Lookup!$A$2:$A$10,RANDBETWEEN(1,9))</f>
        <v>Finance</v>
      </c>
      <c r="G19" s="16" t="str" cm="1">
        <f t="array" ref="G19" ca="1">_xlfn.LET(_xlpm.Roles,_xlfn._xlws.FILTER(Lookup!$P$2:$P$28,Lookup!$O$2:$O$28=F19),INDEX(_xlpm.Roles,RANDBETWEEN(1,ROWS(_xlpm.Roles))))</f>
        <v>Financial Analyst</v>
      </c>
      <c r="H19" s="16" t="str" cm="1">
        <f t="array" ref="H19" ca="1">INDEX(Lookup!$B$2:$B$7,RANDBETWEEN(1,6))</f>
        <v>Limerick</v>
      </c>
      <c r="I19" s="22">
        <f t="shared" ca="1" si="0"/>
        <v>43696</v>
      </c>
      <c r="J19" s="22">
        <f t="shared" ca="1" si="1"/>
        <v>44039</v>
      </c>
      <c r="K19" s="16" t="str">
        <f t="shared" ca="1" si="12"/>
        <v>Resigned</v>
      </c>
      <c r="L19" s="26">
        <f ca="1">_xlfn.XLOOKUP(G19,Lookup!$P$2:$P$28,Lookup!$Q$2:$Q$28)*(1+MIN(X19*3%,30%))</f>
        <v>64960</v>
      </c>
      <c r="M19" s="24">
        <f t="shared" ca="1" si="13"/>
        <v>1</v>
      </c>
      <c r="N19" s="24">
        <f t="shared" ca="1" si="2"/>
        <v>74</v>
      </c>
      <c r="O19" s="24">
        <f t="shared" ca="1" si="3"/>
        <v>11</v>
      </c>
      <c r="P19" s="24">
        <f t="shared" ca="1" si="4"/>
        <v>58</v>
      </c>
      <c r="Q19" s="16" t="str">
        <f t="shared" ca="1" si="5"/>
        <v>Not Promoted</v>
      </c>
      <c r="R19" s="16" t="str" cm="1">
        <f t="array" ref="R19" ca="1">INDEX(Lookup!$E$2:$E$6,RANDBETWEEN(1,5))</f>
        <v>Master's</v>
      </c>
      <c r="S19" s="16" t="str" cm="1">
        <f t="array" ref="S19" ca="1">INDEX(Lookup!$J$2:$J$11,RANDBETWEEN(1,10))</f>
        <v>Olivia Smith</v>
      </c>
      <c r="T19" s="16" t="str">
        <f t="shared" ca="1" si="6"/>
        <v>olivia.king@hranalytics.com</v>
      </c>
      <c r="U19" s="16" t="str">
        <f t="shared" ca="1" si="7"/>
        <v>0889353836</v>
      </c>
      <c r="V19" s="16" t="str" cm="1">
        <f t="array" ref="V19" ca="1">_xlfn.LET(_xlpm.r,RANDBETWEEN(1,100),_xlfn.IFS(_xlpm.r&lt;=70,"Full-Time",_xlpm.r&lt;=85,"Part-Time",_xlpm.r&lt;=95,"Contract",TRUE,"Intern"))</f>
        <v>Full-Time</v>
      </c>
      <c r="W19" s="16" cm="1">
        <f t="array" ref="W19" ca="1">IF(K19&lt;&gt;"Active",0,_xlfn.IFS(M19=5,L19*15%,M19=4,L19*10%,M19=3,L19*5%,M19=2,L19*2%,TRUE,0))</f>
        <v>0</v>
      </c>
      <c r="X19" s="24">
        <f t="shared" ca="1" si="8"/>
        <v>7</v>
      </c>
      <c r="Y19" s="24">
        <f t="shared" ca="1" si="9"/>
        <v>3</v>
      </c>
    </row>
    <row r="20" spans="1:25">
      <c r="A20" s="16" t="str">
        <f t="shared" si="10"/>
        <v>EMP019</v>
      </c>
      <c r="B20" s="16" t="str" cm="1">
        <f t="array" ref="B20" ca="1">IF(D2="Male",INDEX(Lookup!$L$2:$L$13,RANDBETWEEN(1,12)),IF(D2="Female",INDEX(Lookup!$M$2:$M$13,RANDBETWEEN(1,12)),INDEX(Lookup!$N$2:$N$13,RANDBETWEEN(1,12))))</f>
        <v>Quinn</v>
      </c>
      <c r="C20" s="16" t="str" cm="1">
        <f t="array" ref="C20" ca="1">INDEX(Lookup!$K$2:$K$31,RANDBETWEEN(1,30))</f>
        <v>Campbell</v>
      </c>
      <c r="D20" s="16" t="str" cm="1">
        <f t="array" ref="D20" ca="1">INDEX(Lookup!$H$2:$H$4,RANDBETWEEN(1,3))</f>
        <v>Other</v>
      </c>
      <c r="E20" s="16">
        <f t="shared" ca="1" si="11"/>
        <v>30</v>
      </c>
      <c r="F20" s="16" t="str" cm="1">
        <f t="array" ref="F20" ca="1">INDEX(Lookup!$A$2:$A$10,RANDBETWEEN(1,9))</f>
        <v>IT</v>
      </c>
      <c r="G20" s="16" t="str" cm="1">
        <f t="array" ref="G20" ca="1">_xlfn.LET(_xlpm.Roles,_xlfn._xlws.FILTER(Lookup!$P$2:$P$28,Lookup!$O$2:$O$28=F20),INDEX(_xlpm.Roles,RANDBETWEEN(1,ROWS(_xlpm.Roles))))</f>
        <v>IT Support Specialist</v>
      </c>
      <c r="H20" s="16" t="str" cm="1">
        <f t="array" ref="H20" ca="1">INDEX(Lookup!$B$2:$B$7,RANDBETWEEN(1,6))</f>
        <v>Waterford</v>
      </c>
      <c r="I20" s="22">
        <f t="shared" ca="1" si="0"/>
        <v>43606</v>
      </c>
      <c r="J20" s="22">
        <f ca="1">IF(K2="Resigned",I2+RANDBETWEEN(180,MIN(2000,TODAY()-I2)),"")</f>
        <v>45472</v>
      </c>
      <c r="K20" s="16" t="str">
        <f t="shared" ca="1" si="12"/>
        <v>Active</v>
      </c>
      <c r="L20" s="26">
        <f ca="1">_xlfn.XLOOKUP(G20,Lookup!$P$2:$P$28,Lookup!$Q$2:$Q$28)*(1+MIN(X20*3%,30%))</f>
        <v>52320</v>
      </c>
      <c r="M20" s="24">
        <f t="shared" ca="1" si="13"/>
        <v>4</v>
      </c>
      <c r="N20" s="24">
        <f t="shared" ca="1" si="2"/>
        <v>16</v>
      </c>
      <c r="O20" s="24">
        <f t="shared" ca="1" si="3"/>
        <v>12</v>
      </c>
      <c r="P20" s="24">
        <f t="shared" ca="1" si="4"/>
        <v>8</v>
      </c>
      <c r="Q20" s="16" t="str">
        <f t="shared" ca="1" si="5"/>
        <v>Promoted</v>
      </c>
      <c r="R20" s="16" t="str" cm="1">
        <f t="array" ref="R20" ca="1">INDEX(Lookup!$E$2:$E$6,RANDBETWEEN(1,5))</f>
        <v>Bachelor's</v>
      </c>
      <c r="S20" s="16" t="str" cm="1">
        <f t="array" ref="S20" ca="1">INDEX(Lookup!$J$2:$J$11,RANDBETWEEN(1,10))</f>
        <v>Sarah Johnson</v>
      </c>
      <c r="T20" s="16" t="str">
        <f t="shared" ca="1" si="6"/>
        <v>quinn.campbell@hranalytics.com</v>
      </c>
      <c r="U20" s="16" t="str">
        <f t="shared" ca="1" si="7"/>
        <v>0865081300</v>
      </c>
      <c r="V20" s="16" t="str" cm="1">
        <f t="array" ref="V20" ca="1">_xlfn.LET(_xlpm.r,RANDBETWEEN(1,100),_xlfn.IFS(_xlpm.r&lt;=70,"Full-Time",_xlpm.r&lt;=85,"Part-Time",_xlpm.r&lt;=95,"Contract",TRUE,"Intern"))</f>
        <v>Part-Time</v>
      </c>
      <c r="W20" s="16" cm="1">
        <f t="array" ref="W20" ca="1">IF(K20&lt;&gt;"Active",0,_xlfn.IFS(M20=5,L20*15%,M20=4,L20*10%,M20=3,L20*5%,M20=2,L20*2%,TRUE,0))</f>
        <v>7848</v>
      </c>
      <c r="X20" s="24">
        <f t="shared" ca="1" si="8"/>
        <v>7</v>
      </c>
      <c r="Y20" s="24">
        <f t="shared" ca="1" si="9"/>
        <v>2</v>
      </c>
    </row>
    <row r="21" spans="1:25">
      <c r="A21" s="16" t="str">
        <f t="shared" si="10"/>
        <v>EMP020</v>
      </c>
      <c r="B21" s="16" t="str" cm="1">
        <f t="array" ref="B21" ca="1">IF(D21="Male",INDEX(Lookup!$L$2:$L$13,RANDBETWEEN(1,12)),IF(D21="Female",INDEX(Lookup!$M$2:$M$13,RANDBETWEEN(1,12)),INDEX(Lookup!$N$2:$N$13,RANDBETWEEN(1,12))))</f>
        <v>Emma</v>
      </c>
      <c r="C21" s="16" t="str" cm="1">
        <f t="array" ref="C21" ca="1">INDEX(Lookup!$K$2:$K$31,RANDBETWEEN(1,30))</f>
        <v>Kelly</v>
      </c>
      <c r="D21" s="17" t="str" cm="1">
        <f t="array" ref="D21" ca="1">INDEX(Lookup!$H$2:$H$4,RANDBETWEEN(1,3))</f>
        <v>Female</v>
      </c>
      <c r="E21" s="16">
        <f t="shared" ca="1" si="11"/>
        <v>59</v>
      </c>
      <c r="F21" s="16" t="str" cm="1">
        <f t="array" ref="F21" ca="1">INDEX(Lookup!$A$2:$A$10,RANDBETWEEN(1,9))</f>
        <v>Marketing</v>
      </c>
      <c r="G21" s="16" t="str" cm="1">
        <f t="array" ref="G21" ca="1">_xlfn.LET(_xlpm.Roles,_xlfn._xlws.FILTER(Lookup!$P$2:$P$28,Lookup!$O$2:$O$28=F21),INDEX(_xlpm.Roles,RANDBETWEEN(1,ROWS(_xlpm.Roles))))</f>
        <v>Brand Executive</v>
      </c>
      <c r="H21" s="16" t="str" cm="1">
        <f t="array" ref="H21" ca="1">INDEX(Lookup!$B$2:$B$7,RANDBETWEEN(1,6))</f>
        <v>Cork</v>
      </c>
      <c r="I21" s="22">
        <f t="shared" ca="1" si="0"/>
        <v>44728</v>
      </c>
      <c r="J21" s="22">
        <f ca="1">IF(K2="Resigned",I2+RANDBETWEEN(180,MIN(2000,TODAY()-I2)),"")</f>
        <v>45267</v>
      </c>
      <c r="K21" s="16" t="str">
        <f t="shared" ca="1" si="12"/>
        <v>Active</v>
      </c>
      <c r="L21" s="26">
        <f ca="1">_xlfn.XLOOKUP(G21,Lookup!$P$2:$P$28,Lookup!$Q$2:$Q$28)*(1+MIN(X21*3%,30%))</f>
        <v>47380</v>
      </c>
      <c r="M21" s="24">
        <f t="shared" ca="1" si="13"/>
        <v>2</v>
      </c>
      <c r="N21" s="24">
        <f t="shared" ca="1" si="2"/>
        <v>15</v>
      </c>
      <c r="O21" s="24">
        <f t="shared" ca="1" si="3"/>
        <v>9</v>
      </c>
      <c r="P21" s="24">
        <f t="shared" ca="1" si="4"/>
        <v>11</v>
      </c>
      <c r="Q21" s="16" t="str">
        <f t="shared" ca="1" si="5"/>
        <v>Not Promoted</v>
      </c>
      <c r="R21" s="16" t="str" cm="1">
        <f t="array" ref="R21" ca="1">INDEX(Lookup!$E$2:$E$6,RANDBETWEEN(1,5))</f>
        <v>PhD</v>
      </c>
      <c r="S21" s="16" t="str" cm="1">
        <f t="array" ref="S21" ca="1">INDEX(Lookup!$J$2:$J$11,RANDBETWEEN(1,10))</f>
        <v>Olivia Smith</v>
      </c>
      <c r="T21" s="16" t="str">
        <f t="shared" ca="1" si="6"/>
        <v>emma.kelly@hranalytics.com</v>
      </c>
      <c r="U21" s="16" t="str">
        <f t="shared" ca="1" si="7"/>
        <v>0854044750</v>
      </c>
      <c r="V21" s="16" t="str" cm="1">
        <f t="array" ref="V21" ca="1">_xlfn.LET(_xlpm.r,RANDBETWEEN(1,100),_xlfn.IFS(_xlpm.r&lt;=70,"Full-Time",_xlpm.r&lt;=85,"Part-Time",_xlpm.r&lt;=95,"Contract",TRUE,"Intern"))</f>
        <v>Full-Time</v>
      </c>
      <c r="W21" s="16" cm="1">
        <f t="array" ref="W21" ca="1">IF(K21&lt;&gt;"Active",0,_xlfn.IFS(M21=5,L21*15%,M21=4,L21*10%,M21=3,L21*5%,M21=2,L21*2%,TRUE,0))</f>
        <v>0</v>
      </c>
      <c r="X21" s="24">
        <f t="shared" ca="1" si="8"/>
        <v>4</v>
      </c>
      <c r="Y21" s="24">
        <f t="shared" ca="1" si="9"/>
        <v>2</v>
      </c>
    </row>
    <row r="22" spans="1:25">
      <c r="A22" s="16" t="str">
        <f t="shared" si="10"/>
        <v>EMP021</v>
      </c>
      <c r="B22" s="16" t="str" cm="1">
        <f t="array" ref="B22" ca="1">IF(D22="Male",INDEX(Lookup!$L$2:$L$13,RANDBETWEEN(1,12)),IF(D22="Female",INDEX(Lookup!$M$2:$M$13,RANDBETWEEN(1,12)),INDEX(Lookup!$N$2:$N$13,RANDBETWEEN(1,12))))</f>
        <v>Skyler</v>
      </c>
      <c r="C22" s="16" t="str" cm="1">
        <f t="array" ref="C22" ca="1">INDEX(Lookup!$K$2:$K$31,RANDBETWEEN(1,30))</f>
        <v>Turner</v>
      </c>
      <c r="D22" s="16" t="str" cm="1">
        <f t="array" ref="D22" ca="1">INDEX(Lookup!$H$2:$H$4,RANDBETWEEN(1,3))</f>
        <v>Other</v>
      </c>
      <c r="E22" s="16">
        <f t="shared" ca="1" si="11"/>
        <v>31</v>
      </c>
      <c r="F22" s="16" t="str" cm="1">
        <f t="array" ref="F22" ca="1">INDEX(Lookup!$A$2:$A$10,RANDBETWEEN(1,9))</f>
        <v>Marketing</v>
      </c>
      <c r="G22" s="16" t="str" cm="1">
        <f t="array" ref="G22" ca="1">_xlfn.LET(_xlpm.Roles,_xlfn._xlws.FILTER(Lookup!$P$2:$P$28,Lookup!$O$2:$O$28=F22),INDEX(_xlpm.Roles,RANDBETWEEN(1,ROWS(_xlpm.Roles))))</f>
        <v>Marketing Executive</v>
      </c>
      <c r="H22" s="16" t="str" cm="1">
        <f t="array" ref="H22" ca="1">INDEX(Lookup!$B$2:$B$7,RANDBETWEEN(1,6))</f>
        <v>Limerick</v>
      </c>
      <c r="I22" s="22">
        <f t="shared" ca="1" si="0"/>
        <v>43761</v>
      </c>
      <c r="J22" s="22" t="str">
        <f t="shared" ca="1" si="1"/>
        <v/>
      </c>
      <c r="K22" s="16" t="str">
        <f t="shared" ca="1" si="12"/>
        <v>Active</v>
      </c>
      <c r="L22" s="26">
        <f ca="1">_xlfn.XLOOKUP(G22,Lookup!$P$2:$P$28,Lookup!$Q$2:$Q$28)*(1+MIN(X22*3%,30%))</f>
        <v>45780</v>
      </c>
      <c r="M22" s="24">
        <f t="shared" ca="1" si="13"/>
        <v>1</v>
      </c>
      <c r="N22" s="24">
        <f t="shared" ca="1" si="2"/>
        <v>21</v>
      </c>
      <c r="O22" s="24">
        <f t="shared" ca="1" si="3"/>
        <v>14</v>
      </c>
      <c r="P22" s="24">
        <f t="shared" ca="1" si="4"/>
        <v>57</v>
      </c>
      <c r="Q22" s="16" t="str">
        <f t="shared" ca="1" si="5"/>
        <v>Not Promoted</v>
      </c>
      <c r="R22" s="16" t="str" cm="1">
        <f t="array" ref="R22" ca="1">INDEX(Lookup!$E$2:$E$6,RANDBETWEEN(1,5))</f>
        <v>PhD</v>
      </c>
      <c r="S22" s="16" t="str" cm="1">
        <f t="array" ref="S22" ca="1">INDEX(Lookup!$J$2:$J$11,RANDBETWEEN(1,10))</f>
        <v>Michael Brown</v>
      </c>
      <c r="T22" s="16" t="str">
        <f t="shared" ca="1" si="6"/>
        <v>skyler.turner@hranalytics.com</v>
      </c>
      <c r="U22" s="16" t="str">
        <f t="shared" ca="1" si="7"/>
        <v>0887834344</v>
      </c>
      <c r="V22" s="16" t="str" cm="1">
        <f t="array" ref="V22" ca="1">_xlfn.LET(_xlpm.r,RANDBETWEEN(1,100),_xlfn.IFS(_xlpm.r&lt;=70,"Full-Time",_xlpm.r&lt;=85,"Part-Time",_xlpm.r&lt;=95,"Contract",TRUE,"Intern"))</f>
        <v>Full-Time</v>
      </c>
      <c r="W22" s="16" cm="1">
        <f t="array" ref="W22" ca="1">IF(K22&lt;&gt;"Active",0,_xlfn.IFS(M22=5,L22*15%,M22=4,L22*10%,M22=3,L22*5%,M22=2,L22*2%,TRUE,0))</f>
        <v>0</v>
      </c>
      <c r="X22" s="24">
        <f t="shared" ca="1" si="8"/>
        <v>6</v>
      </c>
      <c r="Y22" s="24">
        <f t="shared" ca="1" si="9"/>
        <v>2</v>
      </c>
    </row>
    <row r="23" spans="1:25">
      <c r="A23" s="16" t="str">
        <f t="shared" si="10"/>
        <v>EMP022</v>
      </c>
      <c r="B23" s="16" t="str" cm="1">
        <f t="array" ref="B23" ca="1">IF(D23="Male",INDEX(Lookup!$L$2:$L$13,RANDBETWEEN(1,12)),IF(D23="Female",INDEX(Lookup!$M$2:$M$13,RANDBETWEEN(1,12)),INDEX(Lookup!$N$2:$N$13,RANDBETWEEN(1,12))))</f>
        <v>Alex</v>
      </c>
      <c r="C23" s="16" t="str" cm="1">
        <f t="array" ref="C23" ca="1">INDEX(Lookup!$K$2:$K$31,RANDBETWEEN(1,30))</f>
        <v>Hill</v>
      </c>
      <c r="D23" s="16" t="str" cm="1">
        <f t="array" ref="D23" ca="1">INDEX(Lookup!$H$2:$H$4,RANDBETWEEN(1,3))</f>
        <v>Other</v>
      </c>
      <c r="E23" s="16">
        <f t="shared" ca="1" si="11"/>
        <v>54</v>
      </c>
      <c r="F23" s="16" t="str" cm="1">
        <f t="array" ref="F23" ca="1">INDEX(Lookup!$A$2:$A$10,RANDBETWEEN(1,9))</f>
        <v>Procurement</v>
      </c>
      <c r="G23" s="16" t="str" cm="1">
        <f t="array" ref="G23" ca="1">_xlfn.LET(_xlpm.Roles,_xlfn._xlws.FILTER(Lookup!$P$2:$P$28,Lookup!$O$2:$O$28=F23),INDEX(_xlpm.Roles,RANDBETWEEN(1,ROWS(_xlpm.Roles))))</f>
        <v>Procurement Analyst</v>
      </c>
      <c r="H23" s="16" t="str" cm="1">
        <f t="array" ref="H23" ca="1">INDEX(Lookup!$B$2:$B$7,RANDBETWEEN(1,6))</f>
        <v>Cork</v>
      </c>
      <c r="I23" s="22">
        <f t="shared" ca="1" si="0"/>
        <v>44908</v>
      </c>
      <c r="J23" s="22" t="str">
        <f t="shared" ca="1" si="1"/>
        <v/>
      </c>
      <c r="K23" s="16" t="str">
        <f t="shared" ca="1" si="12"/>
        <v>Active</v>
      </c>
      <c r="L23" s="26">
        <f ca="1">_xlfn.XLOOKUP(G23,Lookup!$P$2:$P$28,Lookup!$Q$2:$Q$28)*(1+MIN(X23*3%,30%))</f>
        <v>60500</v>
      </c>
      <c r="M23" s="24">
        <f t="shared" ca="1" si="13"/>
        <v>2</v>
      </c>
      <c r="N23" s="24">
        <f t="shared" ca="1" si="2"/>
        <v>69</v>
      </c>
      <c r="O23" s="24">
        <f t="shared" ca="1" si="3"/>
        <v>6</v>
      </c>
      <c r="P23" s="24">
        <f t="shared" ca="1" si="4"/>
        <v>43</v>
      </c>
      <c r="Q23" s="16" t="str">
        <f t="shared" ca="1" si="5"/>
        <v>Promoted</v>
      </c>
      <c r="R23" s="16" t="str" cm="1">
        <f t="array" ref="R23" ca="1">INDEX(Lookup!$E$2:$E$6,RANDBETWEEN(1,5))</f>
        <v>Master's</v>
      </c>
      <c r="S23" s="16" t="str" cm="1">
        <f t="array" ref="S23" ca="1">INDEX(Lookup!$J$2:$J$11,RANDBETWEEN(1,10))</f>
        <v>Liam Byrne</v>
      </c>
      <c r="T23" s="16" t="str">
        <f t="shared" ca="1" si="6"/>
        <v>alex.hill@hranalytics.com</v>
      </c>
      <c r="U23" s="16" t="str">
        <f t="shared" ca="1" si="7"/>
        <v>0854109332</v>
      </c>
      <c r="V23" s="16" t="str" cm="1">
        <f t="array" ref="V23" ca="1">_xlfn.LET(_xlpm.r,RANDBETWEEN(1,100),_xlfn.IFS(_xlpm.r&lt;=70,"Full-Time",_xlpm.r&lt;=85,"Part-Time",_xlpm.r&lt;=95,"Contract",TRUE,"Intern"))</f>
        <v>Part-Time</v>
      </c>
      <c r="W23" s="16" cm="1">
        <f t="array" ref="W23" ca="1">IF(K23&lt;&gt;"Active",0,_xlfn.IFS(M23=5,L23*15%,M23=4,L23*10%,M23=3,L23*5%,M23=2,L23*2%,TRUE,0))</f>
        <v>6050</v>
      </c>
      <c r="X23" s="24">
        <f t="shared" ca="1" si="8"/>
        <v>3</v>
      </c>
      <c r="Y23" s="24">
        <f t="shared" ca="1" si="9"/>
        <v>2</v>
      </c>
    </row>
    <row r="24" spans="1:25">
      <c r="A24" s="16" t="str">
        <f t="shared" si="10"/>
        <v>EMP023</v>
      </c>
      <c r="B24" s="16" t="str" cm="1">
        <f t="array" ref="B24" ca="1">IF(D24="Male",INDEX(Lookup!$L$2:$L$13,RANDBETWEEN(1,12)),IF(D24="Female",INDEX(Lookup!$M$2:$M$13,RANDBETWEEN(1,12)),INDEX(Lookup!$N$2:$N$13,RANDBETWEEN(1,12))))</f>
        <v>Morgan</v>
      </c>
      <c r="C24" s="16" t="str" cm="1">
        <f t="array" ref="C24" ca="1">INDEX(Lookup!$K$2:$K$31,RANDBETWEEN(1,30))</f>
        <v>Scott</v>
      </c>
      <c r="D24" s="16" t="str" cm="1">
        <f t="array" ref="D24" ca="1">INDEX(Lookup!$H$2:$H$4,RANDBETWEEN(1,3))</f>
        <v>Other</v>
      </c>
      <c r="E24" s="16">
        <f t="shared" ca="1" si="11"/>
        <v>28</v>
      </c>
      <c r="F24" s="16" t="str" cm="1">
        <f t="array" ref="F24" ca="1">INDEX(Lookup!$A$2:$A$10,RANDBETWEEN(1,9))</f>
        <v>Legal</v>
      </c>
      <c r="G24" s="16" t="str" cm="1">
        <f t="array" ref="G24" ca="1">_xlfn.LET(_xlpm.Roles,_xlfn._xlws.FILTER(Lookup!$P$2:$P$28,Lookup!$O$2:$O$28=F24),INDEX(_xlpm.Roles,RANDBETWEEN(1,ROWS(_xlpm.Roles))))</f>
        <v>Legal Executive</v>
      </c>
      <c r="H24" s="16" t="str" cm="1">
        <f t="array" ref="H24" ca="1">INDEX(Lookup!$B$2:$B$7,RANDBETWEEN(1,6))</f>
        <v>Galway</v>
      </c>
      <c r="I24" s="22">
        <f t="shared" ca="1" si="0"/>
        <v>45803</v>
      </c>
      <c r="J24" s="22" t="str">
        <f t="shared" ca="1" si="1"/>
        <v/>
      </c>
      <c r="K24" s="16" t="str">
        <f t="shared" ca="1" si="12"/>
        <v>Active</v>
      </c>
      <c r="L24" s="26">
        <f ca="1">_xlfn.XLOOKUP(G24,Lookup!$P$2:$P$28,Lookup!$Q$2:$Q$28)*(1+MIN(X24*3%,30%))</f>
        <v>53560</v>
      </c>
      <c r="M24" s="24">
        <f t="shared" ca="1" si="13"/>
        <v>1</v>
      </c>
      <c r="N24" s="24">
        <f t="shared" ca="1" si="2"/>
        <v>61</v>
      </c>
      <c r="O24" s="24">
        <f t="shared" ca="1" si="3"/>
        <v>14</v>
      </c>
      <c r="P24" s="24">
        <f t="shared" ca="1" si="4"/>
        <v>20</v>
      </c>
      <c r="Q24" s="16" t="str">
        <f t="shared" ca="1" si="5"/>
        <v>Not Promoted</v>
      </c>
      <c r="R24" s="16" t="str" cm="1">
        <f t="array" ref="R24" ca="1">INDEX(Lookup!$E$2:$E$6,RANDBETWEEN(1,5))</f>
        <v>PhD</v>
      </c>
      <c r="S24" s="16" t="str" cm="1">
        <f t="array" ref="S24" ca="1">INDEX(Lookup!$J$2:$J$11,RANDBETWEEN(1,10))</f>
        <v>Olivia Smith</v>
      </c>
      <c r="T24" s="16" t="str">
        <f t="shared" ca="1" si="6"/>
        <v>morgan.scott@hranalytics.com</v>
      </c>
      <c r="U24" s="16" t="str">
        <f t="shared" ca="1" si="7"/>
        <v>0859362823</v>
      </c>
      <c r="V24" s="16" t="str" cm="1">
        <f t="array" ref="V24" ca="1">_xlfn.LET(_xlpm.r,RANDBETWEEN(1,100),_xlfn.IFS(_xlpm.r&lt;=70,"Full-Time",_xlpm.r&lt;=85,"Part-Time",_xlpm.r&lt;=95,"Contract",TRUE,"Intern"))</f>
        <v>Contract</v>
      </c>
      <c r="W24" s="16" cm="1">
        <f t="array" ref="W24" ca="1">IF(K24&lt;&gt;"Active",0,_xlfn.IFS(M24=5,L24*15%,M24=4,L24*10%,M24=3,L24*5%,M24=2,L24*2%,TRUE,0))</f>
        <v>2678</v>
      </c>
      <c r="X24" s="24">
        <f t="shared" ca="1" si="8"/>
        <v>1</v>
      </c>
      <c r="Y24" s="24">
        <f t="shared" ca="1" si="9"/>
        <v>3</v>
      </c>
    </row>
    <row r="25" spans="1:25">
      <c r="A25" s="16" t="str">
        <f t="shared" si="10"/>
        <v>EMP024</v>
      </c>
      <c r="B25" s="16" t="str" cm="1">
        <f t="array" ref="B25" ca="1">IF(D25="Male",INDEX(Lookup!$L$2:$L$13,RANDBETWEEN(1,12)),IF(D25="Female",INDEX(Lookup!$M$2:$M$13,RANDBETWEEN(1,12)),INDEX(Lookup!$N$2:$N$13,RANDBETWEEN(1,12))))</f>
        <v>Oliver</v>
      </c>
      <c r="C25" s="16" t="str" cm="1">
        <f t="array" ref="C25" ca="1">INDEX(Lookup!$K$2:$K$31,RANDBETWEEN(1,30))</f>
        <v>Scott</v>
      </c>
      <c r="D25" s="16" t="str" cm="1">
        <f t="array" ref="D25" ca="1">INDEX(Lookup!$H$2:$H$4,RANDBETWEEN(1,3))</f>
        <v>Male</v>
      </c>
      <c r="E25" s="16">
        <f t="shared" ca="1" si="11"/>
        <v>48</v>
      </c>
      <c r="F25" s="16" t="str" cm="1">
        <f t="array" ref="F25" ca="1">INDEX(Lookup!$A$2:$A$10,RANDBETWEEN(1,9))</f>
        <v>Legal</v>
      </c>
      <c r="G25" s="16" t="str" cm="1">
        <f t="array" ref="G25" ca="1">_xlfn.LET(_xlpm.Roles,_xlfn._xlws.FILTER(Lookup!$P$2:$P$28,Lookup!$O$2:$O$28=F25),INDEX(_xlpm.Roles,RANDBETWEEN(1,ROWS(_xlpm.Roles))))</f>
        <v>Legal Executive</v>
      </c>
      <c r="H25" s="16" t="str" cm="1">
        <f t="array" ref="H25" ca="1">INDEX(Lookup!$B$2:$B$7,RANDBETWEEN(1,6))</f>
        <v>Dublin</v>
      </c>
      <c r="I25" s="22">
        <f t="shared" ca="1" si="0"/>
        <v>44695</v>
      </c>
      <c r="J25" s="22" t="str">
        <f t="shared" ca="1" si="1"/>
        <v/>
      </c>
      <c r="K25" s="16" t="str">
        <f t="shared" ca="1" si="12"/>
        <v>Active</v>
      </c>
      <c r="L25" s="26">
        <f ca="1">_xlfn.XLOOKUP(G25,Lookup!$P$2:$P$28,Lookup!$Q$2:$Q$28)*(1+MIN(X25*3%,30%))</f>
        <v>61360</v>
      </c>
      <c r="M25" s="24">
        <f t="shared" ca="1" si="13"/>
        <v>3</v>
      </c>
      <c r="N25" s="24">
        <f t="shared" ca="1" si="2"/>
        <v>22</v>
      </c>
      <c r="O25" s="24">
        <f t="shared" ca="1" si="3"/>
        <v>16</v>
      </c>
      <c r="P25" s="24">
        <f t="shared" ca="1" si="4"/>
        <v>55</v>
      </c>
      <c r="Q25" s="16" t="str">
        <f t="shared" ca="1" si="5"/>
        <v>Not Promoted</v>
      </c>
      <c r="R25" s="16" t="str" cm="1">
        <f t="array" ref="R25" ca="1">INDEX(Lookup!$E$2:$E$6,RANDBETWEEN(1,5))</f>
        <v>PhD</v>
      </c>
      <c r="S25" s="16" t="str" cm="1">
        <f t="array" ref="S25" ca="1">INDEX(Lookup!$J$2:$J$11,RANDBETWEEN(1,10))</f>
        <v>Sarah Johnson</v>
      </c>
      <c r="T25" s="16" t="str">
        <f t="shared" ca="1" si="6"/>
        <v>oliver.scott@hranalytics.com</v>
      </c>
      <c r="U25" s="16" t="str">
        <f t="shared" ca="1" si="7"/>
        <v>0832430130</v>
      </c>
      <c r="V25" s="16" t="str" cm="1">
        <f t="array" ref="V25" ca="1">_xlfn.LET(_xlpm.r,RANDBETWEEN(1,100),_xlfn.IFS(_xlpm.r&lt;=70,"Full-Time",_xlpm.r&lt;=85,"Part-Time",_xlpm.r&lt;=95,"Contract",TRUE,"Intern"))</f>
        <v>Part-Time</v>
      </c>
      <c r="W25" s="16" cm="1">
        <f t="array" ref="W25" ca="1">IF(K25&lt;&gt;"Active",0,_xlfn.IFS(M25=5,L25*15%,M25=4,L25*10%,M25=3,L25*5%,M25=2,L25*2%,TRUE,0))</f>
        <v>0</v>
      </c>
      <c r="X25" s="24">
        <f t="shared" ca="1" si="8"/>
        <v>4</v>
      </c>
      <c r="Y25" s="24">
        <f t="shared" ca="1" si="9"/>
        <v>3</v>
      </c>
    </row>
    <row r="26" spans="1:25">
      <c r="A26" s="16" t="str">
        <f t="shared" si="10"/>
        <v>EMP025</v>
      </c>
      <c r="B26" s="16" t="str" cm="1">
        <f t="array" ref="B26" ca="1">IF(D26="Male",INDEX(Lookup!$L$2:$L$13,RANDBETWEEN(1,12)),IF(D26="Female",INDEX(Lookup!$M$2:$M$13,RANDBETWEEN(1,12)),INDEX(Lookup!$N$2:$N$13,RANDBETWEEN(1,12))))</f>
        <v>Oliver</v>
      </c>
      <c r="C26" s="16" t="str" cm="1">
        <f t="array" ref="C26" ca="1">INDEX(Lookup!$K$2:$K$31,RANDBETWEEN(1,30))</f>
        <v>King</v>
      </c>
      <c r="D26" s="16" t="str" cm="1">
        <f t="array" ref="D26" ca="1">INDEX(Lookup!$H$2:$H$4,RANDBETWEEN(1,3))</f>
        <v>Male</v>
      </c>
      <c r="E26" s="16">
        <f t="shared" ca="1" si="11"/>
        <v>39</v>
      </c>
      <c r="F26" s="16" t="str" cm="1">
        <f t="array" ref="F26" ca="1">INDEX(Lookup!$A$2:$A$10,RANDBETWEEN(1,9))</f>
        <v>Customer Support</v>
      </c>
      <c r="G26" s="16" t="str" cm="1">
        <f t="array" ref="G26" ca="1">_xlfn.LET(_xlpm.Roles,_xlfn._xlws.FILTER(Lookup!$P$2:$P$28,Lookup!$O$2:$O$28=F26),INDEX(_xlpm.Roles,RANDBETWEEN(1,ROWS(_xlpm.Roles))))</f>
        <v>Customer Success Specialist</v>
      </c>
      <c r="H26" s="16" t="str" cm="1">
        <f t="array" ref="H26" ca="1">INDEX(Lookup!$B$2:$B$7,RANDBETWEEN(1,6))</f>
        <v>Cork</v>
      </c>
      <c r="I26" s="22">
        <f t="shared" ca="1" si="0"/>
        <v>43638</v>
      </c>
      <c r="J26" s="22">
        <f t="shared" ca="1" si="1"/>
        <v>45566</v>
      </c>
      <c r="K26" s="16" t="str">
        <f t="shared" ca="1" si="12"/>
        <v>Resigned</v>
      </c>
      <c r="L26" s="26">
        <f ca="1">_xlfn.XLOOKUP(G26,Lookup!$P$2:$P$28,Lookup!$Q$2:$Q$28)*(1+MIN(X26*3%,30%))</f>
        <v>42000</v>
      </c>
      <c r="M26" s="24">
        <f t="shared" ca="1" si="13"/>
        <v>4</v>
      </c>
      <c r="N26" s="24">
        <f t="shared" ca="1" si="2"/>
        <v>65</v>
      </c>
      <c r="O26" s="24">
        <f t="shared" ca="1" si="3"/>
        <v>11</v>
      </c>
      <c r="P26" s="24">
        <f t="shared" ca="1" si="4"/>
        <v>37</v>
      </c>
      <c r="Q26" s="16" t="str">
        <f t="shared" ca="1" si="5"/>
        <v>Not Promoted</v>
      </c>
      <c r="R26" s="16" t="str" cm="1">
        <f t="array" ref="R26" ca="1">INDEX(Lookup!$E$2:$E$6,RANDBETWEEN(1,5))</f>
        <v>Master's</v>
      </c>
      <c r="S26" s="16" t="str" cm="1">
        <f t="array" ref="S26" ca="1">INDEX(Lookup!$J$2:$J$11,RANDBETWEEN(1,10))</f>
        <v>Liam Byrne</v>
      </c>
      <c r="T26" s="16" t="str">
        <f t="shared" ca="1" si="6"/>
        <v>oliver.king@hranalytics.com</v>
      </c>
      <c r="U26" s="16" t="str">
        <f t="shared" ca="1" si="7"/>
        <v>0851396735</v>
      </c>
      <c r="V26" s="16" t="str" cm="1">
        <f t="array" ref="V26" ca="1">_xlfn.LET(_xlpm.r,RANDBETWEEN(1,100),_xlfn.IFS(_xlpm.r&lt;=70,"Full-Time",_xlpm.r&lt;=85,"Part-Time",_xlpm.r&lt;=95,"Contract",TRUE,"Intern"))</f>
        <v>Part-Time</v>
      </c>
      <c r="W26" s="16" cm="1">
        <f t="array" ref="W26" ca="1">IF(K26&lt;&gt;"Active",0,_xlfn.IFS(M26=5,L26*15%,M26=4,L26*10%,M26=3,L26*5%,M26=2,L26*2%,TRUE,0))</f>
        <v>4200</v>
      </c>
      <c r="X26" s="24">
        <f t="shared" ca="1" si="8"/>
        <v>7</v>
      </c>
      <c r="Y26" s="24">
        <f t="shared" ca="1" si="9"/>
        <v>2</v>
      </c>
    </row>
    <row r="27" spans="1:25">
      <c r="A27" s="16" t="str">
        <f t="shared" si="10"/>
        <v>EMP026</v>
      </c>
      <c r="B27" s="16" t="str" cm="1">
        <f t="array" ref="B27" ca="1">IF(D27="Male",INDEX(Lookup!$L$2:$L$13,RANDBETWEEN(1,12)),IF(D27="Female",INDEX(Lookup!$M$2:$M$13,RANDBETWEEN(1,12)),INDEX(Lookup!$N$2:$N$13,RANDBETWEEN(1,12))))</f>
        <v>Leo</v>
      </c>
      <c r="C27" s="16" t="str" cm="1">
        <f t="array" ref="C27" ca="1">INDEX(Lookup!$K$2:$K$31,RANDBETWEEN(1,30))</f>
        <v>Green</v>
      </c>
      <c r="D27" s="16" t="str" cm="1">
        <f t="array" ref="D27" ca="1">INDEX(Lookup!$H$2:$H$4,RANDBETWEEN(1,3))</f>
        <v>Male</v>
      </c>
      <c r="E27" s="16">
        <f t="shared" ca="1" si="11"/>
        <v>45</v>
      </c>
      <c r="F27" s="16" t="str" cm="1">
        <f t="array" ref="F27" ca="1">INDEX(Lookup!$A$2:$A$10,RANDBETWEEN(1,9))</f>
        <v>Operations</v>
      </c>
      <c r="G27" s="16" t="str" cm="1">
        <f t="array" ref="G27" ca="1">_xlfn.LET(_xlpm.Roles,_xlfn._xlws.FILTER(Lookup!$P$2:$P$28,Lookup!$O$2:$O$28=F27),INDEX(_xlpm.Roles,RANDBETWEEN(1,ROWS(_xlpm.Roles))))</f>
        <v>Operations Manager</v>
      </c>
      <c r="H27" s="16" t="str" cm="1">
        <f t="array" ref="H27" ca="1">INDEX(Lookup!$B$2:$B$7,RANDBETWEEN(1,6))</f>
        <v>Waterford</v>
      </c>
      <c r="I27" s="22">
        <f t="shared" ca="1" si="0"/>
        <v>43163</v>
      </c>
      <c r="J27" s="22" t="str">
        <f t="shared" ca="1" si="1"/>
        <v/>
      </c>
      <c r="K27" s="16" t="str">
        <f t="shared" ca="1" si="12"/>
        <v>Active</v>
      </c>
      <c r="L27" s="26">
        <f ca="1">_xlfn.XLOOKUP(G27,Lookup!$P$2:$P$28,Lookup!$Q$2:$Q$28)*(1+MIN(X27*3%,30%))</f>
        <v>62000</v>
      </c>
      <c r="M27" s="24">
        <f t="shared" ca="1" si="13"/>
        <v>2</v>
      </c>
      <c r="N27" s="24">
        <f t="shared" ca="1" si="2"/>
        <v>54</v>
      </c>
      <c r="O27" s="24">
        <f t="shared" ca="1" si="3"/>
        <v>1</v>
      </c>
      <c r="P27" s="24">
        <f t="shared" ca="1" si="4"/>
        <v>49</v>
      </c>
      <c r="Q27" s="16" t="str">
        <f t="shared" ca="1" si="5"/>
        <v>Not Promoted</v>
      </c>
      <c r="R27" s="16" t="str" cm="1">
        <f t="array" ref="R27" ca="1">INDEX(Lookup!$E$2:$E$6,RANDBETWEEN(1,5))</f>
        <v>Dipolma</v>
      </c>
      <c r="S27" s="16" t="str" cm="1">
        <f t="array" ref="S27" ca="1">INDEX(Lookup!$J$2:$J$11,RANDBETWEEN(1,10))</f>
        <v>Liam Byrne</v>
      </c>
      <c r="T27" s="16" t="str">
        <f t="shared" ca="1" si="6"/>
        <v>leo.green@hranalytics.com</v>
      </c>
      <c r="U27" s="16" t="str">
        <f t="shared" ca="1" si="7"/>
        <v>0888970958</v>
      </c>
      <c r="V27" s="16" t="str" cm="1">
        <f t="array" ref="V27" ca="1">_xlfn.LET(_xlpm.r,RANDBETWEEN(1,100),_xlfn.IFS(_xlpm.r&lt;=70,"Full-Time",_xlpm.r&lt;=85,"Part-Time",_xlpm.r&lt;=95,"Contract",TRUE,"Intern"))</f>
        <v>Part-Time</v>
      </c>
      <c r="W27" s="16" cm="1">
        <f t="array" ref="W27" ca="1">IF(K27&lt;&gt;"Active",0,_xlfn.IFS(M27=5,L27*15%,M27=4,L27*10%,M27=3,L27*5%,M27=2,L27*2%,TRUE,0))</f>
        <v>1240</v>
      </c>
      <c r="X27" s="24">
        <f t="shared" ca="1" si="8"/>
        <v>8</v>
      </c>
      <c r="Y27" s="24">
        <f t="shared" ca="1" si="9"/>
        <v>2</v>
      </c>
    </row>
    <row r="28" spans="1:25">
      <c r="A28" s="16" t="str">
        <f t="shared" si="10"/>
        <v>EMP027</v>
      </c>
      <c r="B28" s="16" t="str" cm="1">
        <f t="array" ref="B28" ca="1">IF(D28="Male",INDEX(Lookup!$L$2:$L$13,RANDBETWEEN(1,12)),IF(D28="Female",INDEX(Lookup!$M$2:$M$13,RANDBETWEEN(1,12)),INDEX(Lookup!$N$2:$N$13,RANDBETWEEN(1,12))))</f>
        <v>Emily</v>
      </c>
      <c r="C28" s="16" t="str" cm="1">
        <f t="array" ref="C28" ca="1">INDEX(Lookup!$K$2:$K$31,RANDBETWEEN(1,30))</f>
        <v>Kelly</v>
      </c>
      <c r="D28" s="16" t="str" cm="1">
        <f t="array" ref="D28" ca="1">INDEX(Lookup!$H$2:$H$4,RANDBETWEEN(1,3))</f>
        <v>Female</v>
      </c>
      <c r="E28" s="16">
        <f t="shared" ca="1" si="11"/>
        <v>30</v>
      </c>
      <c r="F28" s="16" t="str" cm="1">
        <f t="array" ref="F28" ca="1">INDEX(Lookup!$A$2:$A$10,RANDBETWEEN(1,9))</f>
        <v>HR</v>
      </c>
      <c r="G28" s="16" t="str" cm="1">
        <f t="array" ref="G28" ca="1">_xlfn.LET(_xlpm.Roles,_xlfn._xlws.FILTER(Lookup!$P$2:$P$28,Lookup!$O$2:$O$28=F28),INDEX(_xlpm.Roles,RANDBETWEEN(1,ROWS(_xlpm.Roles))))</f>
        <v>HR Executive</v>
      </c>
      <c r="H28" s="16" t="str" cm="1">
        <f t="array" ref="H28" ca="1">INDEX(Lookup!$B$2:$B$7,RANDBETWEEN(1,6))</f>
        <v>Waterford</v>
      </c>
      <c r="I28" s="22">
        <f t="shared" ca="1" si="0"/>
        <v>44153</v>
      </c>
      <c r="J28" s="22" t="str">
        <f t="shared" ca="1" si="1"/>
        <v/>
      </c>
      <c r="K28" s="16" t="str">
        <f t="shared" ca="1" si="12"/>
        <v>Active</v>
      </c>
      <c r="L28" s="26">
        <f ca="1">_xlfn.XLOOKUP(G28,Lookup!$P$2:$P$28,Lookup!$Q$2:$Q$28)*(1+MIN(X28*3%,30%))</f>
        <v>43260</v>
      </c>
      <c r="M28" s="24">
        <f t="shared" ca="1" si="13"/>
        <v>3</v>
      </c>
      <c r="N28" s="24">
        <f t="shared" ca="1" si="2"/>
        <v>25</v>
      </c>
      <c r="O28" s="24">
        <f t="shared" ca="1" si="3"/>
        <v>3</v>
      </c>
      <c r="P28" s="24">
        <f t="shared" ca="1" si="4"/>
        <v>26</v>
      </c>
      <c r="Q28" s="16" t="str">
        <f t="shared" ca="1" si="5"/>
        <v>Not Promoted</v>
      </c>
      <c r="R28" s="16" t="str" cm="1">
        <f t="array" ref="R28" ca="1">INDEX(Lookup!$E$2:$E$6,RANDBETWEEN(1,5))</f>
        <v>PhD</v>
      </c>
      <c r="S28" s="16" t="str" cm="1">
        <f t="array" ref="S28" ca="1">INDEX(Lookup!$J$2:$J$11,RANDBETWEEN(1,10))</f>
        <v>David Murphy</v>
      </c>
      <c r="T28" s="16" t="str">
        <f t="shared" ca="1" si="6"/>
        <v>emily.kelly@hranalytics.com</v>
      </c>
      <c r="U28" s="16" t="str">
        <f t="shared" ca="1" si="7"/>
        <v>0839753750</v>
      </c>
      <c r="V28" s="16" t="str" cm="1">
        <f t="array" ref="V28" ca="1">_xlfn.LET(_xlpm.r,RANDBETWEEN(1,100),_xlfn.IFS(_xlpm.r&lt;=70,"Full-Time",_xlpm.r&lt;=85,"Part-Time",_xlpm.r&lt;=95,"Contract",TRUE,"Intern"))</f>
        <v>Full-Time</v>
      </c>
      <c r="W28" s="16" cm="1">
        <f t="array" ref="W28" ca="1">IF(K28&lt;&gt;"Active",0,_xlfn.IFS(M28=5,L28*15%,M28=4,L28*10%,M28=3,L28*5%,M28=2,L28*2%,TRUE,0))</f>
        <v>865.2</v>
      </c>
      <c r="X28" s="24">
        <f t="shared" ca="1" si="8"/>
        <v>5</v>
      </c>
      <c r="Y28" s="24">
        <f t="shared" ca="1" si="9"/>
        <v>1</v>
      </c>
    </row>
    <row r="29" spans="1:25">
      <c r="A29" s="16" t="str">
        <f t="shared" si="10"/>
        <v>EMP028</v>
      </c>
      <c r="B29" s="16" t="str" cm="1">
        <f t="array" ref="B29" ca="1">IF(D29="Male",INDEX(Lookup!$L$2:$L$13,RANDBETWEEN(1,12)),IF(D29="Female",INDEX(Lookup!$M$2:$M$13,RANDBETWEEN(1,12)),INDEX(Lookup!$N$2:$N$13,RANDBETWEEN(1,12))))</f>
        <v>Jamie</v>
      </c>
      <c r="C29" s="16" t="str" cm="1">
        <f t="array" ref="C29" ca="1">INDEX(Lookup!$K$2:$K$31,RANDBETWEEN(1,30))</f>
        <v>Walker</v>
      </c>
      <c r="D29" s="16" t="str" cm="1">
        <f t="array" ref="D29" ca="1">INDEX(Lookup!$H$2:$H$4,RANDBETWEEN(1,3))</f>
        <v>Other</v>
      </c>
      <c r="E29" s="16">
        <f t="shared" ca="1" si="11"/>
        <v>50</v>
      </c>
      <c r="F29" s="16" t="str" cm="1">
        <f t="array" ref="F29" ca="1">INDEX(Lookup!$A$2:$A$10,RANDBETWEEN(1,9))</f>
        <v>IT</v>
      </c>
      <c r="G29" s="16" t="str" cm="1">
        <f t="array" ref="G29" ca="1">_xlfn.LET(_xlpm.Roles,_xlfn._xlws.FILTER(Lookup!$P$2:$P$28,Lookup!$O$2:$O$28=F29),INDEX(_xlpm.Roles,RANDBETWEEN(1,ROWS(_xlpm.Roles))))</f>
        <v>IT Support Specialist</v>
      </c>
      <c r="H29" s="16" t="str" cm="1">
        <f t="array" ref="H29" ca="1">INDEX(Lookup!$B$2:$B$7,RANDBETWEEN(1,6))</f>
        <v>Limerick</v>
      </c>
      <c r="I29" s="22">
        <f t="shared" ca="1" si="0"/>
        <v>45253</v>
      </c>
      <c r="J29" s="22">
        <f t="shared" ca="1" si="1"/>
        <v>46586</v>
      </c>
      <c r="K29" s="16" t="str">
        <f t="shared" ca="1" si="12"/>
        <v>Resigned</v>
      </c>
      <c r="L29" s="26">
        <f ca="1">_xlfn.XLOOKUP(G29,Lookup!$P$2:$P$28,Lookup!$Q$2:$Q$28)*(1+MIN(X29*3%,30%))</f>
        <v>55200</v>
      </c>
      <c r="M29" s="24">
        <f t="shared" ca="1" si="13"/>
        <v>1</v>
      </c>
      <c r="N29" s="24">
        <f t="shared" ca="1" si="2"/>
        <v>76</v>
      </c>
      <c r="O29" s="24">
        <f t="shared" ca="1" si="3"/>
        <v>7</v>
      </c>
      <c r="P29" s="24">
        <f t="shared" ca="1" si="4"/>
        <v>57</v>
      </c>
      <c r="Q29" s="16" t="str">
        <f t="shared" ca="1" si="5"/>
        <v>Not Promoted</v>
      </c>
      <c r="R29" s="16" t="str" cm="1">
        <f t="array" ref="R29" ca="1">INDEX(Lookup!$E$2:$E$6,RANDBETWEEN(1,5))</f>
        <v>Bachelor's</v>
      </c>
      <c r="S29" s="16" t="str" cm="1">
        <f t="array" ref="S29" ca="1">INDEX(Lookup!$J$2:$J$11,RANDBETWEEN(1,10))</f>
        <v>Sophia Martin</v>
      </c>
      <c r="T29" s="16" t="str">
        <f t="shared" ca="1" si="6"/>
        <v>jamie.walker@hranalytics.com</v>
      </c>
      <c r="U29" s="16" t="str">
        <f t="shared" ca="1" si="7"/>
        <v>0869833418</v>
      </c>
      <c r="V29" s="16" t="str" cm="1">
        <f t="array" ref="V29" ca="1">_xlfn.LET(_xlpm.r,RANDBETWEEN(1,100),_xlfn.IFS(_xlpm.r&lt;=70,"Full-Time",_xlpm.r&lt;=85,"Part-Time",_xlpm.r&lt;=95,"Contract",TRUE,"Intern"))</f>
        <v>Part-Time</v>
      </c>
      <c r="W29" s="16" cm="1">
        <f t="array" ref="W29" ca="1">IF(K29&lt;&gt;"Active",0,_xlfn.IFS(M29=5,L29*15%,M29=4,L29*10%,M29=3,L29*5%,M29=2,L29*2%,TRUE,0))</f>
        <v>0</v>
      </c>
      <c r="X29" s="24">
        <f t="shared" ca="1" si="8"/>
        <v>2</v>
      </c>
      <c r="Y29" s="24">
        <f t="shared" ca="1" si="9"/>
        <v>1</v>
      </c>
    </row>
    <row r="30" spans="1:25">
      <c r="A30" s="16" t="str">
        <f t="shared" si="10"/>
        <v>EMP029</v>
      </c>
      <c r="B30" s="16" t="str" cm="1">
        <f t="array" ref="B30" ca="1">IF(D30="Male",INDEX(Lookup!$L$2:$L$13,RANDBETWEEN(1,12)),IF(D30="Female",INDEX(Lookup!$M$2:$M$13,RANDBETWEEN(1,12)),INDEX(Lookup!$N$2:$N$13,RANDBETWEEN(1,12))))</f>
        <v>James</v>
      </c>
      <c r="C30" s="16" t="str" cm="1">
        <f t="array" ref="C30" ca="1">INDEX(Lookup!$K$2:$K$31,RANDBETWEEN(1,30))</f>
        <v>King</v>
      </c>
      <c r="D30" s="16" t="str" cm="1">
        <f t="array" ref="D30" ca="1">INDEX(Lookup!$H$2:$H$4,RANDBETWEEN(1,3))</f>
        <v>Male</v>
      </c>
      <c r="E30" s="16">
        <f t="shared" ca="1" si="11"/>
        <v>38</v>
      </c>
      <c r="F30" s="16" t="str" cm="1">
        <f t="array" ref="F30" ca="1">INDEX(Lookup!$A$2:$A$10,RANDBETWEEN(1,9))</f>
        <v>HR</v>
      </c>
      <c r="G30" s="16" t="str" cm="1">
        <f t="array" ref="G30" ca="1">_xlfn.LET(_xlpm.Roles,_xlfn._xlws.FILTER(Lookup!$P$2:$P$28,Lookup!$O$2:$O$28=F30),INDEX(_xlpm.Roles,RANDBETWEEN(1,ROWS(_xlpm.Roles))))</f>
        <v>HR Assistant</v>
      </c>
      <c r="H30" s="16" t="str" cm="1">
        <f t="array" ref="H30" ca="1">INDEX(Lookup!$B$2:$B$7,RANDBETWEEN(1,6))</f>
        <v>Galway</v>
      </c>
      <c r="I30" s="22">
        <f t="shared" ca="1" si="0"/>
        <v>44443</v>
      </c>
      <c r="J30" s="22" t="str">
        <f t="shared" ca="1" si="1"/>
        <v/>
      </c>
      <c r="K30" s="16" t="str">
        <f t="shared" ca="1" si="12"/>
        <v>Active</v>
      </c>
      <c r="L30" s="26">
        <f ca="1">_xlfn.XLOOKUP(G30,Lookup!$P$2:$P$28,Lookup!$Q$2:$Q$28)*(1+MIN(X30*3%,30%))</f>
        <v>37060</v>
      </c>
      <c r="M30" s="24">
        <f t="shared" ca="1" si="13"/>
        <v>4</v>
      </c>
      <c r="N30" s="24">
        <f t="shared" ca="1" si="2"/>
        <v>16</v>
      </c>
      <c r="O30" s="24">
        <f t="shared" ca="1" si="3"/>
        <v>3</v>
      </c>
      <c r="P30" s="24">
        <f t="shared" ca="1" si="4"/>
        <v>51</v>
      </c>
      <c r="Q30" s="16" t="str">
        <f t="shared" ca="1" si="5"/>
        <v>Promoted</v>
      </c>
      <c r="R30" s="16" t="str" cm="1">
        <f t="array" ref="R30" ca="1">INDEX(Lookup!$E$2:$E$6,RANDBETWEEN(1,5))</f>
        <v>Master's</v>
      </c>
      <c r="S30" s="16" t="str" cm="1">
        <f t="array" ref="S30" ca="1">INDEX(Lookup!$J$2:$J$11,RANDBETWEEN(1,10))</f>
        <v>Grace O'Connor</v>
      </c>
      <c r="T30" s="16" t="str">
        <f t="shared" ca="1" si="6"/>
        <v>james.king@hranalytics.com</v>
      </c>
      <c r="U30" s="16" t="str">
        <f t="shared" ca="1" si="7"/>
        <v>0837922666</v>
      </c>
      <c r="V30" s="16" t="str" cm="1">
        <f t="array" ref="V30" ca="1">_xlfn.LET(_xlpm.r,RANDBETWEEN(1,100),_xlfn.IFS(_xlpm.r&lt;=70,"Full-Time",_xlpm.r&lt;=85,"Part-Time",_xlpm.r&lt;=95,"Contract",TRUE,"Intern"))</f>
        <v>Full-Time</v>
      </c>
      <c r="W30" s="16" cm="1">
        <f t="array" ref="W30" ca="1">IF(K30&lt;&gt;"Active",0,_xlfn.IFS(M30=5,L30*15%,M30=4,L30*10%,M30=3,L30*5%,M30=2,L30*2%,TRUE,0))</f>
        <v>741.2</v>
      </c>
      <c r="X30" s="24">
        <f t="shared" ca="1" si="8"/>
        <v>4</v>
      </c>
      <c r="Y30" s="24">
        <f t="shared" ca="1" si="9"/>
        <v>3</v>
      </c>
    </row>
    <row r="31" spans="1:25">
      <c r="A31" s="16" t="str">
        <f t="shared" si="10"/>
        <v>EMP030</v>
      </c>
      <c r="B31" s="16" t="str" cm="1">
        <f t="array" ref="B31" ca="1">IF(D31="Male",INDEX(Lookup!$L$2:$L$13,RANDBETWEEN(1,12)),IF(D31="Female",INDEX(Lookup!$M$2:$M$13,RANDBETWEEN(1,12)),INDEX(Lookup!$N$2:$N$13,RANDBETWEEN(1,12))))</f>
        <v>Daniel</v>
      </c>
      <c r="C31" s="16" t="str" cm="1">
        <f t="array" ref="C31" ca="1">INDEX(Lookup!$K$2:$K$31,RANDBETWEEN(1,30))</f>
        <v>Scott</v>
      </c>
      <c r="D31" s="16" t="str" cm="1">
        <f t="array" ref="D31" ca="1">INDEX(Lookup!$H$2:$H$4,RANDBETWEEN(1,3))</f>
        <v>Male</v>
      </c>
      <c r="E31" s="16">
        <f t="shared" ca="1" si="11"/>
        <v>52</v>
      </c>
      <c r="F31" s="16" t="str" cm="1">
        <f t="array" ref="F31" ca="1">INDEX(Lookup!$A$2:$A$10,RANDBETWEEN(1,9))</f>
        <v>Finance</v>
      </c>
      <c r="G31" s="16" t="str" cm="1">
        <f t="array" ref="G31" ca="1">_xlfn.LET(_xlpm.Roles,_xlfn._xlws.FILTER(Lookup!$P$2:$P$28,Lookup!$O$2:$O$28=F31),INDEX(_xlpm.Roles,RANDBETWEEN(1,ROWS(_xlpm.Roles))))</f>
        <v>Financial Analyst</v>
      </c>
      <c r="H31" s="16" t="str" cm="1">
        <f t="array" ref="H31" ca="1">INDEX(Lookup!$B$2:$B$7,RANDBETWEEN(1,6))</f>
        <v>Limerick</v>
      </c>
      <c r="I31" s="22">
        <f t="shared" ca="1" si="0"/>
        <v>43231</v>
      </c>
      <c r="J31" s="22" t="str">
        <f t="shared" ca="1" si="1"/>
        <v/>
      </c>
      <c r="K31" s="16" t="str">
        <f t="shared" ca="1" si="12"/>
        <v>Active</v>
      </c>
      <c r="L31" s="26">
        <f ca="1">_xlfn.XLOOKUP(G31,Lookup!$P$2:$P$28,Lookup!$Q$2:$Q$28)*(1+MIN(X31*3%,30%))</f>
        <v>66700</v>
      </c>
      <c r="M31" s="24">
        <f t="shared" ca="1" si="13"/>
        <v>3</v>
      </c>
      <c r="N31" s="24">
        <f t="shared" ca="1" si="2"/>
        <v>0</v>
      </c>
      <c r="O31" s="24">
        <f t="shared" ca="1" si="3"/>
        <v>20</v>
      </c>
      <c r="P31" s="24">
        <f t="shared" ca="1" si="4"/>
        <v>10</v>
      </c>
      <c r="Q31" s="16" t="str">
        <f t="shared" ca="1" si="5"/>
        <v>Promoted</v>
      </c>
      <c r="R31" s="16" t="str" cm="1">
        <f t="array" ref="R31" ca="1">INDEX(Lookup!$E$2:$E$6,RANDBETWEEN(1,5))</f>
        <v>PhD</v>
      </c>
      <c r="S31" s="16" t="str" cm="1">
        <f t="array" ref="S31" ca="1">INDEX(Lookup!$J$2:$J$11,RANDBETWEEN(1,10))</f>
        <v>Emma Wilson</v>
      </c>
      <c r="T31" s="16" t="str">
        <f t="shared" ca="1" si="6"/>
        <v>daniel.scott@hranalytics.com</v>
      </c>
      <c r="U31" s="16" t="str">
        <f t="shared" ca="1" si="7"/>
        <v>0835466860</v>
      </c>
      <c r="V31" s="16" t="str" cm="1">
        <f t="array" ref="V31" ca="1">_xlfn.LET(_xlpm.r,RANDBETWEEN(1,100),_xlfn.IFS(_xlpm.r&lt;=70,"Full-Time",_xlpm.r&lt;=85,"Part-Time",_xlpm.r&lt;=95,"Contract",TRUE,"Intern"))</f>
        <v>Full-Time</v>
      </c>
      <c r="W31" s="16" cm="1">
        <f t="array" ref="W31" ca="1">IF(K31&lt;&gt;"Active",0,_xlfn.IFS(M31=5,L31*15%,M31=4,L31*10%,M31=3,L31*5%,M31=2,L31*2%,TRUE,0))</f>
        <v>3335</v>
      </c>
      <c r="X31" s="24">
        <f t="shared" ca="1" si="8"/>
        <v>8</v>
      </c>
      <c r="Y31" s="24">
        <f t="shared" ca="1" si="9"/>
        <v>2</v>
      </c>
    </row>
    <row r="32" spans="1:25">
      <c r="A32" s="16" t="str">
        <f t="shared" si="10"/>
        <v>EMP031</v>
      </c>
      <c r="B32" s="16" t="str" cm="1">
        <f t="array" ref="B32" ca="1">IF(D32="Male",INDEX(Lookup!$L$2:$L$13,RANDBETWEEN(1,12)),IF(D32="Female",INDEX(Lookup!$M$2:$M$13,RANDBETWEEN(1,12)),INDEX(Lookup!$N$2:$N$13,RANDBETWEEN(1,12))))</f>
        <v>Emma</v>
      </c>
      <c r="C32" s="16" t="str" cm="1">
        <f t="array" ref="C32" ca="1">INDEX(Lookup!$K$2:$K$31,RANDBETWEEN(1,30))</f>
        <v>Adams</v>
      </c>
      <c r="D32" s="16" t="str" cm="1">
        <f t="array" ref="D32" ca="1">INDEX(Lookup!$H$2:$H$4,RANDBETWEEN(1,3))</f>
        <v>Female</v>
      </c>
      <c r="E32" s="16">
        <f t="shared" ca="1" si="11"/>
        <v>47</v>
      </c>
      <c r="F32" s="16" t="str" cm="1">
        <f t="array" ref="F32" ca="1">INDEX(Lookup!$A$2:$A$10,RANDBETWEEN(1,9))</f>
        <v>Customer Support</v>
      </c>
      <c r="G32" s="16" t="str" cm="1">
        <f t="array" ref="G32" ca="1">_xlfn.LET(_xlpm.Roles,_xlfn._xlws.FILTER(Lookup!$P$2:$P$28,Lookup!$O$2:$O$28=F32),INDEX(_xlpm.Roles,RANDBETWEEN(1,ROWS(_xlpm.Roles))))</f>
        <v>Customer Support Representative</v>
      </c>
      <c r="H32" s="16" t="str" cm="1">
        <f t="array" ref="H32" ca="1">INDEX(Lookup!$B$2:$B$7,RANDBETWEEN(1,6))</f>
        <v>Cork</v>
      </c>
      <c r="I32" s="22">
        <f t="shared" ca="1" si="0"/>
        <v>44233</v>
      </c>
      <c r="J32" s="22" t="str">
        <f t="shared" ca="1" si="1"/>
        <v/>
      </c>
      <c r="K32" s="16" t="str">
        <f t="shared" ca="1" si="12"/>
        <v>Active</v>
      </c>
      <c r="L32" s="26">
        <f ca="1">_xlfn.XLOOKUP(G32,Lookup!$P$2:$P$28,Lookup!$Q$2:$Q$28)*(1+MIN(X32*3%,30%))</f>
        <v>38160</v>
      </c>
      <c r="M32" s="24">
        <f t="shared" ca="1" si="13"/>
        <v>2</v>
      </c>
      <c r="N32" s="24">
        <f t="shared" ca="1" si="2"/>
        <v>62</v>
      </c>
      <c r="O32" s="24">
        <f t="shared" ca="1" si="3"/>
        <v>14</v>
      </c>
      <c r="P32" s="24">
        <f t="shared" ca="1" si="4"/>
        <v>15</v>
      </c>
      <c r="Q32" s="16" t="str">
        <f t="shared" ca="1" si="5"/>
        <v>Not Promoted</v>
      </c>
      <c r="R32" s="16" t="str" cm="1">
        <f t="array" ref="R32" ca="1">INDEX(Lookup!$E$2:$E$6,RANDBETWEEN(1,5))</f>
        <v>High School</v>
      </c>
      <c r="S32" s="16" t="str" cm="1">
        <f t="array" ref="S32" ca="1">INDEX(Lookup!$J$2:$J$11,RANDBETWEEN(1,10))</f>
        <v>Michael Brown</v>
      </c>
      <c r="T32" s="16" t="str">
        <f t="shared" ca="1" si="6"/>
        <v>emma.adams@hranalytics.com</v>
      </c>
      <c r="U32" s="16" t="str">
        <f t="shared" ca="1" si="7"/>
        <v>0834561194</v>
      </c>
      <c r="V32" s="16" t="str" cm="1">
        <f t="array" ref="V32" ca="1">_xlfn.LET(_xlpm.r,RANDBETWEEN(1,100),_xlfn.IFS(_xlpm.r&lt;=70,"Full-Time",_xlpm.r&lt;=85,"Part-Time",_xlpm.r&lt;=95,"Contract",TRUE,"Intern"))</f>
        <v>Part-Time</v>
      </c>
      <c r="W32" s="16" cm="1">
        <f t="array" ref="W32" ca="1">IF(K32&lt;&gt;"Active",0,_xlfn.IFS(M32=5,L32*15%,M32=4,L32*10%,M32=3,L32*5%,M32=2,L32*2%,TRUE,0))</f>
        <v>0</v>
      </c>
      <c r="X32" s="24">
        <f t="shared" ca="1" si="8"/>
        <v>5</v>
      </c>
      <c r="Y32" s="24">
        <f t="shared" ca="1" si="9"/>
        <v>3</v>
      </c>
    </row>
    <row r="33" spans="1:25">
      <c r="A33" s="16" t="str">
        <f t="shared" si="10"/>
        <v>EMP032</v>
      </c>
      <c r="B33" s="16" t="str" cm="1">
        <f t="array" ref="B33" ca="1">IF(D33="Male",INDEX(Lookup!$L$2:$L$13,RANDBETWEEN(1,12)),IF(D33="Female",INDEX(Lookup!$M$2:$M$13,RANDBETWEEN(1,12)),INDEX(Lookup!$N$2:$N$13,RANDBETWEEN(1,12))))</f>
        <v>Olivia</v>
      </c>
      <c r="C33" s="16" t="str" cm="1">
        <f t="array" ref="C33" ca="1">INDEX(Lookup!$K$2:$K$31,RANDBETWEEN(1,30))</f>
        <v>Cooper</v>
      </c>
      <c r="D33" s="16" t="str" cm="1">
        <f t="array" ref="D33" ca="1">INDEX(Lookup!$H$2:$H$4,RANDBETWEEN(1,3))</f>
        <v>Female</v>
      </c>
      <c r="E33" s="16">
        <f t="shared" ca="1" si="11"/>
        <v>25</v>
      </c>
      <c r="F33" s="16" t="str" cm="1">
        <f t="array" ref="F33" ca="1">INDEX(Lookup!$A$2:$A$10,RANDBETWEEN(1,9))</f>
        <v>Legal</v>
      </c>
      <c r="G33" s="16" t="str" cm="1">
        <f t="array" ref="G33" ca="1">_xlfn.LET(_xlpm.Roles,_xlfn._xlws.FILTER(Lookup!$P$2:$P$28,Lookup!$O$2:$O$28=F33),INDEX(_xlpm.Roles,RANDBETWEEN(1,ROWS(_xlpm.Roles))))</f>
        <v>Legal Assistant</v>
      </c>
      <c r="H33" s="16" t="str" cm="1">
        <f t="array" ref="H33" ca="1">INDEX(Lookup!$B$2:$B$7,RANDBETWEEN(1,6))</f>
        <v>Dublin</v>
      </c>
      <c r="I33" s="22">
        <f t="shared" ca="1" si="0"/>
        <v>44113</v>
      </c>
      <c r="J33" s="22" t="str">
        <f t="shared" ca="1" si="1"/>
        <v/>
      </c>
      <c r="K33" s="16" t="str">
        <f t="shared" ca="1" si="12"/>
        <v>Active</v>
      </c>
      <c r="L33" s="26">
        <f ca="1">_xlfn.XLOOKUP(G33,Lookup!$P$2:$P$28,Lookup!$Q$2:$Q$28)*(1+MIN(X33*3%,30%))</f>
        <v>50820</v>
      </c>
      <c r="M33" s="24">
        <f t="shared" ca="1" si="13"/>
        <v>5</v>
      </c>
      <c r="N33" s="24">
        <f t="shared" ca="1" si="2"/>
        <v>70</v>
      </c>
      <c r="O33" s="24">
        <f t="shared" ca="1" si="3"/>
        <v>6</v>
      </c>
      <c r="P33" s="24">
        <f t="shared" ca="1" si="4"/>
        <v>57</v>
      </c>
      <c r="Q33" s="16" t="str">
        <f t="shared" ca="1" si="5"/>
        <v>Not Promoted</v>
      </c>
      <c r="R33" s="16" t="str" cm="1">
        <f t="array" ref="R33" ca="1">INDEX(Lookup!$E$2:$E$6,RANDBETWEEN(1,5))</f>
        <v>Master's</v>
      </c>
      <c r="S33" s="16" t="str" cm="1">
        <f t="array" ref="S33" ca="1">INDEX(Lookup!$J$2:$J$11,RANDBETWEEN(1,10))</f>
        <v>Olivia Smith</v>
      </c>
      <c r="T33" s="16" t="str">
        <f t="shared" ca="1" si="6"/>
        <v>olivia.cooper@hranalytics.com</v>
      </c>
      <c r="U33" s="16" t="str">
        <f t="shared" ca="1" si="7"/>
        <v>0849723767</v>
      </c>
      <c r="V33" s="16" t="str" cm="1">
        <f t="array" ref="V33" ca="1">_xlfn.LET(_xlpm.r,RANDBETWEEN(1,100),_xlfn.IFS(_xlpm.r&lt;=70,"Full-Time",_xlpm.r&lt;=85,"Part-Time",_xlpm.r&lt;=95,"Contract",TRUE,"Intern"))</f>
        <v>Full-Time</v>
      </c>
      <c r="W33" s="16" cm="1">
        <f t="array" ref="W33" ca="1">IF(K33&lt;&gt;"Active",0,_xlfn.IFS(M33=5,L33*15%,M33=4,L33*10%,M33=3,L33*5%,M33=2,L33*2%,TRUE,0))</f>
        <v>0</v>
      </c>
      <c r="X33" s="24">
        <f t="shared" ca="1" si="8"/>
        <v>5</v>
      </c>
      <c r="Y33" s="24">
        <f t="shared" ca="1" si="9"/>
        <v>3</v>
      </c>
    </row>
    <row r="34" spans="1:25">
      <c r="A34" s="16" t="str">
        <f t="shared" si="10"/>
        <v>EMP033</v>
      </c>
      <c r="B34" s="16" t="str" cm="1">
        <f t="array" ref="B34" ca="1">IF(D34="Male",INDEX(Lookup!$L$2:$L$13,RANDBETWEEN(1,12)),IF(D34="Female",INDEX(Lookup!$M$2:$M$13,RANDBETWEEN(1,12)),INDEX(Lookup!$N$2:$N$13,RANDBETWEEN(1,12))))</f>
        <v>Ryan</v>
      </c>
      <c r="C34" s="16" t="str" cm="1">
        <f t="array" ref="C34" ca="1">INDEX(Lookup!$K$2:$K$31,RANDBETWEEN(1,30))</f>
        <v>Parker</v>
      </c>
      <c r="D34" s="16" t="str" cm="1">
        <f t="array" ref="D34" ca="1">INDEX(Lookup!$H$2:$H$4,RANDBETWEEN(1,3))</f>
        <v>Male</v>
      </c>
      <c r="E34" s="16">
        <f t="shared" ca="1" si="11"/>
        <v>59</v>
      </c>
      <c r="F34" s="16" t="str" cm="1">
        <f t="array" ref="F34" ca="1">INDEX(Lookup!$A$2:$A$10,RANDBETWEEN(1,9))</f>
        <v>Customer Support</v>
      </c>
      <c r="G34" s="16" t="str" cm="1">
        <f t="array" ref="G34" ca="1">_xlfn.LET(_xlpm.Roles,_xlfn._xlws.FILTER(Lookup!$P$2:$P$28,Lookup!$O$2:$O$28=F34),INDEX(_xlpm.Roles,RANDBETWEEN(1,ROWS(_xlpm.Roles))))</f>
        <v>Technical Support Specialist</v>
      </c>
      <c r="H34" s="16" t="str" cm="1">
        <f t="array" ref="H34" ca="1">INDEX(Lookup!$B$2:$B$7,RANDBETWEEN(1,6))</f>
        <v>Cork</v>
      </c>
      <c r="I34" s="22">
        <f t="shared" ca="1" si="0"/>
        <v>45976</v>
      </c>
      <c r="J34" s="22" t="str">
        <f t="shared" ca="1" si="1"/>
        <v/>
      </c>
      <c r="K34" s="16" t="str">
        <f t="shared" ca="1" si="12"/>
        <v>Active</v>
      </c>
      <c r="L34" s="26">
        <f ca="1">_xlfn.XLOOKUP(G34,Lookup!$P$2:$P$28,Lookup!$Q$2:$Q$28)*(1+MIN(X34*3%,30%))</f>
        <v>46350</v>
      </c>
      <c r="M34" s="24">
        <f t="shared" ca="1" si="13"/>
        <v>2</v>
      </c>
      <c r="N34" s="24">
        <f t="shared" ca="1" si="2"/>
        <v>80</v>
      </c>
      <c r="O34" s="24">
        <f t="shared" ca="1" si="3"/>
        <v>0</v>
      </c>
      <c r="P34" s="24">
        <f t="shared" ca="1" si="4"/>
        <v>39</v>
      </c>
      <c r="Q34" s="16" t="str">
        <f t="shared" ca="1" si="5"/>
        <v>Not Promoted</v>
      </c>
      <c r="R34" s="16" t="str" cm="1">
        <f t="array" ref="R34" ca="1">INDEX(Lookup!$E$2:$E$6,RANDBETWEEN(1,5))</f>
        <v>Master's</v>
      </c>
      <c r="S34" s="16" t="str" cm="1">
        <f t="array" ref="S34" ca="1">INDEX(Lookup!$J$2:$J$11,RANDBETWEEN(1,10))</f>
        <v>Sophia Martin</v>
      </c>
      <c r="T34" s="16" t="str">
        <f t="shared" ca="1" si="6"/>
        <v>ryan.parker@hranalytics.com</v>
      </c>
      <c r="U34" s="16" t="str">
        <f t="shared" ca="1" si="7"/>
        <v>0873432218</v>
      </c>
      <c r="V34" s="16" t="str" cm="1">
        <f t="array" ref="V34" ca="1">_xlfn.LET(_xlpm.r,RANDBETWEEN(1,100),_xlfn.IFS(_xlpm.r&lt;=70,"Full-Time",_xlpm.r&lt;=85,"Part-Time",_xlpm.r&lt;=95,"Contract",TRUE,"Intern"))</f>
        <v>Contract</v>
      </c>
      <c r="W34" s="16" cm="1">
        <f t="array" ref="W34" ca="1">IF(K34&lt;&gt;"Active",0,_xlfn.IFS(M34=5,L34*15%,M34=4,L34*10%,M34=3,L34*5%,M34=2,L34*2%,TRUE,0))</f>
        <v>4635</v>
      </c>
      <c r="X34" s="24">
        <f t="shared" ca="1" si="8"/>
        <v>0</v>
      </c>
      <c r="Y34" s="24">
        <f t="shared" ca="1" si="9"/>
        <v>2</v>
      </c>
    </row>
    <row r="35" spans="1:25">
      <c r="A35" s="16" t="str">
        <f t="shared" si="10"/>
        <v>EMP034</v>
      </c>
      <c r="B35" s="16" t="str" cm="1">
        <f t="array" ref="B35" ca="1">IF(D35="Male",INDEX(Lookup!$L$2:$L$13,RANDBETWEEN(1,12)),IF(D35="Female",INDEX(Lookup!$M$2:$M$13,RANDBETWEEN(1,12)),INDEX(Lookup!$N$2:$N$13,RANDBETWEEN(1,12))))</f>
        <v>David</v>
      </c>
      <c r="C35" s="16" t="str" cm="1">
        <f t="array" ref="C35" ca="1">INDEX(Lookup!$K$2:$K$31,RANDBETWEEN(1,30))</f>
        <v>Thomas</v>
      </c>
      <c r="D35" s="16" t="str" cm="1">
        <f t="array" ref="D35" ca="1">INDEX(Lookup!$H$2:$H$4,RANDBETWEEN(1,3))</f>
        <v>Male</v>
      </c>
      <c r="E35" s="16">
        <f t="shared" ca="1" si="11"/>
        <v>53</v>
      </c>
      <c r="F35" s="16" t="str" cm="1">
        <f t="array" ref="F35" ca="1">INDEX(Lookup!$A$2:$A$10,RANDBETWEEN(1,9))</f>
        <v>Customer Support</v>
      </c>
      <c r="G35" s="16" t="str" cm="1">
        <f t="array" ref="G35" ca="1">_xlfn.LET(_xlpm.Roles,_xlfn._xlws.FILTER(Lookup!$P$2:$P$28,Lookup!$O$2:$O$28=F35),INDEX(_xlpm.Roles,RANDBETWEEN(1,ROWS(_xlpm.Roles))))</f>
        <v>Technical Support Specialist</v>
      </c>
      <c r="H35" s="16" t="str" cm="1">
        <f t="array" ref="H35" ca="1">INDEX(Lookup!$B$2:$B$7,RANDBETWEEN(1,6))</f>
        <v>Galway</v>
      </c>
      <c r="I35" s="22">
        <f t="shared" ca="1" si="0"/>
        <v>44996</v>
      </c>
      <c r="J35" s="22" t="str">
        <f t="shared" ca="1" si="1"/>
        <v/>
      </c>
      <c r="K35" s="16" t="str">
        <f t="shared" ca="1" si="12"/>
        <v>Active</v>
      </c>
      <c r="L35" s="26">
        <f ca="1">_xlfn.XLOOKUP(G35,Lookup!$P$2:$P$28,Lookup!$Q$2:$Q$28)*(1+MIN(X35*3%,30%))</f>
        <v>49050</v>
      </c>
      <c r="M35" s="24">
        <f t="shared" ca="1" si="13"/>
        <v>5</v>
      </c>
      <c r="N35" s="24">
        <f t="shared" ca="1" si="2"/>
        <v>51</v>
      </c>
      <c r="O35" s="24">
        <f t="shared" ca="1" si="3"/>
        <v>18</v>
      </c>
      <c r="P35" s="24">
        <f t="shared" ca="1" si="4"/>
        <v>57</v>
      </c>
      <c r="Q35" s="16" t="str">
        <f t="shared" ca="1" si="5"/>
        <v>Promoted</v>
      </c>
      <c r="R35" s="16" t="str" cm="1">
        <f t="array" ref="R35" ca="1">INDEX(Lookup!$E$2:$E$6,RANDBETWEEN(1,5))</f>
        <v>High School</v>
      </c>
      <c r="S35" s="16" t="str" cm="1">
        <f t="array" ref="S35" ca="1">INDEX(Lookup!$J$2:$J$11,RANDBETWEEN(1,10))</f>
        <v>Olivia Smith</v>
      </c>
      <c r="T35" s="16" t="str">
        <f t="shared" ca="1" si="6"/>
        <v>david.thomas@hranalytics.com</v>
      </c>
      <c r="U35" s="16" t="str">
        <f t="shared" ca="1" si="7"/>
        <v>0838899637</v>
      </c>
      <c r="V35" s="16" t="str" cm="1">
        <f t="array" ref="V35" ca="1">_xlfn.LET(_xlpm.r,RANDBETWEEN(1,100),_xlfn.IFS(_xlpm.r&lt;=70,"Full-Time",_xlpm.r&lt;=85,"Part-Time",_xlpm.r&lt;=95,"Contract",TRUE,"Intern"))</f>
        <v>Part-Time</v>
      </c>
      <c r="W35" s="16" cm="1">
        <f t="array" ref="W35" ca="1">IF(K35&lt;&gt;"Active",0,_xlfn.IFS(M35=5,L35*15%,M35=4,L35*10%,M35=3,L35*5%,M35=2,L35*2%,TRUE,0))</f>
        <v>0</v>
      </c>
      <c r="X35" s="24">
        <f t="shared" ca="1" si="8"/>
        <v>3</v>
      </c>
      <c r="Y35" s="24">
        <f t="shared" ca="1" si="9"/>
        <v>2</v>
      </c>
    </row>
    <row r="36" spans="1:25">
      <c r="A36" s="16" t="str">
        <f t="shared" si="10"/>
        <v>EMP035</v>
      </c>
      <c r="B36" s="16" t="str" cm="1">
        <f t="array" ref="B36" ca="1">IF(D36="Male",INDEX(Lookup!$L$2:$L$13,RANDBETWEEN(1,12)),IF(D36="Female",INDEX(Lookup!$M$2:$M$13,RANDBETWEEN(1,12)),INDEX(Lookup!$N$2:$N$13,RANDBETWEEN(1,12))))</f>
        <v>Noah</v>
      </c>
      <c r="C36" s="16" t="str" cm="1">
        <f t="array" ref="C36" ca="1">INDEX(Lookup!$K$2:$K$31,RANDBETWEEN(1,30))</f>
        <v>Lewis</v>
      </c>
      <c r="D36" s="16" t="str" cm="1">
        <f t="array" ref="D36" ca="1">INDEX(Lookup!$H$2:$H$4,RANDBETWEEN(1,3))</f>
        <v>Male</v>
      </c>
      <c r="E36" s="16">
        <f t="shared" ca="1" si="11"/>
        <v>30</v>
      </c>
      <c r="F36" s="16" t="str" cm="1">
        <f t="array" ref="F36" ca="1">INDEX(Lookup!$A$2:$A$10,RANDBETWEEN(1,9))</f>
        <v>Sales</v>
      </c>
      <c r="G36" s="16" t="str" cm="1">
        <f t="array" ref="G36" ca="1">_xlfn.LET(_xlpm.Roles,_xlfn._xlws.FILTER(Lookup!$P$2:$P$28,Lookup!$O$2:$O$28=F36),INDEX(_xlpm.Roles,RANDBETWEEN(1,ROWS(_xlpm.Roles))))</f>
        <v>Business Development Executive</v>
      </c>
      <c r="H36" s="16" t="str" cm="1">
        <f t="array" ref="H36" ca="1">INDEX(Lookup!$B$2:$B$7,RANDBETWEEN(1,6))</f>
        <v>Waterford</v>
      </c>
      <c r="I36" s="22">
        <f t="shared" ca="1" si="0"/>
        <v>44140</v>
      </c>
      <c r="J36" s="22" t="str">
        <f t="shared" ca="1" si="1"/>
        <v/>
      </c>
      <c r="K36" s="16" t="str">
        <f t="shared" ca="1" si="12"/>
        <v>Active</v>
      </c>
      <c r="L36" s="26">
        <f ca="1">_xlfn.XLOOKUP(G36,Lookup!$P$2:$P$28,Lookup!$Q$2:$Q$28)*(1+MIN(X36*3%,30%))</f>
        <v>55200</v>
      </c>
      <c r="M36" s="24">
        <f t="shared" ca="1" si="13"/>
        <v>3</v>
      </c>
      <c r="N36" s="24">
        <f t="shared" ca="1" si="2"/>
        <v>58</v>
      </c>
      <c r="O36" s="24">
        <f t="shared" ca="1" si="3"/>
        <v>14</v>
      </c>
      <c r="P36" s="24">
        <f t="shared" ca="1" si="4"/>
        <v>45</v>
      </c>
      <c r="Q36" s="16" t="str">
        <f t="shared" ca="1" si="5"/>
        <v>Not Promoted</v>
      </c>
      <c r="R36" s="16" t="str" cm="1">
        <f t="array" ref="R36" ca="1">INDEX(Lookup!$E$2:$E$6,RANDBETWEEN(1,5))</f>
        <v>Bachelor's</v>
      </c>
      <c r="S36" s="16" t="str" cm="1">
        <f t="array" ref="S36" ca="1">INDEX(Lookup!$J$2:$J$11,RANDBETWEEN(1,10))</f>
        <v>Michael Brown</v>
      </c>
      <c r="T36" s="16" t="str">
        <f t="shared" ca="1" si="6"/>
        <v>noah.lewis@hranalytics.com</v>
      </c>
      <c r="U36" s="16" t="str">
        <f t="shared" ca="1" si="7"/>
        <v>0864778338</v>
      </c>
      <c r="V36" s="16" t="str" cm="1">
        <f t="array" ref="V36" ca="1">_xlfn.LET(_xlpm.r,RANDBETWEEN(1,100),_xlfn.IFS(_xlpm.r&lt;=70,"Full-Time",_xlpm.r&lt;=85,"Part-Time",_xlpm.r&lt;=95,"Contract",TRUE,"Intern"))</f>
        <v>Full-Time</v>
      </c>
      <c r="W36" s="16" cm="1">
        <f t="array" ref="W36" ca="1">IF(K36&lt;&gt;"Active",0,_xlfn.IFS(M36=5,L36*15%,M36=4,L36*10%,M36=3,L36*5%,M36=2,L36*2%,TRUE,0))</f>
        <v>0</v>
      </c>
      <c r="X36" s="24">
        <f t="shared" ca="1" si="8"/>
        <v>5</v>
      </c>
      <c r="Y36" s="24">
        <f t="shared" ca="1" si="9"/>
        <v>3</v>
      </c>
    </row>
    <row r="37" spans="1:25">
      <c r="A37" s="16" t="str">
        <f t="shared" si="10"/>
        <v>EMP036</v>
      </c>
      <c r="B37" s="16" t="str" cm="1">
        <f t="array" ref="B37" ca="1">IF(D37="Male",INDEX(Lookup!$L$2:$L$13,RANDBETWEEN(1,12)),IF(D37="Female",INDEX(Lookup!$M$2:$M$13,RANDBETWEEN(1,12)),INDEX(Lookup!$N$2:$N$13,RANDBETWEEN(1,12))))</f>
        <v>Amelia</v>
      </c>
      <c r="C37" s="16" t="str" cm="1">
        <f t="array" ref="C37" ca="1">INDEX(Lookup!$K$2:$K$31,RANDBETWEEN(1,30))</f>
        <v>Martin</v>
      </c>
      <c r="D37" s="16" t="str" cm="1">
        <f t="array" ref="D37" ca="1">INDEX(Lookup!$H$2:$H$4,RANDBETWEEN(1,3))</f>
        <v>Female</v>
      </c>
      <c r="E37" s="16">
        <f t="shared" ca="1" si="11"/>
        <v>22</v>
      </c>
      <c r="F37" s="16" t="str" cm="1">
        <f t="array" ref="F37" ca="1">INDEX(Lookup!$A$2:$A$10,RANDBETWEEN(1,9))</f>
        <v>HR</v>
      </c>
      <c r="G37" s="16" t="str" cm="1">
        <f t="array" ref="G37" ca="1">_xlfn.LET(_xlpm.Roles,_xlfn._xlws.FILTER(Lookup!$P$2:$P$28,Lookup!$O$2:$O$28=F37),INDEX(_xlpm.Roles,RANDBETWEEN(1,ROWS(_xlpm.Roles))))</f>
        <v>HR Assistant</v>
      </c>
      <c r="H37" s="16" t="str" cm="1">
        <f t="array" ref="H37" ca="1">INDEX(Lookup!$B$2:$B$7,RANDBETWEEN(1,6))</f>
        <v>Belfast</v>
      </c>
      <c r="I37" s="22">
        <f t="shared" ca="1" si="0"/>
        <v>43623</v>
      </c>
      <c r="J37" s="22" t="str">
        <f t="shared" ca="1" si="1"/>
        <v/>
      </c>
      <c r="K37" s="16" t="str">
        <f t="shared" ca="1" si="12"/>
        <v>Active</v>
      </c>
      <c r="L37" s="26">
        <f ca="1">_xlfn.XLOOKUP(G37,Lookup!$P$2:$P$28,Lookup!$Q$2:$Q$28)*(1+MIN(X37*3%,30%))</f>
        <v>36040</v>
      </c>
      <c r="M37" s="24">
        <f t="shared" ca="1" si="13"/>
        <v>4</v>
      </c>
      <c r="N37" s="24">
        <f t="shared" ca="1" si="2"/>
        <v>68</v>
      </c>
      <c r="O37" s="24">
        <f t="shared" ca="1" si="3"/>
        <v>11</v>
      </c>
      <c r="P37" s="24">
        <f t="shared" ca="1" si="4"/>
        <v>39</v>
      </c>
      <c r="Q37" s="16" t="str">
        <f t="shared" ca="1" si="5"/>
        <v>Promoted</v>
      </c>
      <c r="R37" s="16" t="str" cm="1">
        <f t="array" ref="R37" ca="1">INDEX(Lookup!$E$2:$E$6,RANDBETWEEN(1,5))</f>
        <v>PhD</v>
      </c>
      <c r="S37" s="16" t="str" cm="1">
        <f t="array" ref="S37" ca="1">INDEX(Lookup!$J$2:$J$11,RANDBETWEEN(1,10))</f>
        <v>Olivia Smith</v>
      </c>
      <c r="T37" s="16" t="str">
        <f t="shared" ca="1" si="6"/>
        <v>amelia.martin@hranalytics.com</v>
      </c>
      <c r="U37" s="16" t="str">
        <f t="shared" ca="1" si="7"/>
        <v>0849691999</v>
      </c>
      <c r="V37" s="16" t="str" cm="1">
        <f t="array" ref="V37" ca="1">_xlfn.LET(_xlpm.r,RANDBETWEEN(1,100),_xlfn.IFS(_xlpm.r&lt;=70,"Full-Time",_xlpm.r&lt;=85,"Part-Time",_xlpm.r&lt;=95,"Contract",TRUE,"Intern"))</f>
        <v>Full-Time</v>
      </c>
      <c r="W37" s="16" cm="1">
        <f t="array" ref="W37" ca="1">IF(K37&lt;&gt;"Active",0,_xlfn.IFS(M37=5,L37*15%,M37=4,L37*10%,M37=3,L37*5%,M37=2,L37*2%,TRUE,0))</f>
        <v>3604</v>
      </c>
      <c r="X37" s="24">
        <f t="shared" ca="1" si="8"/>
        <v>7</v>
      </c>
      <c r="Y37" s="24">
        <f t="shared" ca="1" si="9"/>
        <v>3</v>
      </c>
    </row>
    <row r="38" spans="1:25">
      <c r="A38" s="16" t="str">
        <f t="shared" si="10"/>
        <v>EMP037</v>
      </c>
      <c r="B38" s="16" t="str" cm="1">
        <f t="array" ref="B38" ca="1">IF(D38="Male",INDEX(Lookup!$L$2:$L$13,RANDBETWEEN(1,12)),IF(D38="Female",INDEX(Lookup!$M$2:$M$13,RANDBETWEEN(1,12)),INDEX(Lookup!$N$2:$N$13,RANDBETWEEN(1,12))))</f>
        <v>Avery</v>
      </c>
      <c r="C38" s="16" t="str" cm="1">
        <f t="array" ref="C38" ca="1">INDEX(Lookup!$K$2:$K$31,RANDBETWEEN(1,30))</f>
        <v>Brown</v>
      </c>
      <c r="D38" s="16" t="str" cm="1">
        <f t="array" ref="D38" ca="1">INDEX(Lookup!$H$2:$H$4,RANDBETWEEN(1,3))</f>
        <v>Other</v>
      </c>
      <c r="E38" s="16">
        <f t="shared" ca="1" si="11"/>
        <v>60</v>
      </c>
      <c r="F38" s="16" t="str" cm="1">
        <f t="array" ref="F38" ca="1">INDEX(Lookup!$A$2:$A$10,RANDBETWEEN(1,9))</f>
        <v>Customer Support</v>
      </c>
      <c r="G38" s="16" t="str" cm="1">
        <f t="array" ref="G38" ca="1">_xlfn.LET(_xlpm.Roles,_xlfn._xlws.FILTER(Lookup!$P$2:$P$28,Lookup!$O$2:$O$28=F38),INDEX(_xlpm.Roles,RANDBETWEEN(1,ROWS(_xlpm.Roles))))</f>
        <v>Customer Success Specialist</v>
      </c>
      <c r="H38" s="16" t="str" cm="1">
        <f t="array" ref="H38" ca="1">INDEX(Lookup!$B$2:$B$7,RANDBETWEEN(1,6))</f>
        <v>Cork</v>
      </c>
      <c r="I38" s="22">
        <f t="shared" ca="1" si="0"/>
        <v>44379</v>
      </c>
      <c r="J38" s="22" t="str">
        <f t="shared" ca="1" si="1"/>
        <v/>
      </c>
      <c r="K38" s="16" t="str">
        <f t="shared" ca="1" si="12"/>
        <v>Active</v>
      </c>
      <c r="L38" s="26">
        <f ca="1">_xlfn.XLOOKUP(G38,Lookup!$P$2:$P$28,Lookup!$Q$2:$Q$28)*(1+MIN(X38*3%,30%))</f>
        <v>47040</v>
      </c>
      <c r="M38" s="24">
        <f t="shared" ca="1" si="13"/>
        <v>4</v>
      </c>
      <c r="N38" s="24">
        <f t="shared" ca="1" si="2"/>
        <v>46</v>
      </c>
      <c r="O38" s="24">
        <f t="shared" ca="1" si="3"/>
        <v>15</v>
      </c>
      <c r="P38" s="24">
        <f t="shared" ca="1" si="4"/>
        <v>1</v>
      </c>
      <c r="Q38" s="16" t="str">
        <f t="shared" ca="1" si="5"/>
        <v>Promoted</v>
      </c>
      <c r="R38" s="16" t="str" cm="1">
        <f t="array" ref="R38" ca="1">INDEX(Lookup!$E$2:$E$6,RANDBETWEEN(1,5))</f>
        <v>PhD</v>
      </c>
      <c r="S38" s="16" t="str" cm="1">
        <f t="array" ref="S38" ca="1">INDEX(Lookup!$J$2:$J$11,RANDBETWEEN(1,10))</f>
        <v>Sophia Martin</v>
      </c>
      <c r="T38" s="16" t="str">
        <f t="shared" ca="1" si="6"/>
        <v>avery.brown@hranalytics.com</v>
      </c>
      <c r="U38" s="16" t="str">
        <f t="shared" ca="1" si="7"/>
        <v>0858065553</v>
      </c>
      <c r="V38" s="16" t="str" cm="1">
        <f t="array" ref="V38" ca="1">_xlfn.LET(_xlpm.r,RANDBETWEEN(1,100),_xlfn.IFS(_xlpm.r&lt;=70,"Full-Time",_xlpm.r&lt;=85,"Part-Time",_xlpm.r&lt;=95,"Contract",TRUE,"Intern"))</f>
        <v>Full-Time</v>
      </c>
      <c r="W38" s="16" cm="1">
        <f t="array" ref="W38" ca="1">IF(K38&lt;&gt;"Active",0,_xlfn.IFS(M38=5,L38*15%,M38=4,L38*10%,M38=3,L38*5%,M38=2,L38*2%,TRUE,0))</f>
        <v>2352</v>
      </c>
      <c r="X38" s="24">
        <f t="shared" ca="1" si="8"/>
        <v>5</v>
      </c>
      <c r="Y38" s="24">
        <f t="shared" ca="1" si="9"/>
        <v>1</v>
      </c>
    </row>
    <row r="39" spans="1:25">
      <c r="A39" s="16" t="str">
        <f t="shared" si="10"/>
        <v>EMP038</v>
      </c>
      <c r="B39" s="16" t="str" cm="1">
        <f t="array" ref="B39" ca="1">IF(D39="Male",INDEX(Lookup!$L$2:$L$13,RANDBETWEEN(1,12)),IF(D39="Female",INDEX(Lookup!$M$2:$M$13,RANDBETWEEN(1,12)),INDEX(Lookup!$N$2:$N$13,RANDBETWEEN(1,12))))</f>
        <v>Emily</v>
      </c>
      <c r="C39" s="16" t="str" cm="1">
        <f t="array" ref="C39" ca="1">INDEX(Lookup!$K$2:$K$31,RANDBETWEEN(1,30))</f>
        <v>Turner</v>
      </c>
      <c r="D39" s="16" t="str" cm="1">
        <f t="array" ref="D39" ca="1">INDEX(Lookup!$H$2:$H$4,RANDBETWEEN(1,3))</f>
        <v>Female</v>
      </c>
      <c r="E39" s="16">
        <f t="shared" ca="1" si="11"/>
        <v>40</v>
      </c>
      <c r="F39" s="16" t="str" cm="1">
        <f t="array" ref="F39" ca="1">INDEX(Lookup!$A$2:$A$10,RANDBETWEEN(1,9))</f>
        <v>HR</v>
      </c>
      <c r="G39" s="16" t="str" cm="1">
        <f t="array" ref="G39" ca="1">_xlfn.LET(_xlpm.Roles,_xlfn._xlws.FILTER(Lookup!$P$2:$P$28,Lookup!$O$2:$O$28=F39),INDEX(_xlpm.Roles,RANDBETWEEN(1,ROWS(_xlpm.Roles))))</f>
        <v>HR Executive</v>
      </c>
      <c r="H39" s="16" t="str" cm="1">
        <f t="array" ref="H39" ca="1">INDEX(Lookup!$B$2:$B$7,RANDBETWEEN(1,6))</f>
        <v>Dublin</v>
      </c>
      <c r="I39" s="22">
        <f t="shared" ca="1" si="0"/>
        <v>45973</v>
      </c>
      <c r="J39" s="22" t="str">
        <f t="shared" ca="1" si="1"/>
        <v/>
      </c>
      <c r="K39" s="16" t="str">
        <f t="shared" ca="1" si="12"/>
        <v>Active</v>
      </c>
      <c r="L39" s="26">
        <f ca="1">_xlfn.XLOOKUP(G39,Lookup!$P$2:$P$28,Lookup!$Q$2:$Q$28)*(1+MIN(X39*3%,30%))</f>
        <v>49560</v>
      </c>
      <c r="M39" s="24">
        <f t="shared" ca="1" si="13"/>
        <v>2</v>
      </c>
      <c r="N39" s="24">
        <f t="shared" ca="1" si="2"/>
        <v>67</v>
      </c>
      <c r="O39" s="24">
        <f t="shared" ca="1" si="3"/>
        <v>8</v>
      </c>
      <c r="P39" s="24">
        <f t="shared" ca="1" si="4"/>
        <v>11</v>
      </c>
      <c r="Q39" s="16" t="str">
        <f t="shared" ca="1" si="5"/>
        <v>Promoted</v>
      </c>
      <c r="R39" s="16" t="str" cm="1">
        <f t="array" ref="R39" ca="1">INDEX(Lookup!$E$2:$E$6,RANDBETWEEN(1,5))</f>
        <v>PhD</v>
      </c>
      <c r="S39" s="16" t="str" cm="1">
        <f t="array" ref="S39" ca="1">INDEX(Lookup!$J$2:$J$11,RANDBETWEEN(1,10))</f>
        <v>Grace O'Connor</v>
      </c>
      <c r="T39" s="16" t="str">
        <f t="shared" ca="1" si="6"/>
        <v>emily.turner@hranalytics.com</v>
      </c>
      <c r="U39" s="16" t="str">
        <f t="shared" ca="1" si="7"/>
        <v>0832980196</v>
      </c>
      <c r="V39" s="16" t="str" cm="1">
        <f t="array" ref="V39" ca="1">_xlfn.LET(_xlpm.r,RANDBETWEEN(1,100),_xlfn.IFS(_xlpm.r&lt;=70,"Full-Time",_xlpm.r&lt;=85,"Part-Time",_xlpm.r&lt;=95,"Contract",TRUE,"Intern"))</f>
        <v>Part-Time</v>
      </c>
      <c r="W39" s="16" cm="1">
        <f t="array" ref="W39" ca="1">IF(K39&lt;&gt;"Active",0,_xlfn.IFS(M39=5,L39*15%,M39=4,L39*10%,M39=3,L39*5%,M39=2,L39*2%,TRUE,0))</f>
        <v>0</v>
      </c>
      <c r="X39" s="24">
        <f t="shared" ca="1" si="8"/>
        <v>0</v>
      </c>
      <c r="Y39" s="24">
        <f t="shared" ca="1" si="9"/>
        <v>3</v>
      </c>
    </row>
    <row r="40" spans="1:25">
      <c r="A40" s="16" t="str">
        <f t="shared" si="10"/>
        <v>EMP039</v>
      </c>
      <c r="B40" s="16" t="str" cm="1">
        <f t="array" ref="B40" ca="1">IF(D40="Male",INDEX(Lookup!$L$2:$L$13,RANDBETWEEN(1,12)),IF(D40="Female",INDEX(Lookup!$M$2:$M$13,RANDBETWEEN(1,12)),INDEX(Lookup!$N$2:$N$13,RANDBETWEEN(1,12))))</f>
        <v>Taylor</v>
      </c>
      <c r="C40" s="16" t="str" cm="1">
        <f t="array" ref="C40" ca="1">INDEX(Lookup!$K$2:$K$31,RANDBETWEEN(1,30))</f>
        <v>Smith</v>
      </c>
      <c r="D40" s="16" t="str" cm="1">
        <f t="array" ref="D40" ca="1">INDEX(Lookup!$H$2:$H$4,RANDBETWEEN(1,3))</f>
        <v>Other</v>
      </c>
      <c r="E40" s="16">
        <f t="shared" ca="1" si="11"/>
        <v>53</v>
      </c>
      <c r="F40" s="16" t="str" cm="1">
        <f t="array" ref="F40" ca="1">INDEX(Lookup!$A$2:$A$10,RANDBETWEEN(1,9))</f>
        <v>HR</v>
      </c>
      <c r="G40" s="16" t="str" cm="1">
        <f t="array" ref="G40" ca="1">_xlfn.LET(_xlpm.Roles,_xlfn._xlws.FILTER(Lookup!$P$2:$P$28,Lookup!$O$2:$O$28=F40),INDEX(_xlpm.Roles,RANDBETWEEN(1,ROWS(_xlpm.Roles))))</f>
        <v>HR Executive</v>
      </c>
      <c r="H40" s="16" t="str" cm="1">
        <f t="array" ref="H40" ca="1">INDEX(Lookup!$B$2:$B$7,RANDBETWEEN(1,6))</f>
        <v>Dublin</v>
      </c>
      <c r="I40" s="22">
        <f t="shared" ca="1" si="0"/>
        <v>43532</v>
      </c>
      <c r="J40" s="22" t="str">
        <f t="shared" ca="1" si="1"/>
        <v/>
      </c>
      <c r="K40" s="16" t="str">
        <f t="shared" ca="1" si="12"/>
        <v>Active</v>
      </c>
      <c r="L40" s="26">
        <f ca="1">_xlfn.XLOOKUP(G40,Lookup!$P$2:$P$28,Lookup!$Q$2:$Q$28)*(1+MIN(X40*3%,30%))</f>
        <v>49560</v>
      </c>
      <c r="M40" s="24">
        <f t="shared" ca="1" si="13"/>
        <v>1</v>
      </c>
      <c r="N40" s="24">
        <f t="shared" ca="1" si="2"/>
        <v>45</v>
      </c>
      <c r="O40" s="24">
        <f t="shared" ca="1" si="3"/>
        <v>17</v>
      </c>
      <c r="P40" s="24">
        <f t="shared" ca="1" si="4"/>
        <v>49</v>
      </c>
      <c r="Q40" s="16" t="str">
        <f t="shared" ca="1" si="5"/>
        <v>Promoted</v>
      </c>
      <c r="R40" s="16" t="str" cm="1">
        <f t="array" ref="R40" ca="1">INDEX(Lookup!$E$2:$E$6,RANDBETWEEN(1,5))</f>
        <v>Master's</v>
      </c>
      <c r="S40" s="16" t="str" cm="1">
        <f t="array" ref="S40" ca="1">INDEX(Lookup!$J$2:$J$11,RANDBETWEEN(1,10))</f>
        <v>Liam Byrne</v>
      </c>
      <c r="T40" s="16" t="str">
        <f t="shared" ca="1" si="6"/>
        <v>taylor.smith@hranalytics.com</v>
      </c>
      <c r="U40" s="16" t="str">
        <f t="shared" ca="1" si="7"/>
        <v>0885082240</v>
      </c>
      <c r="V40" s="16" t="str" cm="1">
        <f t="array" ref="V40" ca="1">_xlfn.LET(_xlpm.r,RANDBETWEEN(1,100),_xlfn.IFS(_xlpm.r&lt;=70,"Full-Time",_xlpm.r&lt;=85,"Part-Time",_xlpm.r&lt;=95,"Contract",TRUE,"Intern"))</f>
        <v>Part-Time</v>
      </c>
      <c r="W40" s="16" cm="1">
        <f t="array" ref="W40" ca="1">IF(K40&lt;&gt;"Active",0,_xlfn.IFS(M40=5,L40*15%,M40=4,L40*10%,M40=3,L40*5%,M40=2,L40*2%,TRUE,0))</f>
        <v>991.2</v>
      </c>
      <c r="X40" s="24">
        <f t="shared" ca="1" si="8"/>
        <v>7</v>
      </c>
      <c r="Y40" s="24">
        <f t="shared" ca="1" si="9"/>
        <v>2</v>
      </c>
    </row>
    <row r="41" spans="1:25">
      <c r="A41" s="16" t="str">
        <f t="shared" si="10"/>
        <v>EMP040</v>
      </c>
      <c r="B41" s="16" t="str" cm="1">
        <f t="array" ref="B41" ca="1">IF(D41="Male",INDEX(Lookup!$L$2:$L$13,RANDBETWEEN(1,12)),IF(D41="Female",INDEX(Lookup!$M$2:$M$13,RANDBETWEEN(1,12)),INDEX(Lookup!$N$2:$N$13,RANDBETWEEN(1,12))))</f>
        <v>Jamie</v>
      </c>
      <c r="C41" s="16" t="str" cm="1">
        <f t="array" ref="C41" ca="1">INDEX(Lookup!$K$2:$K$31,RANDBETWEEN(1,30))</f>
        <v>Scott</v>
      </c>
      <c r="D41" s="16" t="str" cm="1">
        <f t="array" ref="D41" ca="1">INDEX(Lookup!$H$2:$H$4,RANDBETWEEN(1,3))</f>
        <v>Other</v>
      </c>
      <c r="E41" s="16">
        <f t="shared" ca="1" si="11"/>
        <v>26</v>
      </c>
      <c r="F41" s="16" t="str" cm="1">
        <f t="array" ref="F41" ca="1">INDEX(Lookup!$A$2:$A$10,RANDBETWEEN(1,9))</f>
        <v>Operations</v>
      </c>
      <c r="G41" s="16" t="str" cm="1">
        <f t="array" ref="G41" ca="1">_xlfn.LET(_xlpm.Roles,_xlfn._xlws.FILTER(Lookup!$P$2:$P$28,Lookup!$O$2:$O$28=F41),INDEX(_xlpm.Roles,RANDBETWEEN(1,ROWS(_xlpm.Roles))))</f>
        <v>Operations Manager</v>
      </c>
      <c r="H41" s="16" t="str" cm="1">
        <f t="array" ref="H41" ca="1">INDEX(Lookup!$B$2:$B$7,RANDBETWEEN(1,6))</f>
        <v>Cork</v>
      </c>
      <c r="I41" s="22">
        <f t="shared" ca="1" si="0"/>
        <v>44060</v>
      </c>
      <c r="J41" s="22" t="str">
        <f t="shared" ca="1" si="1"/>
        <v/>
      </c>
      <c r="K41" s="16" t="str">
        <f t="shared" ca="1" si="12"/>
        <v>Active</v>
      </c>
      <c r="L41" s="26">
        <f ca="1">_xlfn.XLOOKUP(G41,Lookup!$P$2:$P$28,Lookup!$Q$2:$Q$28)*(1+MIN(X41*3%,30%))</f>
        <v>73160</v>
      </c>
      <c r="M41" s="24">
        <f t="shared" ca="1" si="13"/>
        <v>1</v>
      </c>
      <c r="N41" s="24">
        <f t="shared" ca="1" si="2"/>
        <v>66</v>
      </c>
      <c r="O41" s="24">
        <f t="shared" ca="1" si="3"/>
        <v>12</v>
      </c>
      <c r="P41" s="24">
        <f t="shared" ca="1" si="4"/>
        <v>49</v>
      </c>
      <c r="Q41" s="16" t="str">
        <f t="shared" ca="1" si="5"/>
        <v>Promoted</v>
      </c>
      <c r="R41" s="16" t="str" cm="1">
        <f t="array" ref="R41" ca="1">INDEX(Lookup!$E$2:$E$6,RANDBETWEEN(1,5))</f>
        <v>PhD</v>
      </c>
      <c r="S41" s="16" t="str" cm="1">
        <f t="array" ref="S41" ca="1">INDEX(Lookup!$J$2:$J$11,RANDBETWEEN(1,10))</f>
        <v>Sarah Johnson</v>
      </c>
      <c r="T41" s="16" t="str">
        <f t="shared" ca="1" si="6"/>
        <v>jamie.scott@hranalytics.com</v>
      </c>
      <c r="U41" s="16" t="str">
        <f t="shared" ca="1" si="7"/>
        <v>0877700365</v>
      </c>
      <c r="V41" s="16" t="str" cm="1">
        <f t="array" ref="V41" ca="1">_xlfn.LET(_xlpm.r,RANDBETWEEN(1,100),_xlfn.IFS(_xlpm.r&lt;=70,"Full-Time",_xlpm.r&lt;=85,"Part-Time",_xlpm.r&lt;=95,"Contract",TRUE,"Intern"))</f>
        <v>Contract</v>
      </c>
      <c r="W41" s="16" cm="1">
        <f t="array" ref="W41" ca="1">IF(K41&lt;&gt;"Active",0,_xlfn.IFS(M41=5,L41*15%,M41=4,L41*10%,M41=3,L41*5%,M41=2,L41*2%,TRUE,0))</f>
        <v>3658</v>
      </c>
      <c r="X41" s="24">
        <f t="shared" ca="1" si="8"/>
        <v>6</v>
      </c>
      <c r="Y41" s="24">
        <f t="shared" ca="1" si="9"/>
        <v>3</v>
      </c>
    </row>
    <row r="42" spans="1:25">
      <c r="A42" s="16" t="str">
        <f t="shared" si="10"/>
        <v>EMP041</v>
      </c>
      <c r="B42" s="16" t="str" cm="1">
        <f t="array" ref="B42" ca="1">IF(D42="Male",INDEX(Lookup!$L$2:$L$13,RANDBETWEEN(1,12)),IF(D42="Female",INDEX(Lookup!$M$2:$M$13,RANDBETWEEN(1,12)),INDEX(Lookup!$N$2:$N$13,RANDBETWEEN(1,12))))</f>
        <v>Daniel</v>
      </c>
      <c r="C42" s="16" t="str" cm="1">
        <f t="array" ref="C42" ca="1">INDEX(Lookup!$K$2:$K$31,RANDBETWEEN(1,30))</f>
        <v>Edwards</v>
      </c>
      <c r="D42" s="16" t="str" cm="1">
        <f t="array" ref="D42" ca="1">INDEX(Lookup!$H$2:$H$4,RANDBETWEEN(1,3))</f>
        <v>Male</v>
      </c>
      <c r="E42" s="16">
        <f t="shared" ca="1" si="11"/>
        <v>21</v>
      </c>
      <c r="F42" s="16" t="str" cm="1">
        <f t="array" ref="F42" ca="1">INDEX(Lookup!$A$2:$A$10,RANDBETWEEN(1,9))</f>
        <v>Sales</v>
      </c>
      <c r="G42" s="16" t="str" cm="1">
        <f t="array" ref="G42" ca="1">_xlfn.LET(_xlpm.Roles,_xlfn._xlws.FILTER(Lookup!$P$2:$P$28,Lookup!$O$2:$O$28=F42),INDEX(_xlpm.Roles,RANDBETWEEN(1,ROWS(_xlpm.Roles))))</f>
        <v>Business Development Executive</v>
      </c>
      <c r="H42" s="16" t="str" cm="1">
        <f t="array" ref="H42" ca="1">INDEX(Lookup!$B$2:$B$7,RANDBETWEEN(1,6))</f>
        <v>Galway</v>
      </c>
      <c r="I42" s="22">
        <f t="shared" ca="1" si="0"/>
        <v>45994</v>
      </c>
      <c r="J42" s="22">
        <f t="shared" ca="1" si="1"/>
        <v>46349</v>
      </c>
      <c r="K42" s="16" t="str">
        <f t="shared" ca="1" si="12"/>
        <v>Resigned</v>
      </c>
      <c r="L42" s="26">
        <f ca="1">_xlfn.XLOOKUP(G42,Lookup!$P$2:$P$28,Lookup!$Q$2:$Q$28)*(1+MIN(X42*3%,30%))</f>
        <v>49440</v>
      </c>
      <c r="M42" s="24">
        <f t="shared" ca="1" si="13"/>
        <v>4</v>
      </c>
      <c r="N42" s="24">
        <f t="shared" ca="1" si="2"/>
        <v>4</v>
      </c>
      <c r="O42" s="24">
        <f t="shared" ca="1" si="3"/>
        <v>13</v>
      </c>
      <c r="P42" s="24">
        <f t="shared" ca="1" si="4"/>
        <v>39</v>
      </c>
      <c r="Q42" s="16" t="str">
        <f t="shared" ca="1" si="5"/>
        <v>Not Promoted</v>
      </c>
      <c r="R42" s="16" t="str" cm="1">
        <f t="array" ref="R42" ca="1">INDEX(Lookup!$E$2:$E$6,RANDBETWEEN(1,5))</f>
        <v>Master's</v>
      </c>
      <c r="S42" s="16" t="str" cm="1">
        <f t="array" ref="S42" ca="1">INDEX(Lookup!$J$2:$J$11,RANDBETWEEN(1,10))</f>
        <v>Sophia Martin</v>
      </c>
      <c r="T42" s="16" t="str">
        <f t="shared" ca="1" si="6"/>
        <v>daniel.edwards@hranalytics.com</v>
      </c>
      <c r="U42" s="16" t="str">
        <f t="shared" ca="1" si="7"/>
        <v>0878999826</v>
      </c>
      <c r="V42" s="16" t="str" cm="1">
        <f t="array" ref="V42" ca="1">_xlfn.LET(_xlpm.r,RANDBETWEEN(1,100),_xlfn.IFS(_xlpm.r&lt;=70,"Full-Time",_xlpm.r&lt;=85,"Part-Time",_xlpm.r&lt;=95,"Contract",TRUE,"Intern"))</f>
        <v>Full-Time</v>
      </c>
      <c r="W42" s="16" cm="1">
        <f t="array" ref="W42" ca="1">IF(K42&lt;&gt;"Active",0,_xlfn.IFS(M42=5,L42*15%,M42=4,L42*10%,M42=3,L42*5%,M42=2,L42*2%,TRUE,0))</f>
        <v>2472</v>
      </c>
      <c r="X42" s="24">
        <f t="shared" ca="1" si="8"/>
        <v>0</v>
      </c>
      <c r="Y42" s="24">
        <f t="shared" ca="1" si="9"/>
        <v>2</v>
      </c>
    </row>
    <row r="43" spans="1:25">
      <c r="A43" s="16" t="str">
        <f t="shared" si="10"/>
        <v>EMP042</v>
      </c>
      <c r="B43" s="16" t="str" cm="1">
        <f t="array" ref="B43" ca="1">IF(D43="Male",INDEX(Lookup!$L$2:$L$13,RANDBETWEEN(1,12)),IF(D43="Female",INDEX(Lookup!$M$2:$M$13,RANDBETWEEN(1,12)),INDEX(Lookup!$N$2:$N$13,RANDBETWEEN(1,12))))</f>
        <v>Lucas</v>
      </c>
      <c r="C43" s="16" t="str" cm="1">
        <f t="array" ref="C43" ca="1">INDEX(Lookup!$K$2:$K$31,RANDBETWEEN(1,30))</f>
        <v>Taylor</v>
      </c>
      <c r="D43" s="16" t="str" cm="1">
        <f t="array" ref="D43" ca="1">INDEX(Lookup!$H$2:$H$4,RANDBETWEEN(1,3))</f>
        <v>Male</v>
      </c>
      <c r="E43" s="16">
        <f t="shared" ca="1" si="11"/>
        <v>59</v>
      </c>
      <c r="F43" s="16" t="str" cm="1">
        <f t="array" ref="F43" ca="1">INDEX(Lookup!$A$2:$A$10,RANDBETWEEN(1,9))</f>
        <v>Marketing</v>
      </c>
      <c r="G43" s="16" t="str" cm="1">
        <f t="array" ref="G43" ca="1">_xlfn.LET(_xlpm.Roles,_xlfn._xlws.FILTER(Lookup!$P$2:$P$28,Lookup!$O$2:$O$28=F43),INDEX(_xlpm.Roles,RANDBETWEEN(1,ROWS(_xlpm.Roles))))</f>
        <v>Digital Marketing Specialist</v>
      </c>
      <c r="H43" s="16" t="str" cm="1">
        <f t="array" ref="H43" ca="1">INDEX(Lookup!$B$2:$B$7,RANDBETWEEN(1,6))</f>
        <v>Belfast</v>
      </c>
      <c r="I43" s="22">
        <f t="shared" ca="1" si="0"/>
        <v>43110</v>
      </c>
      <c r="J43" s="22" t="str">
        <f t="shared" ca="1" si="1"/>
        <v/>
      </c>
      <c r="K43" s="16" t="str">
        <f t="shared" ca="1" si="12"/>
        <v>Active</v>
      </c>
      <c r="L43" s="26">
        <f ca="1">_xlfn.XLOOKUP(G43,Lookup!$P$2:$P$28,Lookup!$Q$2:$Q$28)*(1+MIN(X43*3%,30%))</f>
        <v>54500</v>
      </c>
      <c r="M43" s="24">
        <f t="shared" ca="1" si="13"/>
        <v>2</v>
      </c>
      <c r="N43" s="24">
        <f t="shared" ca="1" si="2"/>
        <v>37</v>
      </c>
      <c r="O43" s="24">
        <f t="shared" ca="1" si="3"/>
        <v>4</v>
      </c>
      <c r="P43" s="24">
        <f t="shared" ca="1" si="4"/>
        <v>53</v>
      </c>
      <c r="Q43" s="16" t="str">
        <f t="shared" ca="1" si="5"/>
        <v>Promoted</v>
      </c>
      <c r="R43" s="16" t="str" cm="1">
        <f t="array" ref="R43" ca="1">INDEX(Lookup!$E$2:$E$6,RANDBETWEEN(1,5))</f>
        <v>Dipolma</v>
      </c>
      <c r="S43" s="16" t="str" cm="1">
        <f t="array" ref="S43" ca="1">INDEX(Lookup!$J$2:$J$11,RANDBETWEEN(1,10))</f>
        <v>Grace O'Connor</v>
      </c>
      <c r="T43" s="16" t="str">
        <f t="shared" ca="1" si="6"/>
        <v>lucas.taylor@hranalytics.com</v>
      </c>
      <c r="U43" s="16" t="str">
        <f t="shared" ca="1" si="7"/>
        <v>0892653097</v>
      </c>
      <c r="V43" s="16" t="str" cm="1">
        <f t="array" ref="V43" ca="1">_xlfn.LET(_xlpm.r,RANDBETWEEN(1,100),_xlfn.IFS(_xlpm.r&lt;=70,"Full-Time",_xlpm.r&lt;=85,"Part-Time",_xlpm.r&lt;=95,"Contract",TRUE,"Intern"))</f>
        <v>Full-Time</v>
      </c>
      <c r="W43" s="16" cm="1">
        <f t="array" ref="W43" ca="1">IF(K43&lt;&gt;"Active",0,_xlfn.IFS(M43=5,L43*15%,M43=4,L43*10%,M43=3,L43*5%,M43=2,L43*2%,TRUE,0))</f>
        <v>5450</v>
      </c>
      <c r="X43" s="24">
        <f t="shared" ca="1" si="8"/>
        <v>8</v>
      </c>
      <c r="Y43" s="24">
        <f t="shared" ca="1" si="9"/>
        <v>1</v>
      </c>
    </row>
    <row r="44" spans="1:25">
      <c r="A44" s="16" t="str">
        <f t="shared" si="10"/>
        <v>EMP043</v>
      </c>
      <c r="B44" s="16" t="str" cm="1">
        <f t="array" ref="B44" ca="1">IF(D44="Male",INDEX(Lookup!$L$2:$L$13,RANDBETWEEN(1,12)),IF(D44="Female",INDEX(Lookup!$M$2:$M$13,RANDBETWEEN(1,12)),INDEX(Lookup!$N$2:$N$13,RANDBETWEEN(1,12))))</f>
        <v>Morgan</v>
      </c>
      <c r="C44" s="16" t="str" cm="1">
        <f t="array" ref="C44" ca="1">INDEX(Lookup!$K$2:$K$31,RANDBETWEEN(1,30))</f>
        <v>White</v>
      </c>
      <c r="D44" s="16" t="str" cm="1">
        <f t="array" ref="D44" ca="1">INDEX(Lookup!$H$2:$H$4,RANDBETWEEN(1,3))</f>
        <v>Other</v>
      </c>
      <c r="E44" s="16">
        <f t="shared" ca="1" si="11"/>
        <v>59</v>
      </c>
      <c r="F44" s="16" t="str" cm="1">
        <f t="array" ref="F44" ca="1">INDEX(Lookup!$A$2:$A$10,RANDBETWEEN(1,9))</f>
        <v>Finance</v>
      </c>
      <c r="G44" s="16" t="str" cm="1">
        <f t="array" ref="G44" ca="1">_xlfn.LET(_xlpm.Roles,_xlfn._xlws.FILTER(Lookup!$P$2:$P$28,Lookup!$O$2:$O$28=F44),INDEX(_xlpm.Roles,RANDBETWEEN(1,ROWS(_xlpm.Roles))))</f>
        <v>Payroll Officer</v>
      </c>
      <c r="H44" s="16" t="str" cm="1">
        <f t="array" ref="H44" ca="1">INDEX(Lookup!$B$2:$B$7,RANDBETWEEN(1,6))</f>
        <v>Waterford</v>
      </c>
      <c r="I44" s="22">
        <f t="shared" ca="1" si="0"/>
        <v>45717</v>
      </c>
      <c r="J44" s="22" t="str">
        <f t="shared" ca="1" si="1"/>
        <v/>
      </c>
      <c r="K44" s="16" t="str">
        <f t="shared" ca="1" si="12"/>
        <v>Active</v>
      </c>
      <c r="L44" s="26">
        <f ca="1">_xlfn.XLOOKUP(G44,Lookup!$P$2:$P$28,Lookup!$Q$2:$Q$28)*(1+MIN(X44*3%,30%))</f>
        <v>50400</v>
      </c>
      <c r="M44" s="24">
        <f t="shared" ca="1" si="13"/>
        <v>4</v>
      </c>
      <c r="N44" s="24">
        <f t="shared" ca="1" si="2"/>
        <v>53</v>
      </c>
      <c r="O44" s="24">
        <f t="shared" ca="1" si="3"/>
        <v>9</v>
      </c>
      <c r="P44" s="24">
        <f t="shared" ca="1" si="4"/>
        <v>30</v>
      </c>
      <c r="Q44" s="16" t="str">
        <f t="shared" ca="1" si="5"/>
        <v>Promoted</v>
      </c>
      <c r="R44" s="16" t="str" cm="1">
        <f t="array" ref="R44" ca="1">INDEX(Lookup!$E$2:$E$6,RANDBETWEEN(1,5))</f>
        <v>Dipolma</v>
      </c>
      <c r="S44" s="16" t="str" cm="1">
        <f t="array" ref="S44" ca="1">INDEX(Lookup!$J$2:$J$11,RANDBETWEEN(1,10))</f>
        <v>David Murphy</v>
      </c>
      <c r="T44" s="16" t="str">
        <f t="shared" ca="1" si="6"/>
        <v>morgan.white@hranalytics.com</v>
      </c>
      <c r="U44" s="16" t="str">
        <f t="shared" ca="1" si="7"/>
        <v>0831179633</v>
      </c>
      <c r="V44" s="16" t="str" cm="1">
        <f t="array" ref="V44" ca="1">_xlfn.LET(_xlpm.r,RANDBETWEEN(1,100),_xlfn.IFS(_xlpm.r&lt;=70,"Full-Time",_xlpm.r&lt;=85,"Part-Time",_xlpm.r&lt;=95,"Contract",TRUE,"Intern"))</f>
        <v>Full-Time</v>
      </c>
      <c r="W44" s="16" cm="1">
        <f t="array" ref="W44" ca="1">IF(K44&lt;&gt;"Active",0,_xlfn.IFS(M44=5,L44*15%,M44=4,L44*10%,M44=3,L44*5%,M44=2,L44*2%,TRUE,0))</f>
        <v>2520</v>
      </c>
      <c r="X44" s="24">
        <f t="shared" ca="1" si="8"/>
        <v>1</v>
      </c>
      <c r="Y44" s="24">
        <f t="shared" ca="1" si="9"/>
        <v>3</v>
      </c>
    </row>
    <row r="45" spans="1:25">
      <c r="A45" s="16" t="str">
        <f t="shared" si="10"/>
        <v>EMP044</v>
      </c>
      <c r="B45" s="16" t="str" cm="1">
        <f t="array" ref="B45" ca="1">IF(D45="Male",INDEX(Lookup!$L$2:$L$13,RANDBETWEEN(1,12)),IF(D45="Female",INDEX(Lookup!$M$2:$M$13,RANDBETWEEN(1,12)),INDEX(Lookup!$N$2:$N$13,RANDBETWEEN(1,12))))</f>
        <v>Cameron</v>
      </c>
      <c r="C45" s="16" t="str" cm="1">
        <f t="array" ref="C45" ca="1">INDEX(Lookup!$K$2:$K$31,RANDBETWEEN(1,30))</f>
        <v>Murphy</v>
      </c>
      <c r="D45" s="16" t="str" cm="1">
        <f t="array" ref="D45" ca="1">INDEX(Lookup!$H$2:$H$4,RANDBETWEEN(1,3))</f>
        <v>Other</v>
      </c>
      <c r="E45" s="16">
        <f t="shared" ca="1" si="11"/>
        <v>48</v>
      </c>
      <c r="F45" s="16" t="str" cm="1">
        <f t="array" ref="F45" ca="1">INDEX(Lookup!$A$2:$A$10,RANDBETWEEN(1,9))</f>
        <v>Finance</v>
      </c>
      <c r="G45" s="16" t="str" cm="1">
        <f t="array" ref="G45" ca="1">_xlfn.LET(_xlpm.Roles,_xlfn._xlws.FILTER(Lookup!$P$2:$P$28,Lookup!$O$2:$O$28=F45),INDEX(_xlpm.Roles,RANDBETWEEN(1,ROWS(_xlpm.Roles))))</f>
        <v>Financial Analyst</v>
      </c>
      <c r="H45" s="16" t="str" cm="1">
        <f t="array" ref="H45" ca="1">INDEX(Lookup!$B$2:$B$7,RANDBETWEEN(1,6))</f>
        <v>Limerick</v>
      </c>
      <c r="I45" s="22">
        <f t="shared" ca="1" si="0"/>
        <v>44118</v>
      </c>
      <c r="J45" s="22">
        <f t="shared" ca="1" si="1"/>
        <v>45089</v>
      </c>
      <c r="K45" s="16" t="str">
        <f t="shared" ca="1" si="12"/>
        <v>Resigned</v>
      </c>
      <c r="L45" s="26">
        <f ca="1">_xlfn.XLOOKUP(G45,Lookup!$P$2:$P$28,Lookup!$Q$2:$Q$28)*(1+MIN(X45*3%,30%))</f>
        <v>71920</v>
      </c>
      <c r="M45" s="24">
        <f t="shared" ca="1" si="13"/>
        <v>2</v>
      </c>
      <c r="N45" s="24">
        <f t="shared" ca="1" si="2"/>
        <v>71</v>
      </c>
      <c r="O45" s="24">
        <f t="shared" ca="1" si="3"/>
        <v>10</v>
      </c>
      <c r="P45" s="24">
        <f t="shared" ca="1" si="4"/>
        <v>33</v>
      </c>
      <c r="Q45" s="16" t="str">
        <f t="shared" ca="1" si="5"/>
        <v>Promoted</v>
      </c>
      <c r="R45" s="16" t="str" cm="1">
        <f t="array" ref="R45" ca="1">INDEX(Lookup!$E$2:$E$6,RANDBETWEEN(1,5))</f>
        <v>Master's</v>
      </c>
      <c r="S45" s="16" t="str" cm="1">
        <f t="array" ref="S45" ca="1">INDEX(Lookup!$J$2:$J$11,RANDBETWEEN(1,10))</f>
        <v>Grace O'Connor</v>
      </c>
      <c r="T45" s="16" t="str">
        <f t="shared" ca="1" si="6"/>
        <v>cameron.murphy@hranalytics.com</v>
      </c>
      <c r="U45" s="16" t="str">
        <f t="shared" ca="1" si="7"/>
        <v>0896974311</v>
      </c>
      <c r="V45" s="16" t="str" cm="1">
        <f t="array" ref="V45" ca="1">_xlfn.LET(_xlpm.r,RANDBETWEEN(1,100),_xlfn.IFS(_xlpm.r&lt;=70,"Full-Time",_xlpm.r&lt;=85,"Part-Time",_xlpm.r&lt;=95,"Contract",TRUE,"Intern"))</f>
        <v>Full-Time</v>
      </c>
      <c r="W45" s="16" cm="1">
        <f t="array" ref="W45" ca="1">IF(K45&lt;&gt;"Active",0,_xlfn.IFS(M45=5,L45*15%,M45=4,L45*10%,M45=3,L45*5%,M45=2,L45*2%,TRUE,0))</f>
        <v>10788</v>
      </c>
      <c r="X45" s="24">
        <f t="shared" ca="1" si="8"/>
        <v>5</v>
      </c>
      <c r="Y45" s="24">
        <f t="shared" ca="1" si="9"/>
        <v>2</v>
      </c>
    </row>
    <row r="46" spans="1:25">
      <c r="A46" s="16" t="str">
        <f t="shared" si="10"/>
        <v>EMP045</v>
      </c>
      <c r="B46" s="16" t="str" cm="1">
        <f t="array" ref="B46" ca="1">IF(D46="Male",INDEX(Lookup!$L$2:$L$13,RANDBETWEEN(1,12)),IF(D46="Female",INDEX(Lookup!$M$2:$M$13,RANDBETWEEN(1,12)),INDEX(Lookup!$N$2:$N$13,RANDBETWEEN(1,12))))</f>
        <v>Daniel</v>
      </c>
      <c r="C46" s="16" t="str" cm="1">
        <f t="array" ref="C46" ca="1">INDEX(Lookup!$K$2:$K$31,RANDBETWEEN(1,30))</f>
        <v>Green</v>
      </c>
      <c r="D46" s="16" t="str" cm="1">
        <f t="array" ref="D46" ca="1">INDEX(Lookup!$H$2:$H$4,RANDBETWEEN(1,3))</f>
        <v>Male</v>
      </c>
      <c r="E46" s="16">
        <f t="shared" ca="1" si="11"/>
        <v>32</v>
      </c>
      <c r="F46" s="16" t="str" cm="1">
        <f t="array" ref="F46" ca="1">INDEX(Lookup!$A$2:$A$10,RANDBETWEEN(1,9))</f>
        <v>HR</v>
      </c>
      <c r="G46" s="16" t="str" cm="1">
        <f t="array" ref="G46" ca="1">_xlfn.LET(_xlpm.Roles,_xlfn._xlws.FILTER(Lookup!$P$2:$P$28,Lookup!$O$2:$O$28=F46),INDEX(_xlpm.Roles,RANDBETWEEN(1,ROWS(_xlpm.Roles))))</f>
        <v>HR Manager</v>
      </c>
      <c r="H46" s="16" t="str" cm="1">
        <f t="array" ref="H46" ca="1">INDEX(Lookup!$B$2:$B$7,RANDBETWEEN(1,6))</f>
        <v>Galway</v>
      </c>
      <c r="I46" s="22">
        <f t="shared" ca="1" si="0"/>
        <v>45361</v>
      </c>
      <c r="J46" s="22" t="str">
        <f t="shared" ca="1" si="1"/>
        <v/>
      </c>
      <c r="K46" s="16" t="str">
        <f t="shared" ca="1" si="12"/>
        <v>Active</v>
      </c>
      <c r="L46" s="26">
        <f ca="1">_xlfn.XLOOKUP(G46,Lookup!$P$2:$P$28,Lookup!$Q$2:$Q$28)*(1+MIN(X46*3%,30%))</f>
        <v>72800</v>
      </c>
      <c r="M46" s="24">
        <f t="shared" ca="1" si="13"/>
        <v>5</v>
      </c>
      <c r="N46" s="24">
        <f t="shared" ca="1" si="2"/>
        <v>44</v>
      </c>
      <c r="O46" s="24">
        <f t="shared" ca="1" si="3"/>
        <v>2</v>
      </c>
      <c r="P46" s="24">
        <f t="shared" ca="1" si="4"/>
        <v>24</v>
      </c>
      <c r="Q46" s="16" t="str">
        <f t="shared" ca="1" si="5"/>
        <v>Promoted</v>
      </c>
      <c r="R46" s="16" t="str" cm="1">
        <f t="array" ref="R46" ca="1">INDEX(Lookup!$E$2:$E$6,RANDBETWEEN(1,5))</f>
        <v>High School</v>
      </c>
      <c r="S46" s="16" t="str" cm="1">
        <f t="array" ref="S46" ca="1">INDEX(Lookup!$J$2:$J$11,RANDBETWEEN(1,10))</f>
        <v>Michael Brown</v>
      </c>
      <c r="T46" s="16" t="str">
        <f t="shared" ca="1" si="6"/>
        <v>daniel.green@hranalytics.com</v>
      </c>
      <c r="U46" s="16" t="str">
        <f t="shared" ca="1" si="7"/>
        <v>0895611780</v>
      </c>
      <c r="V46" s="16" t="str" cm="1">
        <f t="array" ref="V46" ca="1">_xlfn.LET(_xlpm.r,RANDBETWEEN(1,100),_xlfn.IFS(_xlpm.r&lt;=70,"Full-Time",_xlpm.r&lt;=85,"Part-Time",_xlpm.r&lt;=95,"Contract",TRUE,"Intern"))</f>
        <v>Full-Time</v>
      </c>
      <c r="W46" s="16" cm="1">
        <f t="array" ref="W46" ca="1">IF(K46&lt;&gt;"Active",0,_xlfn.IFS(M46=5,L46*15%,M46=4,L46*10%,M46=3,L46*5%,M46=2,L46*2%,TRUE,0))</f>
        <v>7280</v>
      </c>
      <c r="X46" s="24">
        <f t="shared" ca="1" si="8"/>
        <v>2</v>
      </c>
      <c r="Y46" s="24">
        <f t="shared" ca="1" si="9"/>
        <v>2</v>
      </c>
    </row>
    <row r="47" spans="1:25">
      <c r="A47" s="16" t="str">
        <f t="shared" si="10"/>
        <v>EMP046</v>
      </c>
      <c r="B47" s="16" t="str" cm="1">
        <f t="array" ref="B47" ca="1">IF(D47="Male",INDEX(Lookup!$L$2:$L$13,RANDBETWEEN(1,12)),IF(D47="Female",INDEX(Lookup!$M$2:$M$13,RANDBETWEEN(1,12)),INDEX(Lookup!$N$2:$N$13,RANDBETWEEN(1,12))))</f>
        <v>Leo</v>
      </c>
      <c r="C47" s="16" t="str" cm="1">
        <f t="array" ref="C47" ca="1">INDEX(Lookup!$K$2:$K$31,RANDBETWEEN(1,30))</f>
        <v>Allen</v>
      </c>
      <c r="D47" s="16" t="str" cm="1">
        <f t="array" ref="D47" ca="1">INDEX(Lookup!$H$2:$H$4,RANDBETWEEN(1,3))</f>
        <v>Male</v>
      </c>
      <c r="E47" s="16">
        <f t="shared" ca="1" si="11"/>
        <v>38</v>
      </c>
      <c r="F47" s="16" t="str" cm="1">
        <f t="array" ref="F47" ca="1">INDEX(Lookup!$A$2:$A$10,RANDBETWEEN(1,9))</f>
        <v>IT</v>
      </c>
      <c r="G47" s="16" t="str" cm="1">
        <f t="array" ref="G47" ca="1">_xlfn.LET(_xlpm.Roles,_xlfn._xlws.FILTER(Lookup!$P$2:$P$28,Lookup!$O$2:$O$28=F47),INDEX(_xlpm.Roles,RANDBETWEEN(1,ROWS(_xlpm.Roles))))</f>
        <v>Business Analyst</v>
      </c>
      <c r="H47" s="16" t="str" cm="1">
        <f t="array" ref="H47" ca="1">INDEX(Lookup!$B$2:$B$7,RANDBETWEEN(1,6))</f>
        <v>Cork</v>
      </c>
      <c r="I47" s="22">
        <f t="shared" ca="1" si="0"/>
        <v>45039</v>
      </c>
      <c r="J47" s="22" t="str">
        <f t="shared" ca="1" si="1"/>
        <v/>
      </c>
      <c r="K47" s="16" t="str">
        <f t="shared" ca="1" si="12"/>
        <v>Active</v>
      </c>
      <c r="L47" s="26">
        <f ca="1">_xlfn.XLOOKUP(G47,Lookup!$P$2:$P$28,Lookup!$Q$2:$Q$28)*(1+MIN(X47*3%,30%))</f>
        <v>63600</v>
      </c>
      <c r="M47" s="24">
        <f t="shared" ca="1" si="13"/>
        <v>2</v>
      </c>
      <c r="N47" s="24">
        <f t="shared" ca="1" si="2"/>
        <v>45</v>
      </c>
      <c r="O47" s="24">
        <f t="shared" ca="1" si="3"/>
        <v>14</v>
      </c>
      <c r="P47" s="24">
        <f t="shared" ca="1" si="4"/>
        <v>25</v>
      </c>
      <c r="Q47" s="16" t="str">
        <f t="shared" ca="1" si="5"/>
        <v>Promoted</v>
      </c>
      <c r="R47" s="16" t="str" cm="1">
        <f t="array" ref="R47" ca="1">INDEX(Lookup!$E$2:$E$6,RANDBETWEEN(1,5))</f>
        <v>Master's</v>
      </c>
      <c r="S47" s="16" t="str" cm="1">
        <f t="array" ref="S47" ca="1">INDEX(Lookup!$J$2:$J$11,RANDBETWEEN(1,10))</f>
        <v>Grace O'Connor</v>
      </c>
      <c r="T47" s="16" t="str">
        <f t="shared" ca="1" si="6"/>
        <v>leo.allen@hranalytics.com</v>
      </c>
      <c r="U47" s="16" t="str">
        <f t="shared" ca="1" si="7"/>
        <v>0884643300</v>
      </c>
      <c r="V47" s="16" t="str" cm="1">
        <f t="array" ref="V47" ca="1">_xlfn.LET(_xlpm.r,RANDBETWEEN(1,100),_xlfn.IFS(_xlpm.r&lt;=70,"Full-Time",_xlpm.r&lt;=85,"Part-Time",_xlpm.r&lt;=95,"Contract",TRUE,"Intern"))</f>
        <v>Full-Time</v>
      </c>
      <c r="W47" s="16" cm="1">
        <f t="array" ref="W47" ca="1">IF(K47&lt;&gt;"Active",0,_xlfn.IFS(M47=5,L47*15%,M47=4,L47*10%,M47=3,L47*5%,M47=2,L47*2%,TRUE,0))</f>
        <v>3180</v>
      </c>
      <c r="X47" s="24">
        <f t="shared" ca="1" si="8"/>
        <v>3</v>
      </c>
      <c r="Y47" s="24">
        <f t="shared" ca="1" si="9"/>
        <v>3</v>
      </c>
    </row>
    <row r="48" spans="1:25">
      <c r="A48" s="16" t="str">
        <f t="shared" si="10"/>
        <v>EMP047</v>
      </c>
      <c r="B48" s="16" t="str" cm="1">
        <f t="array" ref="B48" ca="1">IF(D48="Male",INDEX(Lookup!$L$2:$L$13,RANDBETWEEN(1,12)),IF(D48="Female",INDEX(Lookup!$M$2:$M$13,RANDBETWEEN(1,12)),INDEX(Lookup!$N$2:$N$13,RANDBETWEEN(1,12))))</f>
        <v>Charlotte</v>
      </c>
      <c r="C48" s="16" t="str" cm="1">
        <f t="array" ref="C48" ca="1">INDEX(Lookup!$K$2:$K$31,RANDBETWEEN(1,30))</f>
        <v>Young</v>
      </c>
      <c r="D48" s="16" t="str" cm="1">
        <f t="array" ref="D48" ca="1">INDEX(Lookup!$H$2:$H$4,RANDBETWEEN(1,3))</f>
        <v>Female</v>
      </c>
      <c r="E48" s="16">
        <f t="shared" ca="1" si="11"/>
        <v>32</v>
      </c>
      <c r="F48" s="16" t="str" cm="1">
        <f t="array" ref="F48" ca="1">INDEX(Lookup!$A$2:$A$10,RANDBETWEEN(1,9))</f>
        <v>Legal</v>
      </c>
      <c r="G48" s="16" t="str" cm="1">
        <f t="array" ref="G48" ca="1">_xlfn.LET(_xlpm.Roles,_xlfn._xlws.FILTER(Lookup!$P$2:$P$28,Lookup!$O$2:$O$28=F48),INDEX(_xlpm.Roles,RANDBETWEEN(1,ROWS(_xlpm.Roles))))</f>
        <v>Legal Executive</v>
      </c>
      <c r="H48" s="16" t="str" cm="1">
        <f t="array" ref="H48" ca="1">INDEX(Lookup!$B$2:$B$7,RANDBETWEEN(1,6))</f>
        <v>Belfast</v>
      </c>
      <c r="I48" s="22">
        <f t="shared" ca="1" si="0"/>
        <v>43489</v>
      </c>
      <c r="J48" s="22">
        <f t="shared" ca="1" si="1"/>
        <v>43706</v>
      </c>
      <c r="K48" s="16" t="str">
        <f t="shared" ca="1" si="12"/>
        <v>Resigned</v>
      </c>
      <c r="L48" s="26">
        <f ca="1">_xlfn.XLOOKUP(G48,Lookup!$P$2:$P$28,Lookup!$Q$2:$Q$28)*(1+MIN(X48*3%,30%))</f>
        <v>53560</v>
      </c>
      <c r="M48" s="24">
        <f t="shared" ca="1" si="13"/>
        <v>2</v>
      </c>
      <c r="N48" s="24">
        <f t="shared" ca="1" si="2"/>
        <v>63</v>
      </c>
      <c r="O48" s="24">
        <f t="shared" ca="1" si="3"/>
        <v>16</v>
      </c>
      <c r="P48" s="24">
        <f t="shared" ca="1" si="4"/>
        <v>10</v>
      </c>
      <c r="Q48" s="16" t="str">
        <f t="shared" ca="1" si="5"/>
        <v>Not Promoted</v>
      </c>
      <c r="R48" s="16" t="str" cm="1">
        <f t="array" ref="R48" ca="1">INDEX(Lookup!$E$2:$E$6,RANDBETWEEN(1,5))</f>
        <v>PhD</v>
      </c>
      <c r="S48" s="16" t="str" cm="1">
        <f t="array" ref="S48" ca="1">INDEX(Lookup!$J$2:$J$11,RANDBETWEEN(1,10))</f>
        <v>James Taylor</v>
      </c>
      <c r="T48" s="16" t="str">
        <f t="shared" ca="1" si="6"/>
        <v>charlotte.young@hranalytics.com</v>
      </c>
      <c r="U48" s="16" t="str">
        <f t="shared" ca="1" si="7"/>
        <v>0857223213</v>
      </c>
      <c r="V48" s="16" t="str" cm="1">
        <f t="array" ref="V48" ca="1">_xlfn.LET(_xlpm.r,RANDBETWEEN(1,100),_xlfn.IFS(_xlpm.r&lt;=70,"Full-Time",_xlpm.r&lt;=85,"Part-Time",_xlpm.r&lt;=95,"Contract",TRUE,"Intern"))</f>
        <v>Full-Time</v>
      </c>
      <c r="W48" s="16" cm="1">
        <f t="array" ref="W48" ca="1">IF(K48&lt;&gt;"Active",0,_xlfn.IFS(M48=5,L48*15%,M48=4,L48*10%,M48=3,L48*5%,M48=2,L48*2%,TRUE,0))</f>
        <v>2678</v>
      </c>
      <c r="X48" s="24">
        <f t="shared" ca="1" si="8"/>
        <v>7</v>
      </c>
      <c r="Y48" s="24">
        <f t="shared" ca="1" si="9"/>
        <v>2</v>
      </c>
    </row>
    <row r="49" spans="1:25">
      <c r="A49" s="16" t="str">
        <f t="shared" si="10"/>
        <v>EMP048</v>
      </c>
      <c r="B49" s="16" t="str" cm="1">
        <f t="array" ref="B49" ca="1">IF(D49="Male",INDEX(Lookup!$L$2:$L$13,RANDBETWEEN(1,12)),IF(D49="Female",INDEX(Lookup!$M$2:$M$13,RANDBETWEEN(1,12)),INDEX(Lookup!$N$2:$N$13,RANDBETWEEN(1,12))))</f>
        <v>Isabella</v>
      </c>
      <c r="C49" s="16" t="str" cm="1">
        <f t="array" ref="C49" ca="1">INDEX(Lookup!$K$2:$K$31,RANDBETWEEN(1,30))</f>
        <v>Campbell</v>
      </c>
      <c r="D49" s="16" t="str" cm="1">
        <f t="array" ref="D49" ca="1">INDEX(Lookup!$H$2:$H$4,RANDBETWEEN(1,3))</f>
        <v>Female</v>
      </c>
      <c r="E49" s="16">
        <f t="shared" ca="1" si="11"/>
        <v>25</v>
      </c>
      <c r="F49" s="16" t="str" cm="1">
        <f t="array" ref="F49" ca="1">INDEX(Lookup!$A$2:$A$10,RANDBETWEEN(1,9))</f>
        <v>IT</v>
      </c>
      <c r="G49" s="16" t="str" cm="1">
        <f t="array" ref="G49" ca="1">_xlfn.LET(_xlpm.Roles,_xlfn._xlws.FILTER(Lookup!$P$2:$P$28,Lookup!$O$2:$O$28=F49),INDEX(_xlpm.Roles,RANDBETWEEN(1,ROWS(_xlpm.Roles))))</f>
        <v>Business Analyst</v>
      </c>
      <c r="H49" s="16" t="str" cm="1">
        <f t="array" ref="H49" ca="1">INDEX(Lookup!$B$2:$B$7,RANDBETWEEN(1,6))</f>
        <v>Dublin</v>
      </c>
      <c r="I49" s="22">
        <f t="shared" ca="1" si="0"/>
        <v>44992</v>
      </c>
      <c r="J49" s="22" t="str">
        <f t="shared" ca="1" si="1"/>
        <v/>
      </c>
      <c r="K49" s="16" t="str">
        <f t="shared" ca="1" si="12"/>
        <v>Active</v>
      </c>
      <c r="L49" s="26">
        <f ca="1">_xlfn.XLOOKUP(G49,Lookup!$P$2:$P$28,Lookup!$Q$2:$Q$28)*(1+MIN(X49*3%,30%))</f>
        <v>61800</v>
      </c>
      <c r="M49" s="24">
        <f t="shared" ca="1" si="13"/>
        <v>1</v>
      </c>
      <c r="N49" s="24">
        <f t="shared" ca="1" si="2"/>
        <v>52</v>
      </c>
      <c r="O49" s="24">
        <f t="shared" ca="1" si="3"/>
        <v>11</v>
      </c>
      <c r="P49" s="24">
        <f t="shared" ca="1" si="4"/>
        <v>21</v>
      </c>
      <c r="Q49" s="16" t="str">
        <f t="shared" ca="1" si="5"/>
        <v>Not Promoted</v>
      </c>
      <c r="R49" s="16" t="str" cm="1">
        <f t="array" ref="R49" ca="1">INDEX(Lookup!$E$2:$E$6,RANDBETWEEN(1,5))</f>
        <v>Bachelor's</v>
      </c>
      <c r="S49" s="16" t="str" cm="1">
        <f t="array" ref="S49" ca="1">INDEX(Lookup!$J$2:$J$11,RANDBETWEEN(1,10))</f>
        <v>Grace O'Connor</v>
      </c>
      <c r="T49" s="16" t="str">
        <f t="shared" ca="1" si="6"/>
        <v>isabella.campbell@hranalytics.com</v>
      </c>
      <c r="U49" s="16" t="str">
        <f t="shared" ca="1" si="7"/>
        <v>0844456140</v>
      </c>
      <c r="V49" s="16" t="str" cm="1">
        <f t="array" ref="V49" ca="1">_xlfn.LET(_xlpm.r,RANDBETWEEN(1,100),_xlfn.IFS(_xlpm.r&lt;=70,"Full-Time",_xlpm.r&lt;=85,"Part-Time",_xlpm.r&lt;=95,"Contract",TRUE,"Intern"))</f>
        <v>Full-Time</v>
      </c>
      <c r="W49" s="16" cm="1">
        <f t="array" ref="W49" ca="1">IF(K49&lt;&gt;"Active",0,_xlfn.IFS(M49=5,L49*15%,M49=4,L49*10%,M49=3,L49*5%,M49=2,L49*2%,TRUE,0))</f>
        <v>9270</v>
      </c>
      <c r="X49" s="24">
        <f t="shared" ca="1" si="8"/>
        <v>3</v>
      </c>
      <c r="Y49" s="24">
        <f t="shared" ca="1" si="9"/>
        <v>1</v>
      </c>
    </row>
    <row r="50" spans="1:25">
      <c r="A50" s="16" t="str">
        <f t="shared" si="10"/>
        <v>EMP049</v>
      </c>
      <c r="B50" s="16" t="str" cm="1">
        <f t="array" ref="B50" ca="1">IF(D50="Male",INDEX(Lookup!$L$2:$L$13,RANDBETWEEN(1,12)),IF(D50="Female",INDEX(Lookup!$M$2:$M$13,RANDBETWEEN(1,12)),INDEX(Lookup!$N$2:$N$13,RANDBETWEEN(1,12))))</f>
        <v>Alex</v>
      </c>
      <c r="C50" s="16" t="str" cm="1">
        <f t="array" ref="C50" ca="1">INDEX(Lookup!$K$2:$K$31,RANDBETWEEN(1,30))</f>
        <v>Hill</v>
      </c>
      <c r="D50" s="16" t="str" cm="1">
        <f t="array" ref="D50" ca="1">INDEX(Lookup!$H$2:$H$4,RANDBETWEEN(1,3))</f>
        <v>Other</v>
      </c>
      <c r="E50" s="16">
        <f t="shared" ca="1" si="11"/>
        <v>24</v>
      </c>
      <c r="F50" s="16" t="str" cm="1">
        <f t="array" ref="F50" ca="1">INDEX(Lookup!$A$2:$A$10,RANDBETWEEN(1,9))</f>
        <v>Operations</v>
      </c>
      <c r="G50" s="16" t="str" cm="1">
        <f t="array" ref="G50" ca="1">_xlfn.LET(_xlpm.Roles,_xlfn._xlws.FILTER(Lookup!$P$2:$P$28,Lookup!$O$2:$O$28=F50),INDEX(_xlpm.Roles,RANDBETWEEN(1,ROWS(_xlpm.Roles))))</f>
        <v>Operations Manager</v>
      </c>
      <c r="H50" s="16" t="str" cm="1">
        <f t="array" ref="H50" ca="1">INDEX(Lookup!$B$2:$B$7,RANDBETWEEN(1,6))</f>
        <v>Belfast</v>
      </c>
      <c r="I50" s="22">
        <f t="shared" ca="1" si="0"/>
        <v>44728</v>
      </c>
      <c r="J50" s="22" t="str">
        <f t="shared" ca="1" si="1"/>
        <v/>
      </c>
      <c r="K50" s="16" t="str">
        <f t="shared" ca="1" si="12"/>
        <v>Active</v>
      </c>
      <c r="L50" s="26">
        <f ca="1">_xlfn.XLOOKUP(G50,Lookup!$P$2:$P$28,Lookup!$Q$2:$Q$28)*(1+MIN(X50*3%,30%))</f>
        <v>65720</v>
      </c>
      <c r="M50" s="24">
        <f t="shared" ca="1" si="13"/>
        <v>1</v>
      </c>
      <c r="N50" s="24">
        <f t="shared" ca="1" si="2"/>
        <v>32</v>
      </c>
      <c r="O50" s="24">
        <f t="shared" ca="1" si="3"/>
        <v>4</v>
      </c>
      <c r="P50" s="24">
        <f t="shared" ca="1" si="4"/>
        <v>18</v>
      </c>
      <c r="Q50" s="16" t="str">
        <f t="shared" ca="1" si="5"/>
        <v>Promoted</v>
      </c>
      <c r="R50" s="16" t="str" cm="1">
        <f t="array" ref="R50" ca="1">INDEX(Lookup!$E$2:$E$6,RANDBETWEEN(1,5))</f>
        <v>Master's</v>
      </c>
      <c r="S50" s="16" t="str" cm="1">
        <f t="array" ref="S50" ca="1">INDEX(Lookup!$J$2:$J$11,RANDBETWEEN(1,10))</f>
        <v>Emma Wilson</v>
      </c>
      <c r="T50" s="16" t="str">
        <f t="shared" ca="1" si="6"/>
        <v>alex.hill@hranalytics.com</v>
      </c>
      <c r="U50" s="16" t="str">
        <f t="shared" ca="1" si="7"/>
        <v>0863342381</v>
      </c>
      <c r="V50" s="16" t="str" cm="1">
        <f t="array" ref="V50" ca="1">_xlfn.LET(_xlpm.r,RANDBETWEEN(1,100),_xlfn.IFS(_xlpm.r&lt;=70,"Full-Time",_xlpm.r&lt;=85,"Part-Time",_xlpm.r&lt;=95,"Contract",TRUE,"Intern"))</f>
        <v>Full-Time</v>
      </c>
      <c r="W50" s="16" cm="1">
        <f t="array" ref="W50" ca="1">IF(K50&lt;&gt;"Active",0,_xlfn.IFS(M50=5,L50*15%,M50=4,L50*10%,M50=3,L50*5%,M50=2,L50*2%,TRUE,0))</f>
        <v>0</v>
      </c>
      <c r="X50" s="24">
        <f t="shared" ca="1" si="8"/>
        <v>4</v>
      </c>
      <c r="Y50" s="24">
        <f t="shared" ca="1" si="9"/>
        <v>3</v>
      </c>
    </row>
    <row r="51" spans="1:25">
      <c r="A51" s="16" t="str">
        <f t="shared" si="10"/>
        <v>EMP050</v>
      </c>
      <c r="B51" s="16" t="str" cm="1">
        <f t="array" ref="B51" ca="1">IF(D51="Male",INDEX(Lookup!$L$2:$L$13,RANDBETWEEN(1,12)),IF(D51="Female",INDEX(Lookup!$M$2:$M$13,RANDBETWEEN(1,12)),INDEX(Lookup!$N$2:$N$13,RANDBETWEEN(1,12))))</f>
        <v>Ella</v>
      </c>
      <c r="C51" s="16" t="str" cm="1">
        <f t="array" ref="C51" ca="1">INDEX(Lookup!$K$2:$K$31,RANDBETWEEN(1,30))</f>
        <v>Collins</v>
      </c>
      <c r="D51" s="16" t="str" cm="1">
        <f t="array" ref="D51" ca="1">INDEX(Lookup!$H$2:$H$4,RANDBETWEEN(1,3))</f>
        <v>Female</v>
      </c>
      <c r="E51" s="16">
        <f t="shared" ca="1" si="11"/>
        <v>42</v>
      </c>
      <c r="F51" s="16" t="str" cm="1">
        <f t="array" ref="F51" ca="1">INDEX(Lookup!$A$2:$A$10,RANDBETWEEN(1,9))</f>
        <v>HR</v>
      </c>
      <c r="G51" s="16" t="str" cm="1">
        <f t="array" ref="G51" ca="1">_xlfn.LET(_xlpm.Roles,_xlfn._xlws.FILTER(Lookup!$P$2:$P$28,Lookup!$O$2:$O$28=F51),INDEX(_xlpm.Roles,RANDBETWEEN(1,ROWS(_xlpm.Roles))))</f>
        <v>HR Executive</v>
      </c>
      <c r="H51" s="16" t="str" cm="1">
        <f t="array" ref="H51" ca="1">INDEX(Lookup!$B$2:$B$7,RANDBETWEEN(1,6))</f>
        <v>Dublin</v>
      </c>
      <c r="I51" s="22">
        <f t="shared" ca="1" si="0"/>
        <v>43930</v>
      </c>
      <c r="J51" s="22">
        <f t="shared" ca="1" si="1"/>
        <v>45158</v>
      </c>
      <c r="K51" s="16" t="str">
        <f t="shared" ca="1" si="12"/>
        <v>Resigned</v>
      </c>
      <c r="L51" s="26">
        <f ca="1">_xlfn.XLOOKUP(G51,Lookup!$P$2:$P$28,Lookup!$Q$2:$Q$28)*(1+MIN(X51*3%,30%))</f>
        <v>45780</v>
      </c>
      <c r="M51" s="24">
        <f t="shared" ca="1" si="13"/>
        <v>2</v>
      </c>
      <c r="N51" s="24">
        <f t="shared" ca="1" si="2"/>
        <v>6</v>
      </c>
      <c r="O51" s="24">
        <f t="shared" ca="1" si="3"/>
        <v>13</v>
      </c>
      <c r="P51" s="24">
        <f t="shared" ca="1" si="4"/>
        <v>19</v>
      </c>
      <c r="Q51" s="16" t="str">
        <f t="shared" ca="1" si="5"/>
        <v>Promoted</v>
      </c>
      <c r="R51" s="16" t="str" cm="1">
        <f t="array" ref="R51" ca="1">INDEX(Lookup!$E$2:$E$6,RANDBETWEEN(1,5))</f>
        <v>High School</v>
      </c>
      <c r="S51" s="16" t="str" cm="1">
        <f t="array" ref="S51" ca="1">INDEX(Lookup!$J$2:$J$11,RANDBETWEEN(1,10))</f>
        <v>Michael Brown</v>
      </c>
      <c r="T51" s="16" t="str">
        <f t="shared" ca="1" si="6"/>
        <v>ella.collins@hranalytics.com</v>
      </c>
      <c r="U51" s="16" t="str">
        <f t="shared" ca="1" si="7"/>
        <v>0853890397</v>
      </c>
      <c r="V51" s="16" t="str" cm="1">
        <f t="array" ref="V51" ca="1">_xlfn.LET(_xlpm.r,RANDBETWEEN(1,100),_xlfn.IFS(_xlpm.r&lt;=70,"Full-Time",_xlpm.r&lt;=85,"Part-Time",_xlpm.r&lt;=95,"Contract",TRUE,"Intern"))</f>
        <v>Full-Time</v>
      </c>
      <c r="W51" s="16" cm="1">
        <f t="array" ref="W51" ca="1">IF(K51&lt;&gt;"Active",0,_xlfn.IFS(M51=5,L51*15%,M51=4,L51*10%,M51=3,L51*5%,M51=2,L51*2%,TRUE,0))</f>
        <v>0</v>
      </c>
      <c r="X51" s="24">
        <f t="shared" ca="1" si="8"/>
        <v>6</v>
      </c>
      <c r="Y51" s="24">
        <f t="shared" ca="1" si="9"/>
        <v>3</v>
      </c>
    </row>
    <row r="52" spans="1:25">
      <c r="A52" s="16" t="str">
        <f t="shared" si="10"/>
        <v>EMP051</v>
      </c>
      <c r="B52" s="16" t="str" cm="1">
        <f t="array" ref="B52" ca="1">IF(D52="Male",INDEX(Lookup!$L$2:$L$13,RANDBETWEEN(1,12)),IF(D52="Female",INDEX(Lookup!$M$2:$M$13,RANDBETWEEN(1,12)),INDEX(Lookup!$N$2:$N$13,RANDBETWEEN(1,12))))</f>
        <v>William</v>
      </c>
      <c r="C52" s="16" t="str" cm="1">
        <f t="array" ref="C52" ca="1">INDEX(Lookup!$K$2:$K$31,RANDBETWEEN(1,30))</f>
        <v>Hill</v>
      </c>
      <c r="D52" s="16" t="str" cm="1">
        <f t="array" ref="D52" ca="1">INDEX(Lookup!$H$2:$H$4,RANDBETWEEN(1,3))</f>
        <v>Male</v>
      </c>
      <c r="E52" s="16">
        <f t="shared" ca="1" si="11"/>
        <v>53</v>
      </c>
      <c r="F52" s="16" t="str" cm="1">
        <f t="array" ref="F52" ca="1">INDEX(Lookup!$A$2:$A$10,RANDBETWEEN(1,9))</f>
        <v>IT</v>
      </c>
      <c r="G52" s="16" t="str" cm="1">
        <f t="array" ref="G52" ca="1">_xlfn.LET(_xlpm.Roles,_xlfn._xlws.FILTER(Lookup!$P$2:$P$28,Lookup!$O$2:$O$28=F52),INDEX(_xlpm.Roles,RANDBETWEEN(1,ROWS(_xlpm.Roles))))</f>
        <v>IT Support Specialist</v>
      </c>
      <c r="H52" s="16" t="str" cm="1">
        <f t="array" ref="H52" ca="1">INDEX(Lookup!$B$2:$B$7,RANDBETWEEN(1,6))</f>
        <v>Belfast</v>
      </c>
      <c r="I52" s="22">
        <f t="shared" ca="1" si="0"/>
        <v>43725</v>
      </c>
      <c r="J52" s="22" t="str">
        <f t="shared" ca="1" si="1"/>
        <v/>
      </c>
      <c r="K52" s="16" t="str">
        <f t="shared" ca="1" si="12"/>
        <v>Active</v>
      </c>
      <c r="L52" s="26">
        <f ca="1">_xlfn.XLOOKUP(G52,Lookup!$P$2:$P$28,Lookup!$Q$2:$Q$28)*(1+MIN(X52*3%,30%))</f>
        <v>55200</v>
      </c>
      <c r="M52" s="24">
        <f t="shared" ca="1" si="13"/>
        <v>5</v>
      </c>
      <c r="N52" s="24">
        <f t="shared" ca="1" si="2"/>
        <v>3</v>
      </c>
      <c r="O52" s="24">
        <f t="shared" ca="1" si="3"/>
        <v>10</v>
      </c>
      <c r="P52" s="24">
        <f t="shared" ca="1" si="4"/>
        <v>52</v>
      </c>
      <c r="Q52" s="16" t="str">
        <f t="shared" ca="1" si="5"/>
        <v>Promoted</v>
      </c>
      <c r="R52" s="16" t="str" cm="1">
        <f t="array" ref="R52" ca="1">INDEX(Lookup!$E$2:$E$6,RANDBETWEEN(1,5))</f>
        <v>High School</v>
      </c>
      <c r="S52" s="16" t="str" cm="1">
        <f t="array" ref="S52" ca="1">INDEX(Lookup!$J$2:$J$11,RANDBETWEEN(1,10))</f>
        <v>Daniel Kelly</v>
      </c>
      <c r="T52" s="16" t="str">
        <f t="shared" ca="1" si="6"/>
        <v>william.hill@hranalytics.com</v>
      </c>
      <c r="U52" s="16" t="str">
        <f t="shared" ca="1" si="7"/>
        <v>0849645926</v>
      </c>
      <c r="V52" s="16" t="str" cm="1">
        <f t="array" ref="V52" ca="1">_xlfn.LET(_xlpm.r,RANDBETWEEN(1,100),_xlfn.IFS(_xlpm.r&lt;=70,"Full-Time",_xlpm.r&lt;=85,"Part-Time",_xlpm.r&lt;=95,"Contract",TRUE,"Intern"))</f>
        <v>Full-Time</v>
      </c>
      <c r="W52" s="16" cm="1">
        <f t="array" ref="W52" ca="1">IF(K52&lt;&gt;"Active",0,_xlfn.IFS(M52=5,L52*15%,M52=4,L52*10%,M52=3,L52*5%,M52=2,L52*2%,TRUE,0))</f>
        <v>1104</v>
      </c>
      <c r="X52" s="24">
        <f t="shared" ca="1" si="8"/>
        <v>6</v>
      </c>
      <c r="Y52" s="24">
        <f t="shared" ca="1" si="9"/>
        <v>1</v>
      </c>
    </row>
    <row r="53" spans="1:25">
      <c r="A53" s="16" t="str">
        <f t="shared" si="10"/>
        <v>EMP052</v>
      </c>
      <c r="B53" s="16" t="str" cm="1">
        <f t="array" ref="B53" ca="1">IF(D53="Male",INDEX(Lookup!$L$2:$L$13,RANDBETWEEN(1,12)),IF(D53="Female",INDEX(Lookup!$M$2:$M$13,RANDBETWEEN(1,12)),INDEX(Lookup!$N$2:$N$13,RANDBETWEEN(1,12))))</f>
        <v>Amelia</v>
      </c>
      <c r="C53" s="16" t="str" cm="1">
        <f t="array" ref="C53" ca="1">INDEX(Lookup!$K$2:$K$31,RANDBETWEEN(1,30))</f>
        <v>Lewis</v>
      </c>
      <c r="D53" s="16" t="str" cm="1">
        <f t="array" ref="D53" ca="1">INDEX(Lookup!$H$2:$H$4,RANDBETWEEN(1,3))</f>
        <v>Female</v>
      </c>
      <c r="E53" s="16">
        <f t="shared" ca="1" si="11"/>
        <v>59</v>
      </c>
      <c r="F53" s="16" t="str" cm="1">
        <f t="array" ref="F53" ca="1">INDEX(Lookup!$A$2:$A$10,RANDBETWEEN(1,9))</f>
        <v>Legal</v>
      </c>
      <c r="G53" s="16" t="str" cm="1">
        <f t="array" ref="G53" ca="1">_xlfn.LET(_xlpm.Roles,_xlfn._xlws.FILTER(Lookup!$P$2:$P$28,Lookup!$O$2:$O$28=F53),INDEX(_xlpm.Roles,RANDBETWEEN(1,ROWS(_xlpm.Roles))))</f>
        <v>Compliance Officer</v>
      </c>
      <c r="H53" s="16" t="str" cm="1">
        <f t="array" ref="H53" ca="1">INDEX(Lookup!$B$2:$B$7,RANDBETWEEN(1,6))</f>
        <v>Galway</v>
      </c>
      <c r="I53" s="22">
        <f t="shared" ca="1" si="0"/>
        <v>44490</v>
      </c>
      <c r="J53" s="22">
        <f t="shared" ca="1" si="1"/>
        <v>45743</v>
      </c>
      <c r="K53" s="16" t="str">
        <f t="shared" ca="1" si="12"/>
        <v>Resigned</v>
      </c>
      <c r="L53" s="26">
        <f ca="1">_xlfn.XLOOKUP(G53,Lookup!$P$2:$P$28,Lookup!$Q$2:$Q$28)*(1+MIN(X53*3%,30%))</f>
        <v>72600</v>
      </c>
      <c r="M53" s="24">
        <f t="shared" ca="1" si="13"/>
        <v>4</v>
      </c>
      <c r="N53" s="24">
        <f t="shared" ca="1" si="2"/>
        <v>23</v>
      </c>
      <c r="O53" s="24">
        <f t="shared" ca="1" si="3"/>
        <v>12</v>
      </c>
      <c r="P53" s="24">
        <f t="shared" ca="1" si="4"/>
        <v>11</v>
      </c>
      <c r="Q53" s="16" t="str">
        <f t="shared" ca="1" si="5"/>
        <v>Not Promoted</v>
      </c>
      <c r="R53" s="16" t="str" cm="1">
        <f t="array" ref="R53" ca="1">INDEX(Lookup!$E$2:$E$6,RANDBETWEEN(1,5))</f>
        <v>Bachelor's</v>
      </c>
      <c r="S53" s="16" t="str" cm="1">
        <f t="array" ref="S53" ca="1">INDEX(Lookup!$J$2:$J$11,RANDBETWEEN(1,10))</f>
        <v>James Taylor</v>
      </c>
      <c r="T53" s="16" t="str">
        <f t="shared" ca="1" si="6"/>
        <v>amelia.lewis@hranalytics.com</v>
      </c>
      <c r="U53" s="16" t="str">
        <f t="shared" ca="1" si="7"/>
        <v>0894030594</v>
      </c>
      <c r="V53" s="16" t="str" cm="1">
        <f t="array" ref="V53" ca="1">_xlfn.LET(_xlpm.r,RANDBETWEEN(1,100),_xlfn.IFS(_xlpm.r&lt;=70,"Full-Time",_xlpm.r&lt;=85,"Part-Time",_xlpm.r&lt;=95,"Contract",TRUE,"Intern"))</f>
        <v>Part-Time</v>
      </c>
      <c r="W53" s="16" cm="1">
        <f t="array" ref="W53" ca="1">IF(K53&lt;&gt;"Active",0,_xlfn.IFS(M53=5,L53*15%,M53=4,L53*10%,M53=3,L53*5%,M53=2,L53*2%,TRUE,0))</f>
        <v>0</v>
      </c>
      <c r="X53" s="24">
        <f t="shared" ca="1" si="8"/>
        <v>4</v>
      </c>
      <c r="Y53" s="24">
        <f t="shared" ca="1" si="9"/>
        <v>3</v>
      </c>
    </row>
    <row r="54" spans="1:25">
      <c r="A54" s="16" t="str">
        <f t="shared" si="10"/>
        <v>EMP053</v>
      </c>
      <c r="B54" s="16" t="str" cm="1">
        <f t="array" ref="B54" ca="1">IF(D54="Male",INDEX(Lookup!$L$2:$L$13,RANDBETWEEN(1,12)),IF(D54="Female",INDEX(Lookup!$M$2:$M$13,RANDBETWEEN(1,12)),INDEX(Lookup!$N$2:$N$13,RANDBETWEEN(1,12))))</f>
        <v>Charlotte</v>
      </c>
      <c r="C54" s="16" t="str" cm="1">
        <f t="array" ref="C54" ca="1">INDEX(Lookup!$K$2:$K$31,RANDBETWEEN(1,30))</f>
        <v>Lewis</v>
      </c>
      <c r="D54" s="16" t="str" cm="1">
        <f t="array" ref="D54" ca="1">INDEX(Lookup!$H$2:$H$4,RANDBETWEEN(1,3))</f>
        <v>Female</v>
      </c>
      <c r="E54" s="16">
        <f t="shared" ca="1" si="11"/>
        <v>37</v>
      </c>
      <c r="F54" s="16" t="str" cm="1">
        <f t="array" ref="F54" ca="1">INDEX(Lookup!$A$2:$A$10,RANDBETWEEN(1,9))</f>
        <v>Procurement</v>
      </c>
      <c r="G54" s="16" t="str" cm="1">
        <f t="array" ref="G54" ca="1">_xlfn.LET(_xlpm.Roles,_xlfn._xlws.FILTER(Lookup!$P$2:$P$28,Lookup!$O$2:$O$28=F54),INDEX(_xlpm.Roles,RANDBETWEEN(1,ROWS(_xlpm.Roles))))</f>
        <v>Purchasing Executive</v>
      </c>
      <c r="H54" s="16" t="str" cm="1">
        <f t="array" ref="H54" ca="1">INDEX(Lookup!$B$2:$B$7,RANDBETWEEN(1,6))</f>
        <v>Dublin</v>
      </c>
      <c r="I54" s="22">
        <f t="shared" ca="1" si="0"/>
        <v>44510</v>
      </c>
      <c r="J54" s="22" t="str">
        <f t="shared" ca="1" si="1"/>
        <v/>
      </c>
      <c r="K54" s="16" t="str">
        <f t="shared" ca="1" si="12"/>
        <v>Active</v>
      </c>
      <c r="L54" s="26">
        <f ca="1">_xlfn.XLOOKUP(G54,Lookup!$P$2:$P$28,Lookup!$Q$2:$Q$28)*(1+MIN(X54*3%,30%))</f>
        <v>52080</v>
      </c>
      <c r="M54" s="24">
        <f t="shared" ca="1" si="13"/>
        <v>2</v>
      </c>
      <c r="N54" s="24">
        <f t="shared" ca="1" si="2"/>
        <v>70</v>
      </c>
      <c r="O54" s="24">
        <f t="shared" ca="1" si="3"/>
        <v>0</v>
      </c>
      <c r="P54" s="24">
        <f t="shared" ca="1" si="4"/>
        <v>36</v>
      </c>
      <c r="Q54" s="16" t="str">
        <f t="shared" ca="1" si="5"/>
        <v>Not Promoted</v>
      </c>
      <c r="R54" s="16" t="str" cm="1">
        <f t="array" ref="R54" ca="1">INDEX(Lookup!$E$2:$E$6,RANDBETWEEN(1,5))</f>
        <v>Dipolma</v>
      </c>
      <c r="S54" s="16" t="str" cm="1">
        <f t="array" ref="S54" ca="1">INDEX(Lookup!$J$2:$J$11,RANDBETWEEN(1,10))</f>
        <v>David Murphy</v>
      </c>
      <c r="T54" s="16" t="str">
        <f t="shared" ca="1" si="6"/>
        <v>charlotte.lewis@hranalytics.com</v>
      </c>
      <c r="U54" s="16" t="str">
        <f t="shared" ca="1" si="7"/>
        <v>0877615479</v>
      </c>
      <c r="V54" s="16" t="str" cm="1">
        <f t="array" ref="V54" ca="1">_xlfn.LET(_xlpm.r,RANDBETWEEN(1,100),_xlfn.IFS(_xlpm.r&lt;=70,"Full-Time",_xlpm.r&lt;=85,"Part-Time",_xlpm.r&lt;=95,"Contract",TRUE,"Intern"))</f>
        <v>Contract</v>
      </c>
      <c r="W54" s="16" cm="1">
        <f t="array" ref="W54" ca="1">IF(K54&lt;&gt;"Active",0,_xlfn.IFS(M54=5,L54*15%,M54=4,L54*10%,M54=3,L54*5%,M54=2,L54*2%,TRUE,0))</f>
        <v>0</v>
      </c>
      <c r="X54" s="24">
        <f t="shared" ca="1" si="8"/>
        <v>4</v>
      </c>
      <c r="Y54" s="24">
        <f t="shared" ca="1" si="9"/>
        <v>2</v>
      </c>
    </row>
    <row r="55" spans="1:25">
      <c r="A55" s="16" t="str">
        <f t="shared" si="10"/>
        <v>EMP054</v>
      </c>
      <c r="B55" s="16" t="str" cm="1">
        <f t="array" ref="B55" ca="1">IF(D55="Male",INDEX(Lookup!$L$2:$L$13,RANDBETWEEN(1,12)),IF(D55="Female",INDEX(Lookup!$M$2:$M$13,RANDBETWEEN(1,12)),INDEX(Lookup!$N$2:$N$13,RANDBETWEEN(1,12))))</f>
        <v>Oliver</v>
      </c>
      <c r="C55" s="16" t="str" cm="1">
        <f t="array" ref="C55" ca="1">INDEX(Lookup!$K$2:$K$31,RANDBETWEEN(1,30))</f>
        <v>Baker</v>
      </c>
      <c r="D55" s="16" t="str" cm="1">
        <f t="array" ref="D55" ca="1">INDEX(Lookup!$H$2:$H$4,RANDBETWEEN(1,3))</f>
        <v>Male</v>
      </c>
      <c r="E55" s="16">
        <f t="shared" ca="1" si="11"/>
        <v>54</v>
      </c>
      <c r="F55" s="16" t="str" cm="1">
        <f t="array" ref="F55" ca="1">INDEX(Lookup!$A$2:$A$10,RANDBETWEEN(1,9))</f>
        <v>Finance</v>
      </c>
      <c r="G55" s="16" t="str" cm="1">
        <f t="array" ref="G55" ca="1">_xlfn.LET(_xlpm.Roles,_xlfn._xlws.FILTER(Lookup!$P$2:$P$28,Lookup!$O$2:$O$28=F55),INDEX(_xlpm.Roles,RANDBETWEEN(1,ROWS(_xlpm.Roles))))</f>
        <v>Payroll Officer</v>
      </c>
      <c r="H55" s="16" t="str" cm="1">
        <f t="array" ref="H55" ca="1">INDEX(Lookup!$B$2:$B$7,RANDBETWEEN(1,6))</f>
        <v>Dublin</v>
      </c>
      <c r="I55" s="22">
        <f t="shared" ca="1" si="0"/>
        <v>43486</v>
      </c>
      <c r="J55" s="22">
        <f t="shared" ca="1" si="1"/>
        <v>44911</v>
      </c>
      <c r="K55" s="16" t="str">
        <f t="shared" ca="1" si="12"/>
        <v>Resigned</v>
      </c>
      <c r="L55" s="26">
        <f ca="1">_xlfn.XLOOKUP(G55,Lookup!$P$2:$P$28,Lookup!$Q$2:$Q$28)*(1+MIN(X55*3%,30%))</f>
        <v>49050</v>
      </c>
      <c r="M55" s="24">
        <f t="shared" ca="1" si="13"/>
        <v>2</v>
      </c>
      <c r="N55" s="24">
        <f t="shared" ca="1" si="2"/>
        <v>1</v>
      </c>
      <c r="O55" s="24">
        <f t="shared" ca="1" si="3"/>
        <v>17</v>
      </c>
      <c r="P55" s="24">
        <f t="shared" ca="1" si="4"/>
        <v>42</v>
      </c>
      <c r="Q55" s="16" t="str">
        <f t="shared" ca="1" si="5"/>
        <v>Promoted</v>
      </c>
      <c r="R55" s="16" t="str" cm="1">
        <f t="array" ref="R55" ca="1">INDEX(Lookup!$E$2:$E$6,RANDBETWEEN(1,5))</f>
        <v>High School</v>
      </c>
      <c r="S55" s="16" t="str" cm="1">
        <f t="array" ref="S55" ca="1">INDEX(Lookup!$J$2:$J$11,RANDBETWEEN(1,10))</f>
        <v>David Murphy</v>
      </c>
      <c r="T55" s="16" t="str">
        <f t="shared" ca="1" si="6"/>
        <v>oliver.baker@hranalytics.com</v>
      </c>
      <c r="U55" s="16" t="str">
        <f t="shared" ca="1" si="7"/>
        <v>0896852430</v>
      </c>
      <c r="V55" s="16" t="str" cm="1">
        <f t="array" ref="V55" ca="1">_xlfn.LET(_xlpm.r,RANDBETWEEN(1,100),_xlfn.IFS(_xlpm.r&lt;=70,"Full-Time",_xlpm.r&lt;=85,"Part-Time",_xlpm.r&lt;=95,"Contract",TRUE,"Intern"))</f>
        <v>Full-Time</v>
      </c>
      <c r="W55" s="16" cm="1">
        <f t="array" ref="W55" ca="1">IF(K55&lt;&gt;"Active",0,_xlfn.IFS(M55=5,L55*15%,M55=4,L55*10%,M55=3,L55*5%,M55=2,L55*2%,TRUE,0))</f>
        <v>7357.5</v>
      </c>
      <c r="X55" s="24">
        <f t="shared" ca="1" si="8"/>
        <v>7</v>
      </c>
      <c r="Y55" s="24">
        <f t="shared" ca="1" si="9"/>
        <v>3</v>
      </c>
    </row>
    <row r="56" spans="1:25">
      <c r="A56" s="16" t="str">
        <f t="shared" si="10"/>
        <v>EMP055</v>
      </c>
      <c r="B56" s="16" t="str" cm="1">
        <f t="array" ref="B56" ca="1">IF(D56="Male",INDEX(Lookup!$L$2:$L$13,RANDBETWEEN(1,12)),IF(D56="Female",INDEX(Lookup!$M$2:$M$13,RANDBETWEEN(1,12)),INDEX(Lookup!$N$2:$N$13,RANDBETWEEN(1,12))))</f>
        <v>William</v>
      </c>
      <c r="C56" s="16" t="str" cm="1">
        <f t="array" ref="C56" ca="1">INDEX(Lookup!$K$2:$K$31,RANDBETWEEN(1,30))</f>
        <v>Cooper</v>
      </c>
      <c r="D56" s="16" t="str" cm="1">
        <f t="array" ref="D56" ca="1">INDEX(Lookup!$H$2:$H$4,RANDBETWEEN(1,3))</f>
        <v>Male</v>
      </c>
      <c r="E56" s="16">
        <f t="shared" ca="1" si="11"/>
        <v>28</v>
      </c>
      <c r="F56" s="16" t="str" cm="1">
        <f t="array" ref="F56" ca="1">INDEX(Lookup!$A$2:$A$10,RANDBETWEEN(1,9))</f>
        <v>Finance</v>
      </c>
      <c r="G56" s="16" t="str" cm="1">
        <f t="array" ref="G56" ca="1">_xlfn.LET(_xlpm.Roles,_xlfn._xlws.FILTER(Lookup!$P$2:$P$28,Lookup!$O$2:$O$28=F56),INDEX(_xlpm.Roles,RANDBETWEEN(1,ROWS(_xlpm.Roles))))</f>
        <v>Accountant</v>
      </c>
      <c r="H56" s="16" t="str" cm="1">
        <f t="array" ref="H56" ca="1">INDEX(Lookup!$B$2:$B$7,RANDBETWEEN(1,6))</f>
        <v>Belfast</v>
      </c>
      <c r="I56" s="22">
        <f t="shared" ca="1" si="0"/>
        <v>43934</v>
      </c>
      <c r="J56" s="22">
        <f t="shared" ca="1" si="1"/>
        <v>44834</v>
      </c>
      <c r="K56" s="16" t="str">
        <f t="shared" ca="1" si="12"/>
        <v>Resigned</v>
      </c>
      <c r="L56" s="26">
        <f ca="1">_xlfn.XLOOKUP(G56,Lookup!$P$2:$P$28,Lookup!$Q$2:$Q$28)*(1+MIN(X56*3%,30%))</f>
        <v>53000</v>
      </c>
      <c r="M56" s="24">
        <f t="shared" ca="1" si="13"/>
        <v>1</v>
      </c>
      <c r="N56" s="24">
        <f t="shared" ca="1" si="2"/>
        <v>62</v>
      </c>
      <c r="O56" s="24">
        <f t="shared" ca="1" si="3"/>
        <v>15</v>
      </c>
      <c r="P56" s="24">
        <f t="shared" ca="1" si="4"/>
        <v>40</v>
      </c>
      <c r="Q56" s="16" t="str">
        <f t="shared" ca="1" si="5"/>
        <v>Promoted</v>
      </c>
      <c r="R56" s="16" t="str" cm="1">
        <f t="array" ref="R56" ca="1">INDEX(Lookup!$E$2:$E$6,RANDBETWEEN(1,5))</f>
        <v>PhD</v>
      </c>
      <c r="S56" s="16" t="str" cm="1">
        <f t="array" ref="S56" ca="1">INDEX(Lookup!$J$2:$J$11,RANDBETWEEN(1,10))</f>
        <v>Sarah Johnson</v>
      </c>
      <c r="T56" s="16" t="str">
        <f t="shared" ca="1" si="6"/>
        <v>william.cooper@hranalytics.com</v>
      </c>
      <c r="U56" s="16" t="str">
        <f t="shared" ca="1" si="7"/>
        <v>0866065905</v>
      </c>
      <c r="V56" s="16" t="str" cm="1">
        <f t="array" ref="V56" ca="1">_xlfn.LET(_xlpm.r,RANDBETWEEN(1,100),_xlfn.IFS(_xlpm.r&lt;=70,"Full-Time",_xlpm.r&lt;=85,"Part-Time",_xlpm.r&lt;=95,"Contract",TRUE,"Intern"))</f>
        <v>Full-Time</v>
      </c>
      <c r="W56" s="16" cm="1">
        <f t="array" ref="W56" ca="1">IF(K56&lt;&gt;"Active",0,_xlfn.IFS(M56=5,L56*15%,M56=4,L56*10%,M56=3,L56*5%,M56=2,L56*2%,TRUE,0))</f>
        <v>1060</v>
      </c>
      <c r="X56" s="24">
        <f t="shared" ca="1" si="8"/>
        <v>6</v>
      </c>
      <c r="Y56" s="24">
        <f t="shared" ca="1" si="9"/>
        <v>2</v>
      </c>
    </row>
    <row r="57" spans="1:25">
      <c r="A57" s="16" t="str">
        <f t="shared" si="10"/>
        <v>EMP056</v>
      </c>
      <c r="B57" s="16" t="str" cm="1">
        <f t="array" ref="B57" ca="1">IF(D57="Male",INDEX(Lookup!$L$2:$L$13,RANDBETWEEN(1,12)),IF(D57="Female",INDEX(Lookup!$M$2:$M$13,RANDBETWEEN(1,12)),INDEX(Lookup!$N$2:$N$13,RANDBETWEEN(1,12))))</f>
        <v>David</v>
      </c>
      <c r="C57" s="16" t="str" cm="1">
        <f t="array" ref="C57" ca="1">INDEX(Lookup!$K$2:$K$31,RANDBETWEEN(1,30))</f>
        <v>Taylor</v>
      </c>
      <c r="D57" s="16" t="str" cm="1">
        <f t="array" ref="D57" ca="1">INDEX(Lookup!$H$2:$H$4,RANDBETWEEN(1,3))</f>
        <v>Male</v>
      </c>
      <c r="E57" s="16">
        <f t="shared" ca="1" si="11"/>
        <v>28</v>
      </c>
      <c r="F57" s="16" t="str" cm="1">
        <f t="array" ref="F57" ca="1">INDEX(Lookup!$A$2:$A$10,RANDBETWEEN(1,9))</f>
        <v>IT</v>
      </c>
      <c r="G57" s="16" t="str" cm="1">
        <f t="array" ref="G57" ca="1">_xlfn.LET(_xlpm.Roles,_xlfn._xlws.FILTER(Lookup!$P$2:$P$28,Lookup!$O$2:$O$28=F57),INDEX(_xlpm.Roles,RANDBETWEEN(1,ROWS(_xlpm.Roles))))</f>
        <v>IT Support Specialist</v>
      </c>
      <c r="H57" s="16" t="str" cm="1">
        <f t="array" ref="H57" ca="1">INDEX(Lookup!$B$2:$B$7,RANDBETWEEN(1,6))</f>
        <v>Waterford</v>
      </c>
      <c r="I57" s="22">
        <f t="shared" ca="1" si="0"/>
        <v>45483</v>
      </c>
      <c r="J57" s="22" t="str">
        <f t="shared" ca="1" si="1"/>
        <v/>
      </c>
      <c r="K57" s="16" t="str">
        <f t="shared" ca="1" si="12"/>
        <v>Active</v>
      </c>
      <c r="L57" s="26">
        <f ca="1">_xlfn.XLOOKUP(G57,Lookup!$P$2:$P$28,Lookup!$Q$2:$Q$28)*(1+MIN(X57*3%,30%))</f>
        <v>52320</v>
      </c>
      <c r="M57" s="24">
        <f t="shared" ca="1" si="13"/>
        <v>4</v>
      </c>
      <c r="N57" s="24">
        <f t="shared" ca="1" si="2"/>
        <v>45</v>
      </c>
      <c r="O57" s="24">
        <f t="shared" ca="1" si="3"/>
        <v>0</v>
      </c>
      <c r="P57" s="24">
        <f t="shared" ca="1" si="4"/>
        <v>54</v>
      </c>
      <c r="Q57" s="16" t="str">
        <f t="shared" ca="1" si="5"/>
        <v>Promoted</v>
      </c>
      <c r="R57" s="16" t="str" cm="1">
        <f t="array" ref="R57" ca="1">INDEX(Lookup!$E$2:$E$6,RANDBETWEEN(1,5))</f>
        <v>PhD</v>
      </c>
      <c r="S57" s="16" t="str" cm="1">
        <f t="array" ref="S57" ca="1">INDEX(Lookup!$J$2:$J$11,RANDBETWEEN(1,10))</f>
        <v>James Taylor</v>
      </c>
      <c r="T57" s="16" t="str">
        <f t="shared" ca="1" si="6"/>
        <v>david.taylor@hranalytics.com</v>
      </c>
      <c r="U57" s="16" t="str">
        <f t="shared" ca="1" si="7"/>
        <v>0899536376</v>
      </c>
      <c r="V57" s="16" t="str" cm="1">
        <f t="array" ref="V57" ca="1">_xlfn.LET(_xlpm.r,RANDBETWEEN(1,100),_xlfn.IFS(_xlpm.r&lt;=70,"Full-Time",_xlpm.r&lt;=85,"Part-Time",_xlpm.r&lt;=95,"Contract",TRUE,"Intern"))</f>
        <v>Full-Time</v>
      </c>
      <c r="W57" s="16" cm="1">
        <f t="array" ref="W57" ca="1">IF(K57&lt;&gt;"Active",0,_xlfn.IFS(M57=5,L57*15%,M57=4,L57*10%,M57=3,L57*5%,M57=2,L57*2%,TRUE,0))</f>
        <v>2616</v>
      </c>
      <c r="X57" s="24">
        <f t="shared" ca="1" si="8"/>
        <v>2</v>
      </c>
      <c r="Y57" s="24">
        <f t="shared" ca="1" si="9"/>
        <v>2</v>
      </c>
    </row>
    <row r="58" spans="1:25">
      <c r="A58" s="16" t="str">
        <f t="shared" si="10"/>
        <v>EMP057</v>
      </c>
      <c r="B58" s="16" t="str" cm="1">
        <f t="array" ref="B58" ca="1">IF(D58="Male",INDEX(Lookup!$L$2:$L$13,RANDBETWEEN(1,12)),IF(D58="Female",INDEX(Lookup!$M$2:$M$13,RANDBETWEEN(1,12)),INDEX(Lookup!$N$2:$N$13,RANDBETWEEN(1,12))))</f>
        <v>Skyler</v>
      </c>
      <c r="C58" s="16" t="str" cm="1">
        <f t="array" ref="C58" ca="1">INDEX(Lookup!$K$2:$K$31,RANDBETWEEN(1,30))</f>
        <v>Kelly</v>
      </c>
      <c r="D58" s="16" t="str" cm="1">
        <f t="array" ref="D58" ca="1">INDEX(Lookup!$H$2:$H$4,RANDBETWEEN(1,3))</f>
        <v>Other</v>
      </c>
      <c r="E58" s="16">
        <f t="shared" ca="1" si="11"/>
        <v>21</v>
      </c>
      <c r="F58" s="16" t="str" cm="1">
        <f t="array" ref="F58" ca="1">INDEX(Lookup!$A$2:$A$10,RANDBETWEEN(1,9))</f>
        <v>Operations</v>
      </c>
      <c r="G58" s="16" t="str" cm="1">
        <f t="array" ref="G58" ca="1">_xlfn.LET(_xlpm.Roles,_xlfn._xlws.FILTER(Lookup!$P$2:$P$28,Lookup!$O$2:$O$28=F58),INDEX(_xlpm.Roles,RANDBETWEEN(1,ROWS(_xlpm.Roles))))</f>
        <v>Operations Coordinator</v>
      </c>
      <c r="H58" s="16" t="str" cm="1">
        <f t="array" ref="H58" ca="1">INDEX(Lookup!$B$2:$B$7,RANDBETWEEN(1,6))</f>
        <v>Galway</v>
      </c>
      <c r="I58" s="22">
        <f t="shared" ca="1" si="0"/>
        <v>44605</v>
      </c>
      <c r="J58" s="22" t="str">
        <f t="shared" ca="1" si="1"/>
        <v/>
      </c>
      <c r="K58" s="16" t="str">
        <f t="shared" ca="1" si="12"/>
        <v>Active</v>
      </c>
      <c r="L58" s="26">
        <f ca="1">_xlfn.XLOOKUP(G58,Lookup!$P$2:$P$28,Lookup!$Q$2:$Q$28)*(1+MIN(X58*3%,30%))</f>
        <v>53100</v>
      </c>
      <c r="M58" s="24">
        <f t="shared" ca="1" si="13"/>
        <v>4</v>
      </c>
      <c r="N58" s="24">
        <f t="shared" ca="1" si="2"/>
        <v>43</v>
      </c>
      <c r="O58" s="24">
        <f t="shared" ca="1" si="3"/>
        <v>6</v>
      </c>
      <c r="P58" s="24">
        <f t="shared" ca="1" si="4"/>
        <v>53</v>
      </c>
      <c r="Q58" s="16" t="str">
        <f t="shared" ca="1" si="5"/>
        <v>Promoted</v>
      </c>
      <c r="R58" s="16" t="str" cm="1">
        <f t="array" ref="R58" ca="1">INDEX(Lookup!$E$2:$E$6,RANDBETWEEN(1,5))</f>
        <v>High School</v>
      </c>
      <c r="S58" s="16" t="str" cm="1">
        <f t="array" ref="S58" ca="1">INDEX(Lookup!$J$2:$J$11,RANDBETWEEN(1,10))</f>
        <v>Sophia Martin</v>
      </c>
      <c r="T58" s="16" t="str">
        <f t="shared" ca="1" si="6"/>
        <v>skyler.kelly@hranalytics.com</v>
      </c>
      <c r="U58" s="16" t="str">
        <f t="shared" ca="1" si="7"/>
        <v>0845390821</v>
      </c>
      <c r="V58" s="16" t="str" cm="1">
        <f t="array" ref="V58" ca="1">_xlfn.LET(_xlpm.r,RANDBETWEEN(1,100),_xlfn.IFS(_xlpm.r&lt;=70,"Full-Time",_xlpm.r&lt;=85,"Part-Time",_xlpm.r&lt;=95,"Contract",TRUE,"Intern"))</f>
        <v>Full-Time</v>
      </c>
      <c r="W58" s="16" cm="1">
        <f t="array" ref="W58" ca="1">IF(K58&lt;&gt;"Active",0,_xlfn.IFS(M58=5,L58*15%,M58=4,L58*10%,M58=3,L58*5%,M58=2,L58*2%,TRUE,0))</f>
        <v>7965</v>
      </c>
      <c r="X58" s="24">
        <f t="shared" ca="1" si="8"/>
        <v>4</v>
      </c>
      <c r="Y58" s="24">
        <f t="shared" ca="1" si="9"/>
        <v>1</v>
      </c>
    </row>
    <row r="59" spans="1:25">
      <c r="A59" s="16" t="str">
        <f t="shared" si="10"/>
        <v>EMP058</v>
      </c>
      <c r="B59" s="16" t="str" cm="1">
        <f t="array" ref="B59" ca="1">IF(D59="Male",INDEX(Lookup!$L$2:$L$13,RANDBETWEEN(1,12)),IF(D59="Female",INDEX(Lookup!$M$2:$M$13,RANDBETWEEN(1,12)),INDEX(Lookup!$N$2:$N$13,RANDBETWEEN(1,12))))</f>
        <v>Riley</v>
      </c>
      <c r="C59" s="16" t="str" cm="1">
        <f t="array" ref="C59" ca="1">INDEX(Lookup!$K$2:$K$31,RANDBETWEEN(1,30))</f>
        <v>Moore</v>
      </c>
      <c r="D59" s="16" t="str" cm="1">
        <f t="array" ref="D59" ca="1">INDEX(Lookup!$H$2:$H$4,RANDBETWEEN(1,3))</f>
        <v>Other</v>
      </c>
      <c r="E59" s="16">
        <f t="shared" ca="1" si="11"/>
        <v>33</v>
      </c>
      <c r="F59" s="16" t="str" cm="1">
        <f t="array" ref="F59" ca="1">INDEX(Lookup!$A$2:$A$10,RANDBETWEEN(1,9))</f>
        <v>Procurement</v>
      </c>
      <c r="G59" s="16" t="str" cm="1">
        <f t="array" ref="G59" ca="1">_xlfn.LET(_xlpm.Roles,_xlfn._xlws.FILTER(Lookup!$P$2:$P$28,Lookup!$O$2:$O$28=F59),INDEX(_xlpm.Roles,RANDBETWEEN(1,ROWS(_xlpm.Roles))))</f>
        <v>Purchasing Executive</v>
      </c>
      <c r="H59" s="16" t="str" cm="1">
        <f t="array" ref="H59" ca="1">INDEX(Lookup!$B$2:$B$7,RANDBETWEEN(1,6))</f>
        <v>Dublin</v>
      </c>
      <c r="I59" s="22">
        <f t="shared" ca="1" si="0"/>
        <v>45192</v>
      </c>
      <c r="J59" s="22" t="str">
        <f t="shared" ca="1" si="1"/>
        <v/>
      </c>
      <c r="K59" s="16" t="str">
        <f t="shared" ca="1" si="12"/>
        <v>Active</v>
      </c>
      <c r="L59" s="26">
        <f ca="1">_xlfn.XLOOKUP(G59,Lookup!$P$2:$P$28,Lookup!$Q$2:$Q$28)*(1+MIN(X59*3%,30%))</f>
        <v>44520</v>
      </c>
      <c r="M59" s="24">
        <f t="shared" ca="1" si="13"/>
        <v>5</v>
      </c>
      <c r="N59" s="24">
        <f t="shared" ca="1" si="2"/>
        <v>12</v>
      </c>
      <c r="O59" s="24">
        <f t="shared" ca="1" si="3"/>
        <v>2</v>
      </c>
      <c r="P59" s="24">
        <f t="shared" ca="1" si="4"/>
        <v>12</v>
      </c>
      <c r="Q59" s="16" t="str">
        <f t="shared" ca="1" si="5"/>
        <v>Promoted</v>
      </c>
      <c r="R59" s="16" t="str" cm="1">
        <f t="array" ref="R59" ca="1">INDEX(Lookup!$E$2:$E$6,RANDBETWEEN(1,5))</f>
        <v>Dipolma</v>
      </c>
      <c r="S59" s="16" t="str" cm="1">
        <f t="array" ref="S59" ca="1">INDEX(Lookup!$J$2:$J$11,RANDBETWEEN(1,10))</f>
        <v>Sarah Johnson</v>
      </c>
      <c r="T59" s="16" t="str">
        <f t="shared" ca="1" si="6"/>
        <v>riley.moore@hranalytics.com</v>
      </c>
      <c r="U59" s="16" t="str">
        <f t="shared" ca="1" si="7"/>
        <v>0848918135</v>
      </c>
      <c r="V59" s="16" t="str" cm="1">
        <f t="array" ref="V59" ca="1">_xlfn.LET(_xlpm.r,RANDBETWEEN(1,100),_xlfn.IFS(_xlpm.r&lt;=70,"Full-Time",_xlpm.r&lt;=85,"Part-Time",_xlpm.r&lt;=95,"Contract",TRUE,"Intern"))</f>
        <v>Full-Time</v>
      </c>
      <c r="W59" s="16" cm="1">
        <f t="array" ref="W59" ca="1">IF(K59&lt;&gt;"Active",0,_xlfn.IFS(M59=5,L59*15%,M59=4,L59*10%,M59=3,L59*5%,M59=2,L59*2%,TRUE,0))</f>
        <v>4452</v>
      </c>
      <c r="X59" s="24">
        <f t="shared" ca="1" si="8"/>
        <v>2</v>
      </c>
      <c r="Y59" s="24">
        <f t="shared" ca="1" si="9"/>
        <v>2</v>
      </c>
    </row>
    <row r="60" spans="1:25">
      <c r="A60" s="16" t="str">
        <f t="shared" si="10"/>
        <v>EMP059</v>
      </c>
      <c r="B60" s="16" t="str" cm="1">
        <f t="array" ref="B60" ca="1">IF(D60="Male",INDEX(Lookup!$L$2:$L$13,RANDBETWEEN(1,12)),IF(D60="Female",INDEX(Lookup!$M$2:$M$13,RANDBETWEEN(1,12)),INDEX(Lookup!$N$2:$N$13,RANDBETWEEN(1,12))))</f>
        <v>Lucas</v>
      </c>
      <c r="C60" s="16" t="str" cm="1">
        <f t="array" ref="C60" ca="1">INDEX(Lookup!$K$2:$K$31,RANDBETWEEN(1,30))</f>
        <v>Turner</v>
      </c>
      <c r="D60" s="16" t="str" cm="1">
        <f t="array" ref="D60" ca="1">INDEX(Lookup!$H$2:$H$4,RANDBETWEEN(1,3))</f>
        <v>Male</v>
      </c>
      <c r="E60" s="16">
        <f t="shared" ca="1" si="11"/>
        <v>35</v>
      </c>
      <c r="F60" s="16" t="str" cm="1">
        <f t="array" ref="F60" ca="1">INDEX(Lookup!$A$2:$A$10,RANDBETWEEN(1,9))</f>
        <v>Finance</v>
      </c>
      <c r="G60" s="16" t="str" cm="1">
        <f t="array" ref="G60" ca="1">_xlfn.LET(_xlpm.Roles,_xlfn._xlws.FILTER(Lookup!$P$2:$P$28,Lookup!$O$2:$O$28=F60),INDEX(_xlpm.Roles,RANDBETWEEN(1,ROWS(_xlpm.Roles))))</f>
        <v>Payroll Officer</v>
      </c>
      <c r="H60" s="16" t="str" cm="1">
        <f t="array" ref="H60" ca="1">INDEX(Lookup!$B$2:$B$7,RANDBETWEEN(1,6))</f>
        <v>Dublin</v>
      </c>
      <c r="I60" s="22">
        <f t="shared" ca="1" si="0"/>
        <v>43354</v>
      </c>
      <c r="J60" s="22">
        <f t="shared" ca="1" si="1"/>
        <v>44721</v>
      </c>
      <c r="K60" s="16" t="str">
        <f t="shared" ca="1" si="12"/>
        <v>Resigned</v>
      </c>
      <c r="L60" s="26">
        <f ca="1">_xlfn.XLOOKUP(G60,Lookup!$P$2:$P$28,Lookup!$Q$2:$Q$28)*(1+MIN(X60*3%,30%))</f>
        <v>49050</v>
      </c>
      <c r="M60" s="24">
        <f t="shared" ca="1" si="13"/>
        <v>2</v>
      </c>
      <c r="N60" s="24">
        <f t="shared" ca="1" si="2"/>
        <v>41</v>
      </c>
      <c r="O60" s="24">
        <f t="shared" ca="1" si="3"/>
        <v>11</v>
      </c>
      <c r="P60" s="24">
        <f t="shared" ca="1" si="4"/>
        <v>14</v>
      </c>
      <c r="Q60" s="16" t="str">
        <f t="shared" ca="1" si="5"/>
        <v>Promoted</v>
      </c>
      <c r="R60" s="16" t="str" cm="1">
        <f t="array" ref="R60" ca="1">INDEX(Lookup!$E$2:$E$6,RANDBETWEEN(1,5))</f>
        <v>PhD</v>
      </c>
      <c r="S60" s="16" t="str" cm="1">
        <f t="array" ref="S60" ca="1">INDEX(Lookup!$J$2:$J$11,RANDBETWEEN(1,10))</f>
        <v>Sarah Johnson</v>
      </c>
      <c r="T60" s="16" t="str">
        <f t="shared" ca="1" si="6"/>
        <v>lucas.turner@hranalytics.com</v>
      </c>
      <c r="U60" s="16" t="str">
        <f t="shared" ca="1" si="7"/>
        <v>0855053122</v>
      </c>
      <c r="V60" s="16" t="str" cm="1">
        <f t="array" ref="V60" ca="1">_xlfn.LET(_xlpm.r,RANDBETWEEN(1,100),_xlfn.IFS(_xlpm.r&lt;=70,"Full-Time",_xlpm.r&lt;=85,"Part-Time",_xlpm.r&lt;=95,"Contract",TRUE,"Intern"))</f>
        <v>Full-Time</v>
      </c>
      <c r="W60" s="16" cm="1">
        <f t="array" ref="W60" ca="1">IF(K60&lt;&gt;"Active",0,_xlfn.IFS(M60=5,L60*15%,M60=4,L60*10%,M60=3,L60*5%,M60=2,L60*2%,TRUE,0))</f>
        <v>0</v>
      </c>
      <c r="X60" s="24">
        <f t="shared" ca="1" si="8"/>
        <v>7</v>
      </c>
      <c r="Y60" s="24">
        <f t="shared" ca="1" si="9"/>
        <v>2</v>
      </c>
    </row>
    <row r="61" spans="1:25">
      <c r="A61" s="16" t="str">
        <f t="shared" si="10"/>
        <v>EMP060</v>
      </c>
      <c r="B61" s="16" t="str" cm="1">
        <f t="array" ref="B61" ca="1">IF(D61="Male",INDEX(Lookup!$L$2:$L$13,RANDBETWEEN(1,12)),IF(D61="Female",INDEX(Lookup!$M$2:$M$13,RANDBETWEEN(1,12)),INDEX(Lookup!$N$2:$N$13,RANDBETWEEN(1,12))))</f>
        <v>Casey</v>
      </c>
      <c r="C61" s="16" t="str" cm="1">
        <f t="array" ref="C61" ca="1">INDEX(Lookup!$K$2:$K$31,RANDBETWEEN(1,30))</f>
        <v>Walker</v>
      </c>
      <c r="D61" s="16" t="str" cm="1">
        <f t="array" ref="D61" ca="1">INDEX(Lookup!$H$2:$H$4,RANDBETWEEN(1,3))</f>
        <v>Other</v>
      </c>
      <c r="E61" s="16">
        <f t="shared" ca="1" si="11"/>
        <v>45</v>
      </c>
      <c r="F61" s="16" t="str" cm="1">
        <f t="array" ref="F61" ca="1">INDEX(Lookup!$A$2:$A$10,RANDBETWEEN(1,9))</f>
        <v>Customer Support</v>
      </c>
      <c r="G61" s="16" t="str" cm="1">
        <f t="array" ref="G61" ca="1">_xlfn.LET(_xlpm.Roles,_xlfn._xlws.FILTER(Lookup!$P$2:$P$28,Lookup!$O$2:$O$28=F61),INDEX(_xlpm.Roles,RANDBETWEEN(1,ROWS(_xlpm.Roles))))</f>
        <v>Technical Support Specialist</v>
      </c>
      <c r="H61" s="16" t="str" cm="1">
        <f t="array" ref="H61" ca="1">INDEX(Lookup!$B$2:$B$7,RANDBETWEEN(1,6))</f>
        <v>Waterford</v>
      </c>
      <c r="I61" s="22">
        <f t="shared" ca="1" si="0"/>
        <v>44291</v>
      </c>
      <c r="J61" s="22" t="str">
        <f t="shared" ca="1" si="1"/>
        <v/>
      </c>
      <c r="K61" s="16" t="str">
        <f t="shared" ca="1" si="12"/>
        <v>Active</v>
      </c>
      <c r="L61" s="26">
        <f ca="1">_xlfn.XLOOKUP(G61,Lookup!$P$2:$P$28,Lookup!$Q$2:$Q$28)*(1+MIN(X61*3%,30%))</f>
        <v>50400</v>
      </c>
      <c r="M61" s="24">
        <f t="shared" ca="1" si="13"/>
        <v>5</v>
      </c>
      <c r="N61" s="24">
        <f t="shared" ca="1" si="2"/>
        <v>62</v>
      </c>
      <c r="O61" s="24">
        <f t="shared" ca="1" si="3"/>
        <v>3</v>
      </c>
      <c r="P61" s="24">
        <f t="shared" ca="1" si="4"/>
        <v>25</v>
      </c>
      <c r="Q61" s="16" t="str">
        <f t="shared" ca="1" si="5"/>
        <v>Promoted</v>
      </c>
      <c r="R61" s="16" t="str" cm="1">
        <f t="array" ref="R61" ca="1">INDEX(Lookup!$E$2:$E$6,RANDBETWEEN(1,5))</f>
        <v>Dipolma</v>
      </c>
      <c r="S61" s="16" t="str" cm="1">
        <f t="array" ref="S61" ca="1">INDEX(Lookup!$J$2:$J$11,RANDBETWEEN(1,10))</f>
        <v>Daniel Kelly</v>
      </c>
      <c r="T61" s="16" t="str">
        <f t="shared" ca="1" si="6"/>
        <v>casey.walker@hranalytics.com</v>
      </c>
      <c r="U61" s="16" t="str">
        <f t="shared" ca="1" si="7"/>
        <v>0849432408</v>
      </c>
      <c r="V61" s="16" t="str" cm="1">
        <f t="array" ref="V61" ca="1">_xlfn.LET(_xlpm.r,RANDBETWEEN(1,100),_xlfn.IFS(_xlpm.r&lt;=70,"Full-Time",_xlpm.r&lt;=85,"Part-Time",_xlpm.r&lt;=95,"Contract",TRUE,"Intern"))</f>
        <v>Contract</v>
      </c>
      <c r="W61" s="16" cm="1">
        <f t="array" ref="W61" ca="1">IF(K61&lt;&gt;"Active",0,_xlfn.IFS(M61=5,L61*15%,M61=4,L61*10%,M61=3,L61*5%,M61=2,L61*2%,TRUE,0))</f>
        <v>1008</v>
      </c>
      <c r="X61" s="24">
        <f t="shared" ca="1" si="8"/>
        <v>5</v>
      </c>
      <c r="Y61" s="24">
        <f t="shared" ca="1" si="9"/>
        <v>2</v>
      </c>
    </row>
    <row r="62" spans="1:25">
      <c r="A62" s="16" t="str">
        <f t="shared" si="10"/>
        <v>EMP061</v>
      </c>
      <c r="B62" s="16" t="str" cm="1">
        <f t="array" ref="B62" ca="1">IF(D62="Male",INDEX(Lookup!$L$2:$L$13,RANDBETWEEN(1,12)),IF(D62="Female",INDEX(Lookup!$M$2:$M$13,RANDBETWEEN(1,12)),INDEX(Lookup!$N$2:$N$13,RANDBETWEEN(1,12))))</f>
        <v>Lucas</v>
      </c>
      <c r="C62" s="16" t="str" cm="1">
        <f t="array" ref="C62" ca="1">INDEX(Lookup!$K$2:$K$31,RANDBETWEEN(1,30))</f>
        <v>Nelson</v>
      </c>
      <c r="D62" s="16" t="str" cm="1">
        <f t="array" ref="D62" ca="1">INDEX(Lookup!$H$2:$H$4,RANDBETWEEN(1,3))</f>
        <v>Male</v>
      </c>
      <c r="E62" s="16">
        <f t="shared" ca="1" si="11"/>
        <v>50</v>
      </c>
      <c r="F62" s="16" t="str" cm="1">
        <f t="array" ref="F62" ca="1">INDEX(Lookup!$A$2:$A$10,RANDBETWEEN(1,9))</f>
        <v>HR</v>
      </c>
      <c r="G62" s="16" t="str" cm="1">
        <f t="array" ref="G62" ca="1">_xlfn.LET(_xlpm.Roles,_xlfn._xlws.FILTER(Lookup!$P$2:$P$28,Lookup!$O$2:$O$28=F62),INDEX(_xlpm.Roles,RANDBETWEEN(1,ROWS(_xlpm.Roles))))</f>
        <v>HR Manager</v>
      </c>
      <c r="H62" s="16" t="str" cm="1">
        <f t="array" ref="H62" ca="1">INDEX(Lookup!$B$2:$B$7,RANDBETWEEN(1,6))</f>
        <v>Cork</v>
      </c>
      <c r="I62" s="22">
        <f t="shared" ca="1" si="0"/>
        <v>44511</v>
      </c>
      <c r="J62" s="22">
        <f t="shared" ca="1" si="1"/>
        <v>45142</v>
      </c>
      <c r="K62" s="16" t="str">
        <f t="shared" ca="1" si="12"/>
        <v>Resigned</v>
      </c>
      <c r="L62" s="26">
        <f ca="1">_xlfn.XLOOKUP(G62,Lookup!$P$2:$P$28,Lookup!$Q$2:$Q$28)*(1+MIN(X62*3%,30%))</f>
        <v>72800</v>
      </c>
      <c r="M62" s="24">
        <f t="shared" ca="1" si="13"/>
        <v>4</v>
      </c>
      <c r="N62" s="24">
        <f t="shared" ca="1" si="2"/>
        <v>70</v>
      </c>
      <c r="O62" s="24">
        <f t="shared" ca="1" si="3"/>
        <v>17</v>
      </c>
      <c r="P62" s="24">
        <f t="shared" ca="1" si="4"/>
        <v>18</v>
      </c>
      <c r="Q62" s="16" t="str">
        <f t="shared" ca="1" si="5"/>
        <v>Not Promoted</v>
      </c>
      <c r="R62" s="16" t="str" cm="1">
        <f t="array" ref="R62" ca="1">INDEX(Lookup!$E$2:$E$6,RANDBETWEEN(1,5))</f>
        <v>Master's</v>
      </c>
      <c r="S62" s="16" t="str" cm="1">
        <f t="array" ref="S62" ca="1">INDEX(Lookup!$J$2:$J$11,RANDBETWEEN(1,10))</f>
        <v>James Taylor</v>
      </c>
      <c r="T62" s="16" t="str">
        <f t="shared" ca="1" si="6"/>
        <v>lucas.nelson@hranalytics.com</v>
      </c>
      <c r="U62" s="16" t="str">
        <f t="shared" ca="1" si="7"/>
        <v>0857673643</v>
      </c>
      <c r="V62" s="16" t="str" cm="1">
        <f t="array" ref="V62" ca="1">_xlfn.LET(_xlpm.r,RANDBETWEEN(1,100),_xlfn.IFS(_xlpm.r&lt;=70,"Full-Time",_xlpm.r&lt;=85,"Part-Time",_xlpm.r&lt;=95,"Contract",TRUE,"Intern"))</f>
        <v>Part-Time</v>
      </c>
      <c r="W62" s="16" cm="1">
        <f t="array" ref="W62" ca="1">IF(K62&lt;&gt;"Active",0,_xlfn.IFS(M62=5,L62*15%,M62=4,L62*10%,M62=3,L62*5%,M62=2,L62*2%,TRUE,0))</f>
        <v>0</v>
      </c>
      <c r="X62" s="24">
        <f t="shared" ca="1" si="8"/>
        <v>4</v>
      </c>
      <c r="Y62" s="24">
        <f t="shared" ca="1" si="9"/>
        <v>1</v>
      </c>
    </row>
    <row r="63" spans="1:25">
      <c r="A63" s="16" t="str">
        <f t="shared" si="10"/>
        <v>EMP062</v>
      </c>
      <c r="B63" s="16" t="str" cm="1">
        <f t="array" ref="B63" ca="1">IF(D63="Male",INDEX(Lookup!$L$2:$L$13,RANDBETWEEN(1,12)),IF(D63="Female",INDEX(Lookup!$M$2:$M$13,RANDBETWEEN(1,12)),INDEX(Lookup!$N$2:$N$13,RANDBETWEEN(1,12))))</f>
        <v>Sophia</v>
      </c>
      <c r="C63" s="16" t="str" cm="1">
        <f t="array" ref="C63" ca="1">INDEX(Lookup!$K$2:$K$31,RANDBETWEEN(1,30))</f>
        <v>White</v>
      </c>
      <c r="D63" s="16" t="str" cm="1">
        <f t="array" ref="D63" ca="1">INDEX(Lookup!$H$2:$H$4,RANDBETWEEN(1,3))</f>
        <v>Female</v>
      </c>
      <c r="E63" s="16">
        <f t="shared" ca="1" si="11"/>
        <v>21</v>
      </c>
      <c r="F63" s="16" t="str" cm="1">
        <f t="array" ref="F63" ca="1">INDEX(Lookup!$A$2:$A$10,RANDBETWEEN(1,9))</f>
        <v>Customer Support</v>
      </c>
      <c r="G63" s="16" t="str" cm="1">
        <f t="array" ref="G63" ca="1">_xlfn.LET(_xlpm.Roles,_xlfn._xlws.FILTER(Lookup!$P$2:$P$28,Lookup!$O$2:$O$28=F63),INDEX(_xlpm.Roles,RANDBETWEEN(1,ROWS(_xlpm.Roles))))</f>
        <v>Technical Support Specialist</v>
      </c>
      <c r="H63" s="16" t="str" cm="1">
        <f t="array" ref="H63" ca="1">INDEX(Lookup!$B$2:$B$7,RANDBETWEEN(1,6))</f>
        <v>Waterford</v>
      </c>
      <c r="I63" s="22">
        <f t="shared" ca="1" si="0"/>
        <v>45977</v>
      </c>
      <c r="J63" s="22" t="str">
        <f t="shared" ca="1" si="1"/>
        <v/>
      </c>
      <c r="K63" s="16" t="str">
        <f t="shared" ca="1" si="12"/>
        <v>Active</v>
      </c>
      <c r="L63" s="26">
        <f ca="1">_xlfn.XLOOKUP(G63,Lookup!$P$2:$P$28,Lookup!$Q$2:$Q$28)*(1+MIN(X63*3%,30%))</f>
        <v>54450</v>
      </c>
      <c r="M63" s="24">
        <f t="shared" ca="1" si="13"/>
        <v>2</v>
      </c>
      <c r="N63" s="24">
        <f t="shared" ca="1" si="2"/>
        <v>6</v>
      </c>
      <c r="O63" s="24">
        <f t="shared" ca="1" si="3"/>
        <v>5</v>
      </c>
      <c r="P63" s="24">
        <f t="shared" ca="1" si="4"/>
        <v>26</v>
      </c>
      <c r="Q63" s="16" t="str">
        <f t="shared" ca="1" si="5"/>
        <v>Not Promoted</v>
      </c>
      <c r="R63" s="16" t="str" cm="1">
        <f t="array" ref="R63" ca="1">INDEX(Lookup!$E$2:$E$6,RANDBETWEEN(1,5))</f>
        <v>Master's</v>
      </c>
      <c r="S63" s="16" t="str" cm="1">
        <f t="array" ref="S63" ca="1">INDEX(Lookup!$J$2:$J$11,RANDBETWEEN(1,10))</f>
        <v>Olivia Smith</v>
      </c>
      <c r="T63" s="16" t="str">
        <f t="shared" ca="1" si="6"/>
        <v>sophia.white@hranalytics.com</v>
      </c>
      <c r="U63" s="16" t="str">
        <f t="shared" ca="1" si="7"/>
        <v>0844547630</v>
      </c>
      <c r="V63" s="16" t="str" cm="1">
        <f t="array" ref="V63" ca="1">_xlfn.LET(_xlpm.r,RANDBETWEEN(1,100),_xlfn.IFS(_xlpm.r&lt;=70,"Full-Time",_xlpm.r&lt;=85,"Part-Time",_xlpm.r&lt;=95,"Contract",TRUE,"Intern"))</f>
        <v>Contract</v>
      </c>
      <c r="W63" s="16" cm="1">
        <f t="array" ref="W63" ca="1">IF(K63&lt;&gt;"Active",0,_xlfn.IFS(M63=5,L63*15%,M63=4,L63*10%,M63=3,L63*5%,M63=2,L63*2%,TRUE,0))</f>
        <v>0</v>
      </c>
      <c r="X63" s="24">
        <f t="shared" ca="1" si="8"/>
        <v>0</v>
      </c>
      <c r="Y63" s="24">
        <f t="shared" ca="1" si="9"/>
        <v>3</v>
      </c>
    </row>
    <row r="64" spans="1:25">
      <c r="A64" s="16" t="str">
        <f t="shared" si="10"/>
        <v>EMP063</v>
      </c>
      <c r="B64" s="16" t="str" cm="1">
        <f t="array" ref="B64" ca="1">IF(D64="Male",INDEX(Lookup!$L$2:$L$13,RANDBETWEEN(1,12)),IF(D64="Female",INDEX(Lookup!$M$2:$M$13,RANDBETWEEN(1,12)),INDEX(Lookup!$N$2:$N$13,RANDBETWEEN(1,12))))</f>
        <v>Daniel</v>
      </c>
      <c r="C64" s="16" t="str" cm="1">
        <f t="array" ref="C64" ca="1">INDEX(Lookup!$K$2:$K$31,RANDBETWEEN(1,30))</f>
        <v>Evans</v>
      </c>
      <c r="D64" s="16" t="str" cm="1">
        <f t="array" ref="D64" ca="1">INDEX(Lookup!$H$2:$H$4,RANDBETWEEN(1,3))</f>
        <v>Male</v>
      </c>
      <c r="E64" s="16">
        <f t="shared" ca="1" si="11"/>
        <v>34</v>
      </c>
      <c r="F64" s="16" t="str" cm="1">
        <f t="array" ref="F64" ca="1">INDEX(Lookup!$A$2:$A$10,RANDBETWEEN(1,9))</f>
        <v>Procurement</v>
      </c>
      <c r="G64" s="16" t="str" cm="1">
        <f t="array" ref="G64" ca="1">_xlfn.LET(_xlpm.Roles,_xlfn._xlws.FILTER(Lookup!$P$2:$P$28,Lookup!$O$2:$O$28=F64),INDEX(_xlpm.Roles,RANDBETWEEN(1,ROWS(_xlpm.Roles))))</f>
        <v>Purchasing Executive</v>
      </c>
      <c r="H64" s="16" t="str" cm="1">
        <f t="array" ref="H64" ca="1">INDEX(Lookup!$B$2:$B$7,RANDBETWEEN(1,6))</f>
        <v>Cork</v>
      </c>
      <c r="I64" s="22">
        <f t="shared" ca="1" si="0"/>
        <v>45743</v>
      </c>
      <c r="J64" s="22" t="str">
        <f t="shared" ca="1" si="1"/>
        <v/>
      </c>
      <c r="K64" s="16" t="str">
        <f t="shared" ca="1" si="12"/>
        <v>Active</v>
      </c>
      <c r="L64" s="26">
        <f ca="1">_xlfn.XLOOKUP(G64,Lookup!$P$2:$P$28,Lookup!$Q$2:$Q$28)*(1+MIN(X64*3%,30%))</f>
        <v>48300</v>
      </c>
      <c r="M64" s="24">
        <f t="shared" ca="1" si="13"/>
        <v>3</v>
      </c>
      <c r="N64" s="24">
        <f t="shared" ca="1" si="2"/>
        <v>35</v>
      </c>
      <c r="O64" s="24">
        <f t="shared" ca="1" si="3"/>
        <v>0</v>
      </c>
      <c r="P64" s="24">
        <f t="shared" ca="1" si="4"/>
        <v>35</v>
      </c>
      <c r="Q64" s="16" t="str">
        <f t="shared" ca="1" si="5"/>
        <v>Promoted</v>
      </c>
      <c r="R64" s="16" t="str" cm="1">
        <f t="array" ref="R64" ca="1">INDEX(Lookup!$E$2:$E$6,RANDBETWEEN(1,5))</f>
        <v>High School</v>
      </c>
      <c r="S64" s="16" t="str" cm="1">
        <f t="array" ref="S64" ca="1">INDEX(Lookup!$J$2:$J$11,RANDBETWEEN(1,10))</f>
        <v>Sophia Martin</v>
      </c>
      <c r="T64" s="16" t="str">
        <f t="shared" ca="1" si="6"/>
        <v>daniel.evans@hranalytics.com</v>
      </c>
      <c r="U64" s="16" t="str">
        <f t="shared" ca="1" si="7"/>
        <v>0839716536</v>
      </c>
      <c r="V64" s="16" t="str" cm="1">
        <f t="array" ref="V64" ca="1">_xlfn.LET(_xlpm.r,RANDBETWEEN(1,100),_xlfn.IFS(_xlpm.r&lt;=70,"Full-Time",_xlpm.r&lt;=85,"Part-Time",_xlpm.r&lt;=95,"Contract",TRUE,"Intern"))</f>
        <v>Full-Time</v>
      </c>
      <c r="W64" s="16" cm="1">
        <f t="array" ref="W64" ca="1">IF(K64&lt;&gt;"Active",0,_xlfn.IFS(M64=5,L64*15%,M64=4,L64*10%,M64=3,L64*5%,M64=2,L64*2%,TRUE,0))</f>
        <v>0</v>
      </c>
      <c r="X64" s="24">
        <f t="shared" ca="1" si="8"/>
        <v>1</v>
      </c>
      <c r="Y64" s="24">
        <f t="shared" ca="1" si="9"/>
        <v>2</v>
      </c>
    </row>
    <row r="65" spans="1:25">
      <c r="A65" s="16" t="str">
        <f t="shared" si="10"/>
        <v>EMP064</v>
      </c>
      <c r="B65" s="16" t="str" cm="1">
        <f t="array" ref="B65" ca="1">IF(D65="Male",INDEX(Lookup!$L$2:$L$13,RANDBETWEEN(1,12)),IF(D65="Female",INDEX(Lookup!$M$2:$M$13,RANDBETWEEN(1,12)),INDEX(Lookup!$N$2:$N$13,RANDBETWEEN(1,12))))</f>
        <v>Morgan</v>
      </c>
      <c r="C65" s="16" t="str" cm="1">
        <f t="array" ref="C65" ca="1">INDEX(Lookup!$K$2:$K$31,RANDBETWEEN(1,30))</f>
        <v>Green</v>
      </c>
      <c r="D65" s="16" t="str" cm="1">
        <f t="array" ref="D65" ca="1">INDEX(Lookup!$H$2:$H$4,RANDBETWEEN(1,3))</f>
        <v>Other</v>
      </c>
      <c r="E65" s="16">
        <f t="shared" ca="1" si="11"/>
        <v>26</v>
      </c>
      <c r="F65" s="16" t="str" cm="1">
        <f t="array" ref="F65" ca="1">INDEX(Lookup!$A$2:$A$10,RANDBETWEEN(1,9))</f>
        <v>Procurement</v>
      </c>
      <c r="G65" s="16" t="str" cm="1">
        <f t="array" ref="G65" ca="1">_xlfn.LET(_xlpm.Roles,_xlfn._xlws.FILTER(Lookup!$P$2:$P$28,Lookup!$O$2:$O$28=F65),INDEX(_xlpm.Roles,RANDBETWEEN(1,ROWS(_xlpm.Roles))))</f>
        <v>Procurement Analyst</v>
      </c>
      <c r="H65" s="16" t="str" cm="1">
        <f t="array" ref="H65" ca="1">INDEX(Lookup!$B$2:$B$7,RANDBETWEEN(1,6))</f>
        <v>Cork</v>
      </c>
      <c r="I65" s="22">
        <f t="shared" ca="1" si="0"/>
        <v>45948</v>
      </c>
      <c r="J65" s="22">
        <f t="shared" ca="1" si="1"/>
        <v>47374</v>
      </c>
      <c r="K65" s="16" t="str">
        <f t="shared" ca="1" si="12"/>
        <v>Resigned</v>
      </c>
      <c r="L65" s="26">
        <f ca="1">_xlfn.XLOOKUP(G65,Lookup!$P$2:$P$28,Lookup!$Q$2:$Q$28)*(1+MIN(X65*3%,30%))</f>
        <v>57500</v>
      </c>
      <c r="M65" s="24">
        <f t="shared" ca="1" si="13"/>
        <v>5</v>
      </c>
      <c r="N65" s="24">
        <f t="shared" ca="1" si="2"/>
        <v>7</v>
      </c>
      <c r="O65" s="24">
        <f t="shared" ca="1" si="3"/>
        <v>18</v>
      </c>
      <c r="P65" s="24">
        <f t="shared" ca="1" si="4"/>
        <v>19</v>
      </c>
      <c r="Q65" s="16" t="str">
        <f t="shared" ca="1" si="5"/>
        <v>Not Promoted</v>
      </c>
      <c r="R65" s="16" t="str" cm="1">
        <f t="array" ref="R65" ca="1">INDEX(Lookup!$E$2:$E$6,RANDBETWEEN(1,5))</f>
        <v>Dipolma</v>
      </c>
      <c r="S65" s="16" t="str" cm="1">
        <f t="array" ref="S65" ca="1">INDEX(Lookup!$J$2:$J$11,RANDBETWEEN(1,10))</f>
        <v>James Taylor</v>
      </c>
      <c r="T65" s="16" t="str">
        <f t="shared" ca="1" si="6"/>
        <v>morgan.green@hranalytics.com</v>
      </c>
      <c r="U65" s="16" t="str">
        <f t="shared" ca="1" si="7"/>
        <v>0856047759</v>
      </c>
      <c r="V65" s="16" t="str" cm="1">
        <f t="array" ref="V65" ca="1">_xlfn.LET(_xlpm.r,RANDBETWEEN(1,100),_xlfn.IFS(_xlpm.r&lt;=70,"Full-Time",_xlpm.r&lt;=85,"Part-Time",_xlpm.r&lt;=95,"Contract",TRUE,"Intern"))</f>
        <v>Full-Time</v>
      </c>
      <c r="W65" s="16" cm="1">
        <f t="array" ref="W65" ca="1">IF(K65&lt;&gt;"Active",0,_xlfn.IFS(M65=5,L65*15%,M65=4,L65*10%,M65=3,L65*5%,M65=2,L65*2%,TRUE,0))</f>
        <v>0</v>
      </c>
      <c r="X65" s="24">
        <f t="shared" ca="1" si="8"/>
        <v>0</v>
      </c>
      <c r="Y65" s="24">
        <f t="shared" ca="1" si="9"/>
        <v>2</v>
      </c>
    </row>
    <row r="66" spans="1:25">
      <c r="A66" s="16" t="str">
        <f t="shared" si="10"/>
        <v>EMP065</v>
      </c>
      <c r="B66" s="16" t="str" cm="1">
        <f t="array" ref="B66" ca="1">IF(D66="Male",INDEX(Lookup!$L$2:$L$13,RANDBETWEEN(1,12)),IF(D66="Female",INDEX(Lookup!$M$2:$M$13,RANDBETWEEN(1,12)),INDEX(Lookup!$N$2:$N$13,RANDBETWEEN(1,12))))</f>
        <v>Robin</v>
      </c>
      <c r="C66" s="16" t="str" cm="1">
        <f t="array" ref="C66" ca="1">INDEX(Lookup!$K$2:$K$31,RANDBETWEEN(1,30))</f>
        <v>Kelly</v>
      </c>
      <c r="D66" s="16" t="str" cm="1">
        <f t="array" ref="D66" ca="1">INDEX(Lookup!$H$2:$H$4,RANDBETWEEN(1,3))</f>
        <v>Other</v>
      </c>
      <c r="E66" s="16">
        <f t="shared" ref="E66:E129" ca="1" si="14">RANDBETWEEN(21,60)</f>
        <v>27</v>
      </c>
      <c r="F66" s="16" t="str" cm="1">
        <f t="array" ref="F66" ca="1">INDEX(Lookup!$A$2:$A$10,RANDBETWEEN(1,9))</f>
        <v>IT</v>
      </c>
      <c r="G66" s="16" t="str" cm="1">
        <f t="array" ref="G66" ca="1">_xlfn.LET(_xlpm.Roles,_xlfn._xlws.FILTER(Lookup!$P$2:$P$28,Lookup!$O$2:$O$28=F66),INDEX(_xlpm.Roles,RANDBETWEEN(1,ROWS(_xlpm.Roles))))</f>
        <v>Business Analyst</v>
      </c>
      <c r="H66" s="16" t="str" cm="1">
        <f t="array" ref="H66" ca="1">INDEX(Lookup!$B$2:$B$7,RANDBETWEEN(1,6))</f>
        <v>Dublin</v>
      </c>
      <c r="I66" s="22">
        <f t="shared" ref="I66:I129" ca="1" si="15">DATE(RANDBETWEEN(2018,2025),RANDBETWEEN(1,12),RANDBETWEEN(1,28))</f>
        <v>45025</v>
      </c>
      <c r="J66" s="22" t="str">
        <f t="shared" ref="J66:J129" ca="1" si="16">IF(K66="Resigned",I66+RANDBETWEEN(180,2000),"")</f>
        <v/>
      </c>
      <c r="K66" s="16" t="str">
        <f t="shared" ref="K66:K129" ca="1" si="17">IF(RANDBETWEEN(1,10)&lt;=8,"Active","Resigned")</f>
        <v>Active</v>
      </c>
      <c r="L66" s="26">
        <f ca="1">_xlfn.XLOOKUP(G66,Lookup!$P$2:$P$28,Lookup!$Q$2:$Q$28)*(1+MIN(X66*3%,30%))</f>
        <v>63600</v>
      </c>
      <c r="M66" s="24">
        <f t="shared" ca="1" si="13"/>
        <v>3</v>
      </c>
      <c r="N66" s="24">
        <f t="shared" ref="N66:N129" ca="1" si="18">RANDBETWEEN(0,80)</f>
        <v>13</v>
      </c>
      <c r="O66" s="24">
        <f t="shared" ref="O66:O129" ca="1" si="19">RANDBETWEEN(0,20)</f>
        <v>17</v>
      </c>
      <c r="P66" s="24">
        <f t="shared" ref="P66:P129" ca="1" si="20">RANDBETWEEN(0,60)</f>
        <v>19</v>
      </c>
      <c r="Q66" s="16" t="str">
        <f t="shared" ref="Q66:Q129" ca="1" si="21">IF(AND(L66&gt;=4,X66&gt;=2,K66="Active"),"Promoted","Not Promoted")</f>
        <v>Promoted</v>
      </c>
      <c r="R66" s="16" t="str" cm="1">
        <f t="array" ref="R66" ca="1">INDEX(Lookup!$E$2:$E$6,RANDBETWEEN(1,5))</f>
        <v>High School</v>
      </c>
      <c r="S66" s="16" t="str" cm="1">
        <f t="array" ref="S66" ca="1">INDEX(Lookup!$J$2:$J$11,RANDBETWEEN(1,10))</f>
        <v>Michael Brown</v>
      </c>
      <c r="T66" s="16" t="str">
        <f t="shared" ref="T66:T129" ca="1" si="22">LOWER(B66&amp;"."&amp;C66&amp;"@hranalytics.com")</f>
        <v>robin.kelly@hranalytics.com</v>
      </c>
      <c r="U66" s="16" t="str">
        <f t="shared" ref="U66:U129" ca="1" si="23">"08"&amp;RANDBETWEEN(3,9)&amp;TEXT(RANDBETWEEN(1000000,9999999),"0000000")</f>
        <v>0841766944</v>
      </c>
      <c r="V66" s="16" t="str" cm="1">
        <f t="array" ref="V66" ca="1">_xlfn.LET(_xlpm.r,RANDBETWEEN(1,100),_xlfn.IFS(_xlpm.r&lt;=70,"Full-Time",_xlpm.r&lt;=85,"Part-Time",_xlpm.r&lt;=95,"Contract",TRUE,"Intern"))</f>
        <v>Intern</v>
      </c>
      <c r="W66" s="16" cm="1">
        <f t="array" ref="W66" ca="1">IF(K66&lt;&gt;"Active",0,_xlfn.IFS(M66=5,L66*15%,M66=4,L66*10%,M66=3,L66*5%,M66=2,L66*2%,TRUE,0))</f>
        <v>1272</v>
      </c>
      <c r="X66" s="24">
        <f t="shared" ref="X66:X129" ca="1" si="24">DATEDIF(I66,TODAY(),"Y")</f>
        <v>3</v>
      </c>
      <c r="Y66" s="24">
        <f t="shared" ref="Y66:Y129" ca="1" si="25">RANDBETWEEN(1,3)</f>
        <v>1</v>
      </c>
    </row>
    <row r="67" spans="1:25">
      <c r="A67" s="16" t="str">
        <f t="shared" ref="A67:A130" si="26">"EMP"&amp;TEXT(ROW()-1,"000")</f>
        <v>EMP066</v>
      </c>
      <c r="B67" s="16" t="str" cm="1">
        <f t="array" ref="B67" ca="1">IF(D67="Male",INDEX(Lookup!$L$2:$L$13,RANDBETWEEN(1,12)),IF(D67="Female",INDEX(Lookup!$M$2:$M$13,RANDBETWEEN(1,12)),INDEX(Lookup!$N$2:$N$13,RANDBETWEEN(1,12))))</f>
        <v>Grace</v>
      </c>
      <c r="C67" s="16" t="str" cm="1">
        <f t="array" ref="C67" ca="1">INDEX(Lookup!$K$2:$K$31,RANDBETWEEN(1,30))</f>
        <v>Johnson</v>
      </c>
      <c r="D67" s="16" t="str" cm="1">
        <f t="array" ref="D67" ca="1">INDEX(Lookup!$H$2:$H$4,RANDBETWEEN(1,3))</f>
        <v>Female</v>
      </c>
      <c r="E67" s="16">
        <f t="shared" ca="1" si="14"/>
        <v>33</v>
      </c>
      <c r="F67" s="16" t="str" cm="1">
        <f t="array" ref="F67" ca="1">INDEX(Lookup!$A$2:$A$10,RANDBETWEEN(1,9))</f>
        <v>Finance</v>
      </c>
      <c r="G67" s="16" t="str" cm="1">
        <f t="array" ref="G67" ca="1">_xlfn.LET(_xlpm.Roles,_xlfn._xlws.FILTER(Lookup!$P$2:$P$28,Lookup!$O$2:$O$28=F67),INDEX(_xlpm.Roles,RANDBETWEEN(1,ROWS(_xlpm.Roles))))</f>
        <v>Payroll Officer</v>
      </c>
      <c r="H67" s="16" t="str" cm="1">
        <f t="array" ref="H67" ca="1">INDEX(Lookup!$B$2:$B$7,RANDBETWEEN(1,6))</f>
        <v>Limerick</v>
      </c>
      <c r="I67" s="22">
        <f t="shared" ca="1" si="15"/>
        <v>44328</v>
      </c>
      <c r="J67" s="22" t="str">
        <f t="shared" ca="1" si="16"/>
        <v/>
      </c>
      <c r="K67" s="16" t="str">
        <f t="shared" ca="1" si="17"/>
        <v>Active</v>
      </c>
      <c r="L67" s="26">
        <f ca="1">_xlfn.XLOOKUP(G67,Lookup!$P$2:$P$28,Lookup!$Q$2:$Q$28)*(1+MIN(X67*3%,30%))</f>
        <v>50400</v>
      </c>
      <c r="M67" s="24">
        <f t="shared" ref="M67:M130" ca="1" si="27">RANDBETWEEN(1,5)</f>
        <v>5</v>
      </c>
      <c r="N67" s="24">
        <f t="shared" ca="1" si="18"/>
        <v>27</v>
      </c>
      <c r="O67" s="24">
        <f t="shared" ca="1" si="19"/>
        <v>18</v>
      </c>
      <c r="P67" s="24">
        <f t="shared" ca="1" si="20"/>
        <v>39</v>
      </c>
      <c r="Q67" s="16" t="str">
        <f t="shared" ca="1" si="21"/>
        <v>Promoted</v>
      </c>
      <c r="R67" s="16" t="str" cm="1">
        <f t="array" ref="R67" ca="1">INDEX(Lookup!$E$2:$E$6,RANDBETWEEN(1,5))</f>
        <v>Dipolma</v>
      </c>
      <c r="S67" s="16" t="str" cm="1">
        <f t="array" ref="S67" ca="1">INDEX(Lookup!$J$2:$J$11,RANDBETWEEN(1,10))</f>
        <v>Liam Byrne</v>
      </c>
      <c r="T67" s="16" t="str">
        <f t="shared" ca="1" si="22"/>
        <v>grace.johnson@hranalytics.com</v>
      </c>
      <c r="U67" s="16" t="str">
        <f t="shared" ca="1" si="23"/>
        <v>0838085647</v>
      </c>
      <c r="V67" s="16" t="str" cm="1">
        <f t="array" ref="V67" ca="1">_xlfn.LET(_xlpm.r,RANDBETWEEN(1,100),_xlfn.IFS(_xlpm.r&lt;=70,"Full-Time",_xlpm.r&lt;=85,"Part-Time",_xlpm.r&lt;=95,"Contract",TRUE,"Intern"))</f>
        <v>Full-Time</v>
      </c>
      <c r="W67" s="16" cm="1">
        <f t="array" ref="W67" ca="1">IF(K67&lt;&gt;"Active",0,_xlfn.IFS(M67=5,L67*15%,M67=4,L67*10%,M67=3,L67*5%,M67=2,L67*2%,TRUE,0))</f>
        <v>7560</v>
      </c>
      <c r="X67" s="24">
        <f t="shared" ca="1" si="24"/>
        <v>5</v>
      </c>
      <c r="Y67" s="24">
        <f t="shared" ca="1" si="25"/>
        <v>2</v>
      </c>
    </row>
    <row r="68" spans="1:25">
      <c r="A68" s="16" t="str">
        <f t="shared" si="26"/>
        <v>EMP067</v>
      </c>
      <c r="B68" s="16" t="str" cm="1">
        <f t="array" ref="B68" ca="1">IF(D68="Male",INDEX(Lookup!$L$2:$L$13,RANDBETWEEN(1,12)),IF(D68="Female",INDEX(Lookup!$M$2:$M$13,RANDBETWEEN(1,12)),INDEX(Lookup!$N$2:$N$13,RANDBETWEEN(1,12))))</f>
        <v>Alex</v>
      </c>
      <c r="C68" s="16" t="str" cm="1">
        <f t="array" ref="C68" ca="1">INDEX(Lookup!$K$2:$K$31,RANDBETWEEN(1,30))</f>
        <v>Walker</v>
      </c>
      <c r="D68" s="16" t="str" cm="1">
        <f t="array" ref="D68" ca="1">INDEX(Lookup!$H$2:$H$4,RANDBETWEEN(1,3))</f>
        <v>Other</v>
      </c>
      <c r="E68" s="16">
        <f t="shared" ca="1" si="14"/>
        <v>45</v>
      </c>
      <c r="F68" s="16" t="str" cm="1">
        <f t="array" ref="F68" ca="1">INDEX(Lookup!$A$2:$A$10,RANDBETWEEN(1,9))</f>
        <v>Procurement</v>
      </c>
      <c r="G68" s="16" t="str" cm="1">
        <f t="array" ref="G68" ca="1">_xlfn.LET(_xlpm.Roles,_xlfn._xlws.FILTER(Lookup!$P$2:$P$28,Lookup!$O$2:$O$28=F68),INDEX(_xlpm.Roles,RANDBETWEEN(1,ROWS(_xlpm.Roles))))</f>
        <v>Procurement Officer</v>
      </c>
      <c r="H68" s="16" t="str" cm="1">
        <f t="array" ref="H68" ca="1">INDEX(Lookup!$B$2:$B$7,RANDBETWEEN(1,6))</f>
        <v>Waterford</v>
      </c>
      <c r="I68" s="22">
        <f t="shared" ca="1" si="15"/>
        <v>44761</v>
      </c>
      <c r="J68" s="22" t="str">
        <f t="shared" ca="1" si="16"/>
        <v/>
      </c>
      <c r="K68" s="16" t="str">
        <f t="shared" ca="1" si="17"/>
        <v>Active</v>
      </c>
      <c r="L68" s="26">
        <f ca="1">_xlfn.XLOOKUP(G68,Lookup!$P$2:$P$28,Lookup!$Q$2:$Q$28)*(1+MIN(X68*3%,30%))</f>
        <v>50400</v>
      </c>
      <c r="M68" s="24">
        <f t="shared" ca="1" si="27"/>
        <v>3</v>
      </c>
      <c r="N68" s="24">
        <f t="shared" ca="1" si="18"/>
        <v>79</v>
      </c>
      <c r="O68" s="24">
        <f t="shared" ca="1" si="19"/>
        <v>10</v>
      </c>
      <c r="P68" s="24">
        <f t="shared" ca="1" si="20"/>
        <v>42</v>
      </c>
      <c r="Q68" s="16" t="str">
        <f t="shared" ca="1" si="21"/>
        <v>Not Promoted</v>
      </c>
      <c r="R68" s="16" t="str" cm="1">
        <f t="array" ref="R68" ca="1">INDEX(Lookup!$E$2:$E$6,RANDBETWEEN(1,5))</f>
        <v>Dipolma</v>
      </c>
      <c r="S68" s="16" t="str" cm="1">
        <f t="array" ref="S68" ca="1">INDEX(Lookup!$J$2:$J$11,RANDBETWEEN(1,10))</f>
        <v>Daniel Kelly</v>
      </c>
      <c r="T68" s="16" t="str">
        <f t="shared" ca="1" si="22"/>
        <v>alex.walker@hranalytics.com</v>
      </c>
      <c r="U68" s="16" t="str">
        <f t="shared" ca="1" si="23"/>
        <v>0831700301</v>
      </c>
      <c r="V68" s="16" t="str" cm="1">
        <f t="array" ref="V68" ca="1">_xlfn.LET(_xlpm.r,RANDBETWEEN(1,100),_xlfn.IFS(_xlpm.r&lt;=70,"Full-Time",_xlpm.r&lt;=85,"Part-Time",_xlpm.r&lt;=95,"Contract",TRUE,"Intern"))</f>
        <v>Full-Time</v>
      </c>
      <c r="W68" s="16" cm="1">
        <f t="array" ref="W68" ca="1">IF(K68&lt;&gt;"Active",0,_xlfn.IFS(M68=5,L68*15%,M68=4,L68*10%,M68=3,L68*5%,M68=2,L68*2%,TRUE,0))</f>
        <v>0</v>
      </c>
      <c r="X68" s="24">
        <f t="shared" ca="1" si="24"/>
        <v>4</v>
      </c>
      <c r="Y68" s="24">
        <f t="shared" ca="1" si="25"/>
        <v>1</v>
      </c>
    </row>
    <row r="69" spans="1:25">
      <c r="A69" s="16" t="str">
        <f t="shared" si="26"/>
        <v>EMP068</v>
      </c>
      <c r="B69" s="16" t="str" cm="1">
        <f t="array" ref="B69" ca="1">IF(D69="Male",INDEX(Lookup!$L$2:$L$13,RANDBETWEEN(1,12)),IF(D69="Female",INDEX(Lookup!$M$2:$M$13,RANDBETWEEN(1,12)),INDEX(Lookup!$N$2:$N$13,RANDBETWEEN(1,12))))</f>
        <v>Ava</v>
      </c>
      <c r="C69" s="16" t="str" cm="1">
        <f t="array" ref="C69" ca="1">INDEX(Lookup!$K$2:$K$31,RANDBETWEEN(1,30))</f>
        <v>Young</v>
      </c>
      <c r="D69" s="16" t="str" cm="1">
        <f t="array" ref="D69" ca="1">INDEX(Lookup!$H$2:$H$4,RANDBETWEEN(1,3))</f>
        <v>Female</v>
      </c>
      <c r="E69" s="16">
        <f t="shared" ca="1" si="14"/>
        <v>54</v>
      </c>
      <c r="F69" s="16" t="str" cm="1">
        <f t="array" ref="F69" ca="1">INDEX(Lookup!$A$2:$A$10,RANDBETWEEN(1,9))</f>
        <v>Sales</v>
      </c>
      <c r="G69" s="16" t="str" cm="1">
        <f t="array" ref="G69" ca="1">_xlfn.LET(_xlpm.Roles,_xlfn._xlws.FILTER(Lookup!$P$2:$P$28,Lookup!$O$2:$O$28=F69),INDEX(_xlpm.Roles,RANDBETWEEN(1,ROWS(_xlpm.Roles))))</f>
        <v>Sales Executive</v>
      </c>
      <c r="H69" s="16" t="str" cm="1">
        <f t="array" ref="H69" ca="1">INDEX(Lookup!$B$2:$B$7,RANDBETWEEN(1,6))</f>
        <v>Dublin</v>
      </c>
      <c r="I69" s="22">
        <f t="shared" ca="1" si="15"/>
        <v>43384</v>
      </c>
      <c r="J69" s="22" t="str">
        <f t="shared" ca="1" si="16"/>
        <v/>
      </c>
      <c r="K69" s="16" t="str">
        <f t="shared" ca="1" si="17"/>
        <v>Active</v>
      </c>
      <c r="L69" s="26">
        <f ca="1">_xlfn.XLOOKUP(G69,Lookup!$P$2:$P$28,Lookup!$Q$2:$Q$28)*(1+MIN(X69*3%,30%))</f>
        <v>43600</v>
      </c>
      <c r="M69" s="24">
        <f t="shared" ca="1" si="27"/>
        <v>2</v>
      </c>
      <c r="N69" s="24">
        <f t="shared" ca="1" si="18"/>
        <v>64</v>
      </c>
      <c r="O69" s="24">
        <f t="shared" ca="1" si="19"/>
        <v>3</v>
      </c>
      <c r="P69" s="24">
        <f t="shared" ca="1" si="20"/>
        <v>36</v>
      </c>
      <c r="Q69" s="16" t="str">
        <f t="shared" ca="1" si="21"/>
        <v>Promoted</v>
      </c>
      <c r="R69" s="16" t="str" cm="1">
        <f t="array" ref="R69" ca="1">INDEX(Lookup!$E$2:$E$6,RANDBETWEEN(1,5))</f>
        <v>High School</v>
      </c>
      <c r="S69" s="16" t="str" cm="1">
        <f t="array" ref="S69" ca="1">INDEX(Lookup!$J$2:$J$11,RANDBETWEEN(1,10))</f>
        <v>Olivia Smith</v>
      </c>
      <c r="T69" s="16" t="str">
        <f t="shared" ca="1" si="22"/>
        <v>ava.young@hranalytics.com</v>
      </c>
      <c r="U69" s="16" t="str">
        <f t="shared" ca="1" si="23"/>
        <v>0882393339</v>
      </c>
      <c r="V69" s="16" t="str" cm="1">
        <f t="array" ref="V69" ca="1">_xlfn.LET(_xlpm.r,RANDBETWEEN(1,100),_xlfn.IFS(_xlpm.r&lt;=70,"Full-Time",_xlpm.r&lt;=85,"Part-Time",_xlpm.r&lt;=95,"Contract",TRUE,"Intern"))</f>
        <v>Part-Time</v>
      </c>
      <c r="W69" s="16" cm="1">
        <f t="array" ref="W69" ca="1">IF(K69&lt;&gt;"Active",0,_xlfn.IFS(M69=5,L69*15%,M69=4,L69*10%,M69=3,L69*5%,M69=2,L69*2%,TRUE,0))</f>
        <v>872</v>
      </c>
      <c r="X69" s="24">
        <f t="shared" ca="1" si="24"/>
        <v>7</v>
      </c>
      <c r="Y69" s="24">
        <f t="shared" ca="1" si="25"/>
        <v>2</v>
      </c>
    </row>
    <row r="70" spans="1:25">
      <c r="A70" s="16" t="str">
        <f t="shared" si="26"/>
        <v>EMP069</v>
      </c>
      <c r="B70" s="16" t="str" cm="1">
        <f t="array" ref="B70" ca="1">IF(D70="Male",INDEX(Lookup!$L$2:$L$13,RANDBETWEEN(1,12)),IF(D70="Female",INDEX(Lookup!$M$2:$M$13,RANDBETWEEN(1,12)),INDEX(Lookup!$N$2:$N$13,RANDBETWEEN(1,12))))</f>
        <v>Lucas</v>
      </c>
      <c r="C70" s="16" t="str" cm="1">
        <f t="array" ref="C70" ca="1">INDEX(Lookup!$K$2:$K$31,RANDBETWEEN(1,30))</f>
        <v>White</v>
      </c>
      <c r="D70" s="16" t="str" cm="1">
        <f t="array" ref="D70" ca="1">INDEX(Lookup!$H$2:$H$4,RANDBETWEEN(1,3))</f>
        <v>Male</v>
      </c>
      <c r="E70" s="16">
        <f t="shared" ca="1" si="14"/>
        <v>42</v>
      </c>
      <c r="F70" s="16" t="str" cm="1">
        <f t="array" ref="F70" ca="1">INDEX(Lookup!$A$2:$A$10,RANDBETWEEN(1,9))</f>
        <v>Operations</v>
      </c>
      <c r="G70" s="16" t="str" cm="1">
        <f t="array" ref="G70" ca="1">_xlfn.LET(_xlpm.Roles,_xlfn._xlws.FILTER(Lookup!$P$2:$P$28,Lookup!$O$2:$O$28=F70),INDEX(_xlpm.Roles,RANDBETWEEN(1,ROWS(_xlpm.Roles))))</f>
        <v>Operations Coordinator</v>
      </c>
      <c r="H70" s="16" t="str" cm="1">
        <f t="array" ref="H70" ca="1">INDEX(Lookup!$B$2:$B$7,RANDBETWEEN(1,6))</f>
        <v>Dublin</v>
      </c>
      <c r="I70" s="22">
        <f t="shared" ca="1" si="15"/>
        <v>45800</v>
      </c>
      <c r="J70" s="22" t="str">
        <f t="shared" ca="1" si="16"/>
        <v/>
      </c>
      <c r="K70" s="16" t="str">
        <f t="shared" ca="1" si="17"/>
        <v>Active</v>
      </c>
      <c r="L70" s="26">
        <f ca="1">_xlfn.XLOOKUP(G70,Lookup!$P$2:$P$28,Lookup!$Q$2:$Q$28)*(1+MIN(X70*3%,30%))</f>
        <v>46350</v>
      </c>
      <c r="M70" s="24">
        <f t="shared" ca="1" si="27"/>
        <v>1</v>
      </c>
      <c r="N70" s="24">
        <f t="shared" ca="1" si="18"/>
        <v>49</v>
      </c>
      <c r="O70" s="24">
        <f t="shared" ca="1" si="19"/>
        <v>17</v>
      </c>
      <c r="P70" s="24">
        <f t="shared" ca="1" si="20"/>
        <v>15</v>
      </c>
      <c r="Q70" s="16" t="str">
        <f t="shared" ca="1" si="21"/>
        <v>Not Promoted</v>
      </c>
      <c r="R70" s="16" t="str" cm="1">
        <f t="array" ref="R70" ca="1">INDEX(Lookup!$E$2:$E$6,RANDBETWEEN(1,5))</f>
        <v>PhD</v>
      </c>
      <c r="S70" s="16" t="str" cm="1">
        <f t="array" ref="S70" ca="1">INDEX(Lookup!$J$2:$J$11,RANDBETWEEN(1,10))</f>
        <v>Liam Byrne</v>
      </c>
      <c r="T70" s="16" t="str">
        <f t="shared" ca="1" si="22"/>
        <v>lucas.white@hranalytics.com</v>
      </c>
      <c r="U70" s="16" t="str">
        <f t="shared" ca="1" si="23"/>
        <v>0862438683</v>
      </c>
      <c r="V70" s="16" t="str" cm="1">
        <f t="array" ref="V70" ca="1">_xlfn.LET(_xlpm.r,RANDBETWEEN(1,100),_xlfn.IFS(_xlpm.r&lt;=70,"Full-Time",_xlpm.r&lt;=85,"Part-Time",_xlpm.r&lt;=95,"Contract",TRUE,"Intern"))</f>
        <v>Part-Time</v>
      </c>
      <c r="W70" s="16" cm="1">
        <f t="array" ref="W70" ca="1">IF(K70&lt;&gt;"Active",0,_xlfn.IFS(M70=5,L70*15%,M70=4,L70*10%,M70=3,L70*5%,M70=2,L70*2%,TRUE,0))</f>
        <v>0</v>
      </c>
      <c r="X70" s="24">
        <f t="shared" ca="1" si="24"/>
        <v>1</v>
      </c>
      <c r="Y70" s="24">
        <f t="shared" ca="1" si="25"/>
        <v>1</v>
      </c>
    </row>
    <row r="71" spans="1:25">
      <c r="A71" s="16" t="str">
        <f t="shared" si="26"/>
        <v>EMP070</v>
      </c>
      <c r="B71" s="16" t="str" cm="1">
        <f t="array" ref="B71" ca="1">IF(D71="Male",INDEX(Lookup!$L$2:$L$13,RANDBETWEEN(1,12)),IF(D71="Female",INDEX(Lookup!$M$2:$M$13,RANDBETWEEN(1,12)),INDEX(Lookup!$N$2:$N$13,RANDBETWEEN(1,12))))</f>
        <v>Oliver</v>
      </c>
      <c r="C71" s="16" t="str" cm="1">
        <f t="array" ref="C71" ca="1">INDEX(Lookup!$K$2:$K$31,RANDBETWEEN(1,30))</f>
        <v>Collins</v>
      </c>
      <c r="D71" s="16" t="str" cm="1">
        <f t="array" ref="D71" ca="1">INDEX(Lookup!$H$2:$H$4,RANDBETWEEN(1,3))</f>
        <v>Male</v>
      </c>
      <c r="E71" s="16">
        <f t="shared" ca="1" si="14"/>
        <v>45</v>
      </c>
      <c r="F71" s="16" t="str" cm="1">
        <f t="array" ref="F71" ca="1">INDEX(Lookup!$A$2:$A$10,RANDBETWEEN(1,9))</f>
        <v>Procurement</v>
      </c>
      <c r="G71" s="16" t="str" cm="1">
        <f t="array" ref="G71" ca="1">_xlfn.LET(_xlpm.Roles,_xlfn._xlws.FILTER(Lookup!$P$2:$P$28,Lookup!$O$2:$O$28=F71),INDEX(_xlpm.Roles,RANDBETWEEN(1,ROWS(_xlpm.Roles))))</f>
        <v>Purchasing Executive</v>
      </c>
      <c r="H71" s="16" t="str" cm="1">
        <f t="array" ref="H71" ca="1">INDEX(Lookup!$B$2:$B$7,RANDBETWEEN(1,6))</f>
        <v>Galway</v>
      </c>
      <c r="I71" s="22">
        <f t="shared" ca="1" si="15"/>
        <v>43587</v>
      </c>
      <c r="J71" s="22" t="str">
        <f t="shared" ca="1" si="16"/>
        <v/>
      </c>
      <c r="K71" s="16" t="str">
        <f t="shared" ca="1" si="17"/>
        <v>Active</v>
      </c>
      <c r="L71" s="26">
        <f ca="1">_xlfn.XLOOKUP(G71,Lookup!$P$2:$P$28,Lookup!$Q$2:$Q$28)*(1+MIN(X71*3%,30%))</f>
        <v>52080</v>
      </c>
      <c r="M71" s="24">
        <f t="shared" ca="1" si="27"/>
        <v>4</v>
      </c>
      <c r="N71" s="24">
        <f t="shared" ca="1" si="18"/>
        <v>56</v>
      </c>
      <c r="O71" s="24">
        <f t="shared" ca="1" si="19"/>
        <v>2</v>
      </c>
      <c r="P71" s="24">
        <f t="shared" ca="1" si="20"/>
        <v>58</v>
      </c>
      <c r="Q71" s="16" t="str">
        <f t="shared" ca="1" si="21"/>
        <v>Promoted</v>
      </c>
      <c r="R71" s="16" t="str" cm="1">
        <f t="array" ref="R71" ca="1">INDEX(Lookup!$E$2:$E$6,RANDBETWEEN(1,5))</f>
        <v>High School</v>
      </c>
      <c r="S71" s="16" t="str" cm="1">
        <f t="array" ref="S71" ca="1">INDEX(Lookup!$J$2:$J$11,RANDBETWEEN(1,10))</f>
        <v>Emma Wilson</v>
      </c>
      <c r="T71" s="16" t="str">
        <f t="shared" ca="1" si="22"/>
        <v>oliver.collins@hranalytics.com</v>
      </c>
      <c r="U71" s="16" t="str">
        <f t="shared" ca="1" si="23"/>
        <v>0859482807</v>
      </c>
      <c r="V71" s="16" t="str" cm="1">
        <f t="array" ref="V71" ca="1">_xlfn.LET(_xlpm.r,RANDBETWEEN(1,100),_xlfn.IFS(_xlpm.r&lt;=70,"Full-Time",_xlpm.r&lt;=85,"Part-Time",_xlpm.r&lt;=95,"Contract",TRUE,"Intern"))</f>
        <v>Part-Time</v>
      </c>
      <c r="W71" s="16" cm="1">
        <f t="array" ref="W71" ca="1">IF(K71&lt;&gt;"Active",0,_xlfn.IFS(M71=5,L71*15%,M71=4,L71*10%,M71=3,L71*5%,M71=2,L71*2%,TRUE,0))</f>
        <v>7812</v>
      </c>
      <c r="X71" s="24">
        <f t="shared" ca="1" si="24"/>
        <v>7</v>
      </c>
      <c r="Y71" s="24">
        <f t="shared" ca="1" si="25"/>
        <v>3</v>
      </c>
    </row>
    <row r="72" spans="1:25">
      <c r="A72" s="16" t="str">
        <f t="shared" si="26"/>
        <v>EMP071</v>
      </c>
      <c r="B72" s="16" t="str" cm="1">
        <f t="array" ref="B72" ca="1">IF(D72="Male",INDEX(Lookup!$L$2:$L$13,RANDBETWEEN(1,12)),IF(D72="Female",INDEX(Lookup!$M$2:$M$13,RANDBETWEEN(1,12)),INDEX(Lookup!$N$2:$N$13,RANDBETWEEN(1,12))))</f>
        <v>Alex</v>
      </c>
      <c r="C72" s="16" t="str" cm="1">
        <f t="array" ref="C72" ca="1">INDEX(Lookup!$K$2:$K$31,RANDBETWEEN(1,30))</f>
        <v>Edwards</v>
      </c>
      <c r="D72" s="16" t="str" cm="1">
        <f t="array" ref="D72" ca="1">INDEX(Lookup!$H$2:$H$4,RANDBETWEEN(1,3))</f>
        <v>Other</v>
      </c>
      <c r="E72" s="16">
        <f t="shared" ca="1" si="14"/>
        <v>56</v>
      </c>
      <c r="F72" s="16" t="str" cm="1">
        <f t="array" ref="F72" ca="1">INDEX(Lookup!$A$2:$A$10,RANDBETWEEN(1,9))</f>
        <v>Operations</v>
      </c>
      <c r="G72" s="16" t="str" cm="1">
        <f t="array" ref="G72" ca="1">_xlfn.LET(_xlpm.Roles,_xlfn._xlws.FILTER(Lookup!$P$2:$P$28,Lookup!$O$2:$O$28=F72),INDEX(_xlpm.Roles,RANDBETWEEN(1,ROWS(_xlpm.Roles))))</f>
        <v>Operations Executive</v>
      </c>
      <c r="H72" s="16" t="str" cm="1">
        <f t="array" ref="H72" ca="1">INDEX(Lookup!$B$2:$B$7,RANDBETWEEN(1,6))</f>
        <v>Belfast</v>
      </c>
      <c r="I72" s="22">
        <f t="shared" ca="1" si="15"/>
        <v>45484</v>
      </c>
      <c r="J72" s="22" t="str">
        <f t="shared" ca="1" si="16"/>
        <v/>
      </c>
      <c r="K72" s="16" t="str">
        <f t="shared" ca="1" si="17"/>
        <v>Active</v>
      </c>
      <c r="L72" s="26">
        <f ca="1">_xlfn.XLOOKUP(G72,Lookup!$P$2:$P$28,Lookup!$Q$2:$Q$28)*(1+MIN(X72*3%,30%))</f>
        <v>50820</v>
      </c>
      <c r="M72" s="24">
        <f t="shared" ca="1" si="27"/>
        <v>2</v>
      </c>
      <c r="N72" s="24">
        <f t="shared" ca="1" si="18"/>
        <v>51</v>
      </c>
      <c r="O72" s="24">
        <f t="shared" ca="1" si="19"/>
        <v>3</v>
      </c>
      <c r="P72" s="24">
        <f t="shared" ca="1" si="20"/>
        <v>51</v>
      </c>
      <c r="Q72" s="16" t="str">
        <f t="shared" ca="1" si="21"/>
        <v>Promoted</v>
      </c>
      <c r="R72" s="16" t="str" cm="1">
        <f t="array" ref="R72" ca="1">INDEX(Lookup!$E$2:$E$6,RANDBETWEEN(1,5))</f>
        <v>High School</v>
      </c>
      <c r="S72" s="16" t="str" cm="1">
        <f t="array" ref="S72" ca="1">INDEX(Lookup!$J$2:$J$11,RANDBETWEEN(1,10))</f>
        <v>David Murphy</v>
      </c>
      <c r="T72" s="16" t="str">
        <f t="shared" ca="1" si="22"/>
        <v>alex.edwards@hranalytics.com</v>
      </c>
      <c r="U72" s="16" t="str">
        <f t="shared" ca="1" si="23"/>
        <v>0835439123</v>
      </c>
      <c r="V72" s="16" t="str" cm="1">
        <f t="array" ref="V72" ca="1">_xlfn.LET(_xlpm.r,RANDBETWEEN(1,100),_xlfn.IFS(_xlpm.r&lt;=70,"Full-Time",_xlpm.r&lt;=85,"Part-Time",_xlpm.r&lt;=95,"Contract",TRUE,"Intern"))</f>
        <v>Contract</v>
      </c>
      <c r="W72" s="16" cm="1">
        <f t="array" ref="W72" ca="1">IF(K72&lt;&gt;"Active",0,_xlfn.IFS(M72=5,L72*15%,M72=4,L72*10%,M72=3,L72*5%,M72=2,L72*2%,TRUE,0))</f>
        <v>7623</v>
      </c>
      <c r="X72" s="24">
        <f t="shared" ca="1" si="24"/>
        <v>2</v>
      </c>
      <c r="Y72" s="24">
        <f t="shared" ca="1" si="25"/>
        <v>2</v>
      </c>
    </row>
    <row r="73" spans="1:25">
      <c r="A73" s="16" t="str">
        <f t="shared" si="26"/>
        <v>EMP072</v>
      </c>
      <c r="B73" s="16" t="str" cm="1">
        <f t="array" ref="B73" ca="1">IF(D73="Male",INDEX(Lookup!$L$2:$L$13,RANDBETWEEN(1,12)),IF(D73="Female",INDEX(Lookup!$M$2:$M$13,RANDBETWEEN(1,12)),INDEX(Lookup!$N$2:$N$13,RANDBETWEEN(1,12))))</f>
        <v>Jamie</v>
      </c>
      <c r="C73" s="16" t="str" cm="1">
        <f t="array" ref="C73" ca="1">INDEX(Lookup!$K$2:$K$31,RANDBETWEEN(1,30))</f>
        <v>Wilson</v>
      </c>
      <c r="D73" s="16" t="str" cm="1">
        <f t="array" ref="D73" ca="1">INDEX(Lookup!$H$2:$H$4,RANDBETWEEN(1,3))</f>
        <v>Other</v>
      </c>
      <c r="E73" s="16">
        <f t="shared" ca="1" si="14"/>
        <v>57</v>
      </c>
      <c r="F73" s="16" t="str" cm="1">
        <f t="array" ref="F73" ca="1">INDEX(Lookup!$A$2:$A$10,RANDBETWEEN(1,9))</f>
        <v>Marketing</v>
      </c>
      <c r="G73" s="16" t="str" cm="1">
        <f t="array" ref="G73" ca="1">_xlfn.LET(_xlpm.Roles,_xlfn._xlws.FILTER(Lookup!$P$2:$P$28,Lookup!$O$2:$O$28=F73),INDEX(_xlpm.Roles,RANDBETWEEN(1,ROWS(_xlpm.Roles))))</f>
        <v>Digital Marketing Specialist</v>
      </c>
      <c r="H73" s="16" t="str" cm="1">
        <f t="array" ref="H73" ca="1">INDEX(Lookup!$B$2:$B$7,RANDBETWEEN(1,6))</f>
        <v>Waterford</v>
      </c>
      <c r="I73" s="22">
        <f t="shared" ca="1" si="15"/>
        <v>45519</v>
      </c>
      <c r="J73" s="22" t="str">
        <f t="shared" ca="1" si="16"/>
        <v/>
      </c>
      <c r="K73" s="16" t="str">
        <f t="shared" ca="1" si="17"/>
        <v>Active</v>
      </c>
      <c r="L73" s="26">
        <f ca="1">_xlfn.XLOOKUP(G73,Lookup!$P$2:$P$28,Lookup!$Q$2:$Q$28)*(1+MIN(X73*3%,30%))</f>
        <v>53000</v>
      </c>
      <c r="M73" s="24">
        <f t="shared" ca="1" si="27"/>
        <v>5</v>
      </c>
      <c r="N73" s="24">
        <f t="shared" ca="1" si="18"/>
        <v>64</v>
      </c>
      <c r="O73" s="24">
        <f t="shared" ca="1" si="19"/>
        <v>8</v>
      </c>
      <c r="P73" s="24">
        <f t="shared" ca="1" si="20"/>
        <v>29</v>
      </c>
      <c r="Q73" s="16" t="str">
        <f t="shared" ca="1" si="21"/>
        <v>Promoted</v>
      </c>
      <c r="R73" s="16" t="str" cm="1">
        <f t="array" ref="R73" ca="1">INDEX(Lookup!$E$2:$E$6,RANDBETWEEN(1,5))</f>
        <v>PhD</v>
      </c>
      <c r="S73" s="16" t="str" cm="1">
        <f t="array" ref="S73" ca="1">INDEX(Lookup!$J$2:$J$11,RANDBETWEEN(1,10))</f>
        <v>Olivia Smith</v>
      </c>
      <c r="T73" s="16" t="str">
        <f t="shared" ca="1" si="22"/>
        <v>jamie.wilson@hranalytics.com</v>
      </c>
      <c r="U73" s="16" t="str">
        <f t="shared" ca="1" si="23"/>
        <v>0859430351</v>
      </c>
      <c r="V73" s="16" t="str" cm="1">
        <f t="array" ref="V73" ca="1">_xlfn.LET(_xlpm.r,RANDBETWEEN(1,100),_xlfn.IFS(_xlpm.r&lt;=70,"Full-Time",_xlpm.r&lt;=85,"Part-Time",_xlpm.r&lt;=95,"Contract",TRUE,"Intern"))</f>
        <v>Full-Time</v>
      </c>
      <c r="W73" s="16" cm="1">
        <f t="array" ref="W73" ca="1">IF(K73&lt;&gt;"Active",0,_xlfn.IFS(M73=5,L73*15%,M73=4,L73*10%,M73=3,L73*5%,M73=2,L73*2%,TRUE,0))</f>
        <v>1060</v>
      </c>
      <c r="X73" s="24">
        <f t="shared" ca="1" si="24"/>
        <v>2</v>
      </c>
      <c r="Y73" s="24">
        <f t="shared" ca="1" si="25"/>
        <v>3</v>
      </c>
    </row>
    <row r="74" spans="1:25">
      <c r="A74" s="16" t="str">
        <f t="shared" si="26"/>
        <v>EMP073</v>
      </c>
      <c r="B74" s="16" t="str" cm="1">
        <f t="array" ref="B74" ca="1">IF(D74="Male",INDEX(Lookup!$L$2:$L$13,RANDBETWEEN(1,12)),IF(D74="Female",INDEX(Lookup!$M$2:$M$13,RANDBETWEEN(1,12)),INDEX(Lookup!$N$2:$N$13,RANDBETWEEN(1,12))))</f>
        <v>David</v>
      </c>
      <c r="C74" s="16" t="str" cm="1">
        <f t="array" ref="C74" ca="1">INDEX(Lookup!$K$2:$K$31,RANDBETWEEN(1,30))</f>
        <v>Hill</v>
      </c>
      <c r="D74" s="16" t="str" cm="1">
        <f t="array" ref="D74" ca="1">INDEX(Lookup!$H$2:$H$4,RANDBETWEEN(1,3))</f>
        <v>Male</v>
      </c>
      <c r="E74" s="16">
        <f t="shared" ca="1" si="14"/>
        <v>39</v>
      </c>
      <c r="F74" s="16" t="str" cm="1">
        <f t="array" ref="F74" ca="1">INDEX(Lookup!$A$2:$A$10,RANDBETWEEN(1,9))</f>
        <v>Customer Support</v>
      </c>
      <c r="G74" s="16" t="str" cm="1">
        <f t="array" ref="G74" ca="1">_xlfn.LET(_xlpm.Roles,_xlfn._xlws.FILTER(Lookup!$P$2:$P$28,Lookup!$O$2:$O$28=F74),INDEX(_xlpm.Roles,RANDBETWEEN(1,ROWS(_xlpm.Roles))))</f>
        <v>Customer Success Specialist</v>
      </c>
      <c r="H74" s="16" t="str" cm="1">
        <f t="array" ref="H74" ca="1">INDEX(Lookup!$B$2:$B$7,RANDBETWEEN(1,6))</f>
        <v>Dublin</v>
      </c>
      <c r="I74" s="22">
        <f t="shared" ca="1" si="15"/>
        <v>45371</v>
      </c>
      <c r="J74" s="22" t="str">
        <f t="shared" ca="1" si="16"/>
        <v/>
      </c>
      <c r="K74" s="16" t="str">
        <f t="shared" ca="1" si="17"/>
        <v>Active</v>
      </c>
      <c r="L74" s="26">
        <f ca="1">_xlfn.XLOOKUP(G74,Lookup!$P$2:$P$28,Lookup!$Q$2:$Q$28)*(1+MIN(X74*3%,30%))</f>
        <v>47040</v>
      </c>
      <c r="M74" s="24">
        <f t="shared" ca="1" si="27"/>
        <v>3</v>
      </c>
      <c r="N74" s="24">
        <f t="shared" ca="1" si="18"/>
        <v>24</v>
      </c>
      <c r="O74" s="24">
        <f t="shared" ca="1" si="19"/>
        <v>10</v>
      </c>
      <c r="P74" s="24">
        <f t="shared" ca="1" si="20"/>
        <v>7</v>
      </c>
      <c r="Q74" s="16" t="str">
        <f t="shared" ca="1" si="21"/>
        <v>Not Promoted</v>
      </c>
      <c r="R74" s="16" t="str" cm="1">
        <f t="array" ref="R74" ca="1">INDEX(Lookup!$E$2:$E$6,RANDBETWEEN(1,5))</f>
        <v>PhD</v>
      </c>
      <c r="S74" s="16" t="str" cm="1">
        <f t="array" ref="S74" ca="1">INDEX(Lookup!$J$2:$J$11,RANDBETWEEN(1,10))</f>
        <v>James Taylor</v>
      </c>
      <c r="T74" s="16" t="str">
        <f t="shared" ca="1" si="22"/>
        <v>david.hill@hranalytics.com</v>
      </c>
      <c r="U74" s="16" t="str">
        <f t="shared" ca="1" si="23"/>
        <v>0882444272</v>
      </c>
      <c r="V74" s="16" t="str" cm="1">
        <f t="array" ref="V74" ca="1">_xlfn.LET(_xlpm.r,RANDBETWEEN(1,100),_xlfn.IFS(_xlpm.r&lt;=70,"Full-Time",_xlpm.r&lt;=85,"Part-Time",_xlpm.r&lt;=95,"Contract",TRUE,"Intern"))</f>
        <v>Full-Time</v>
      </c>
      <c r="W74" s="16" cm="1">
        <f t="array" ref="W74" ca="1">IF(K74&lt;&gt;"Active",0,_xlfn.IFS(M74=5,L74*15%,M74=4,L74*10%,M74=3,L74*5%,M74=2,L74*2%,TRUE,0))</f>
        <v>0</v>
      </c>
      <c r="X74" s="24">
        <f t="shared" ca="1" si="24"/>
        <v>2</v>
      </c>
      <c r="Y74" s="24">
        <f t="shared" ca="1" si="25"/>
        <v>2</v>
      </c>
    </row>
    <row r="75" spans="1:25">
      <c r="A75" s="16" t="str">
        <f t="shared" si="26"/>
        <v>EMP074</v>
      </c>
      <c r="B75" s="16" t="str" cm="1">
        <f t="array" ref="B75" ca="1">IF(D75="Male",INDEX(Lookup!$L$2:$L$13,RANDBETWEEN(1,12)),IF(D75="Female",INDEX(Lookup!$M$2:$M$13,RANDBETWEEN(1,12)),INDEX(Lookup!$N$2:$N$13,RANDBETWEEN(1,12))))</f>
        <v>Hannah</v>
      </c>
      <c r="C75" s="16" t="str" cm="1">
        <f t="array" ref="C75" ca="1">INDEX(Lookup!$K$2:$K$31,RANDBETWEEN(1,30))</f>
        <v>Brown</v>
      </c>
      <c r="D75" s="16" t="str" cm="1">
        <f t="array" ref="D75" ca="1">INDEX(Lookup!$H$2:$H$4,RANDBETWEEN(1,3))</f>
        <v>Female</v>
      </c>
      <c r="E75" s="16">
        <f t="shared" ca="1" si="14"/>
        <v>33</v>
      </c>
      <c r="F75" s="16" t="str" cm="1">
        <f t="array" ref="F75" ca="1">INDEX(Lookup!$A$2:$A$10,RANDBETWEEN(1,9))</f>
        <v>Sales</v>
      </c>
      <c r="G75" s="16" t="str" cm="1">
        <f t="array" ref="G75" ca="1">_xlfn.LET(_xlpm.Roles,_xlfn._xlws.FILTER(Lookup!$P$2:$P$28,Lookup!$O$2:$O$28=F75),INDEX(_xlpm.Roles,RANDBETWEEN(1,ROWS(_xlpm.Roles))))</f>
        <v>Account Manager</v>
      </c>
      <c r="H75" s="16" t="str" cm="1">
        <f t="array" ref="H75" ca="1">INDEX(Lookup!$B$2:$B$7,RANDBETWEEN(1,6))</f>
        <v>Galway</v>
      </c>
      <c r="I75" s="22">
        <f t="shared" ca="1" si="15"/>
        <v>45374</v>
      </c>
      <c r="J75" s="22" t="str">
        <f t="shared" ca="1" si="16"/>
        <v/>
      </c>
      <c r="K75" s="16" t="str">
        <f t="shared" ca="1" si="17"/>
        <v>Active</v>
      </c>
      <c r="L75" s="26">
        <f ca="1">_xlfn.XLOOKUP(G75,Lookup!$P$2:$P$28,Lookup!$Q$2:$Q$28)*(1+MIN(X75*3%,30%))</f>
        <v>58300</v>
      </c>
      <c r="M75" s="24">
        <f t="shared" ca="1" si="27"/>
        <v>2</v>
      </c>
      <c r="N75" s="24">
        <f t="shared" ca="1" si="18"/>
        <v>70</v>
      </c>
      <c r="O75" s="24">
        <f t="shared" ca="1" si="19"/>
        <v>6</v>
      </c>
      <c r="P75" s="24">
        <f t="shared" ca="1" si="20"/>
        <v>35</v>
      </c>
      <c r="Q75" s="16" t="str">
        <f t="shared" ca="1" si="21"/>
        <v>Promoted</v>
      </c>
      <c r="R75" s="16" t="str" cm="1">
        <f t="array" ref="R75" ca="1">INDEX(Lookup!$E$2:$E$6,RANDBETWEEN(1,5))</f>
        <v>Master's</v>
      </c>
      <c r="S75" s="16" t="str" cm="1">
        <f t="array" ref="S75" ca="1">INDEX(Lookup!$J$2:$J$11,RANDBETWEEN(1,10))</f>
        <v>Sarah Johnson</v>
      </c>
      <c r="T75" s="16" t="str">
        <f t="shared" ca="1" si="22"/>
        <v>hannah.brown@hranalytics.com</v>
      </c>
      <c r="U75" s="16" t="str">
        <f t="shared" ca="1" si="23"/>
        <v>0893787724</v>
      </c>
      <c r="V75" s="16" t="str" cm="1">
        <f t="array" ref="V75" ca="1">_xlfn.LET(_xlpm.r,RANDBETWEEN(1,100),_xlfn.IFS(_xlpm.r&lt;=70,"Full-Time",_xlpm.r&lt;=85,"Part-Time",_xlpm.r&lt;=95,"Contract",TRUE,"Intern"))</f>
        <v>Part-Time</v>
      </c>
      <c r="W75" s="16" cm="1">
        <f t="array" ref="W75" ca="1">IF(K75&lt;&gt;"Active",0,_xlfn.IFS(M75=5,L75*15%,M75=4,L75*10%,M75=3,L75*5%,M75=2,L75*2%,TRUE,0))</f>
        <v>8745</v>
      </c>
      <c r="X75" s="24">
        <f t="shared" ca="1" si="24"/>
        <v>2</v>
      </c>
      <c r="Y75" s="24">
        <f t="shared" ca="1" si="25"/>
        <v>1</v>
      </c>
    </row>
    <row r="76" spans="1:25">
      <c r="A76" s="16" t="str">
        <f t="shared" si="26"/>
        <v>EMP075</v>
      </c>
      <c r="B76" s="16" t="str" cm="1">
        <f t="array" ref="B76" ca="1">IF(D76="Male",INDEX(Lookup!$L$2:$L$13,RANDBETWEEN(1,12)),IF(D76="Female",INDEX(Lookup!$M$2:$M$13,RANDBETWEEN(1,12)),INDEX(Lookup!$N$2:$N$13,RANDBETWEEN(1,12))))</f>
        <v>Casey</v>
      </c>
      <c r="C76" s="16" t="str" cm="1">
        <f t="array" ref="C76" ca="1">INDEX(Lookup!$K$2:$K$31,RANDBETWEEN(1,30))</f>
        <v>Brown</v>
      </c>
      <c r="D76" s="16" t="str" cm="1">
        <f t="array" ref="D76" ca="1">INDEX(Lookup!$H$2:$H$4,RANDBETWEEN(1,3))</f>
        <v>Other</v>
      </c>
      <c r="E76" s="16">
        <f t="shared" ca="1" si="14"/>
        <v>35</v>
      </c>
      <c r="F76" s="16" t="str" cm="1">
        <f t="array" ref="F76" ca="1">INDEX(Lookup!$A$2:$A$10,RANDBETWEEN(1,9))</f>
        <v>HR</v>
      </c>
      <c r="G76" s="16" t="str" cm="1">
        <f t="array" ref="G76" ca="1">_xlfn.LET(_xlpm.Roles,_xlfn._xlws.FILTER(Lookup!$P$2:$P$28,Lookup!$O$2:$O$28=F76),INDEX(_xlpm.Roles,RANDBETWEEN(1,ROWS(_xlpm.Roles))))</f>
        <v>HR Executive</v>
      </c>
      <c r="H76" s="16" t="str" cm="1">
        <f t="array" ref="H76" ca="1">INDEX(Lookup!$B$2:$B$7,RANDBETWEEN(1,6))</f>
        <v>Limerick</v>
      </c>
      <c r="I76" s="22">
        <f t="shared" ca="1" si="15"/>
        <v>45080</v>
      </c>
      <c r="J76" s="22" t="str">
        <f t="shared" ca="1" si="16"/>
        <v/>
      </c>
      <c r="K76" s="16" t="str">
        <f t="shared" ca="1" si="17"/>
        <v>Active</v>
      </c>
      <c r="L76" s="26">
        <f ca="1">_xlfn.XLOOKUP(G76,Lookup!$P$2:$P$28,Lookup!$Q$2:$Q$28)*(1+MIN(X76*3%,30%))</f>
        <v>48300</v>
      </c>
      <c r="M76" s="24">
        <f t="shared" ca="1" si="27"/>
        <v>3</v>
      </c>
      <c r="N76" s="24">
        <f t="shared" ca="1" si="18"/>
        <v>56</v>
      </c>
      <c r="O76" s="24">
        <f t="shared" ca="1" si="19"/>
        <v>13</v>
      </c>
      <c r="P76" s="24">
        <f t="shared" ca="1" si="20"/>
        <v>29</v>
      </c>
      <c r="Q76" s="16" t="str">
        <f t="shared" ca="1" si="21"/>
        <v>Promoted</v>
      </c>
      <c r="R76" s="16" t="str" cm="1">
        <f t="array" ref="R76" ca="1">INDEX(Lookup!$E$2:$E$6,RANDBETWEEN(1,5))</f>
        <v>PhD</v>
      </c>
      <c r="S76" s="16" t="str" cm="1">
        <f t="array" ref="S76" ca="1">INDEX(Lookup!$J$2:$J$11,RANDBETWEEN(1,10))</f>
        <v>Olivia Smith</v>
      </c>
      <c r="T76" s="16" t="str">
        <f t="shared" ca="1" si="22"/>
        <v>casey.brown@hranalytics.com</v>
      </c>
      <c r="U76" s="16" t="str">
        <f t="shared" ca="1" si="23"/>
        <v>0836117910</v>
      </c>
      <c r="V76" s="16" t="str" cm="1">
        <f t="array" ref="V76" ca="1">_xlfn.LET(_xlpm.r,RANDBETWEEN(1,100),_xlfn.IFS(_xlpm.r&lt;=70,"Full-Time",_xlpm.r&lt;=85,"Part-Time",_xlpm.r&lt;=95,"Contract",TRUE,"Intern"))</f>
        <v>Full-Time</v>
      </c>
      <c r="W76" s="16" cm="1">
        <f t="array" ref="W76" ca="1">IF(K76&lt;&gt;"Active",0,_xlfn.IFS(M76=5,L76*15%,M76=4,L76*10%,M76=3,L76*5%,M76=2,L76*2%,TRUE,0))</f>
        <v>4830</v>
      </c>
      <c r="X76" s="24">
        <f t="shared" ca="1" si="24"/>
        <v>3</v>
      </c>
      <c r="Y76" s="24">
        <f t="shared" ca="1" si="25"/>
        <v>2</v>
      </c>
    </row>
    <row r="77" spans="1:25">
      <c r="A77" s="16" t="str">
        <f t="shared" si="26"/>
        <v>EMP076</v>
      </c>
      <c r="B77" s="16" t="str" cm="1">
        <f t="array" ref="B77" ca="1">IF(D77="Male",INDEX(Lookup!$L$2:$L$13,RANDBETWEEN(1,12)),IF(D77="Female",INDEX(Lookup!$M$2:$M$13,RANDBETWEEN(1,12)),INDEX(Lookup!$N$2:$N$13,RANDBETWEEN(1,12))))</f>
        <v>Amelia</v>
      </c>
      <c r="C77" s="16" t="str" cm="1">
        <f t="array" ref="C77" ca="1">INDEX(Lookup!$K$2:$K$31,RANDBETWEEN(1,30))</f>
        <v>Moore</v>
      </c>
      <c r="D77" s="16" t="str" cm="1">
        <f t="array" ref="D77" ca="1">INDEX(Lookup!$H$2:$H$4,RANDBETWEEN(1,3))</f>
        <v>Female</v>
      </c>
      <c r="E77" s="16">
        <f t="shared" ca="1" si="14"/>
        <v>49</v>
      </c>
      <c r="F77" s="16" t="str" cm="1">
        <f t="array" ref="F77" ca="1">INDEX(Lookup!$A$2:$A$10,RANDBETWEEN(1,9))</f>
        <v>Legal</v>
      </c>
      <c r="G77" s="16" t="str" cm="1">
        <f t="array" ref="G77" ca="1">_xlfn.LET(_xlpm.Roles,_xlfn._xlws.FILTER(Lookup!$P$2:$P$28,Lookup!$O$2:$O$28=F77),INDEX(_xlpm.Roles,RANDBETWEEN(1,ROWS(_xlpm.Roles))))</f>
        <v>Compliance Officer</v>
      </c>
      <c r="H77" s="16" t="str" cm="1">
        <f t="array" ref="H77" ca="1">INDEX(Lookup!$B$2:$B$7,RANDBETWEEN(1,6))</f>
        <v>Limerick</v>
      </c>
      <c r="I77" s="22">
        <f t="shared" ca="1" si="15"/>
        <v>45863</v>
      </c>
      <c r="J77" s="22" t="str">
        <f t="shared" ca="1" si="16"/>
        <v/>
      </c>
      <c r="K77" s="16" t="str">
        <f t="shared" ca="1" si="17"/>
        <v>Active</v>
      </c>
      <c r="L77" s="26">
        <f ca="1">_xlfn.XLOOKUP(G77,Lookup!$P$2:$P$28,Lookup!$Q$2:$Q$28)*(1+MIN(X77*3%,30%))</f>
        <v>65400</v>
      </c>
      <c r="M77" s="24">
        <f t="shared" ca="1" si="27"/>
        <v>3</v>
      </c>
      <c r="N77" s="24">
        <f t="shared" ca="1" si="18"/>
        <v>33</v>
      </c>
      <c r="O77" s="24">
        <f t="shared" ca="1" si="19"/>
        <v>5</v>
      </c>
      <c r="P77" s="24">
        <f t="shared" ca="1" si="20"/>
        <v>1</v>
      </c>
      <c r="Q77" s="16" t="str">
        <f t="shared" ca="1" si="21"/>
        <v>Promoted</v>
      </c>
      <c r="R77" s="16" t="str" cm="1">
        <f t="array" ref="R77" ca="1">INDEX(Lookup!$E$2:$E$6,RANDBETWEEN(1,5))</f>
        <v>Master's</v>
      </c>
      <c r="S77" s="16" t="str" cm="1">
        <f t="array" ref="S77" ca="1">INDEX(Lookup!$J$2:$J$11,RANDBETWEEN(1,10))</f>
        <v>David Murphy</v>
      </c>
      <c r="T77" s="16" t="str">
        <f t="shared" ca="1" si="22"/>
        <v>amelia.moore@hranalytics.com</v>
      </c>
      <c r="U77" s="16" t="str">
        <f t="shared" ca="1" si="23"/>
        <v>0875258623</v>
      </c>
      <c r="V77" s="16" t="str" cm="1">
        <f t="array" ref="V77" ca="1">_xlfn.LET(_xlpm.r,RANDBETWEEN(1,100),_xlfn.IFS(_xlpm.r&lt;=70,"Full-Time",_xlpm.r&lt;=85,"Part-Time",_xlpm.r&lt;=95,"Contract",TRUE,"Intern"))</f>
        <v>Full-Time</v>
      </c>
      <c r="W77" s="16" cm="1">
        <f t="array" ref="W77" ca="1">IF(K77&lt;&gt;"Active",0,_xlfn.IFS(M77=5,L77*15%,M77=4,L77*10%,M77=3,L77*5%,M77=2,L77*2%,TRUE,0))</f>
        <v>9810</v>
      </c>
      <c r="X77" s="24">
        <f t="shared" ca="1" si="24"/>
        <v>1</v>
      </c>
      <c r="Y77" s="24">
        <f t="shared" ca="1" si="25"/>
        <v>3</v>
      </c>
    </row>
    <row r="78" spans="1:25">
      <c r="A78" s="16" t="str">
        <f t="shared" si="26"/>
        <v>EMP077</v>
      </c>
      <c r="B78" s="16" t="str" cm="1">
        <f t="array" ref="B78" ca="1">IF(D78="Male",INDEX(Lookup!$L$2:$L$13,RANDBETWEEN(1,12)),IF(D78="Female",INDEX(Lookup!$M$2:$M$13,RANDBETWEEN(1,12)),INDEX(Lookup!$N$2:$N$13,RANDBETWEEN(1,12))))</f>
        <v>Daniel</v>
      </c>
      <c r="C78" s="16" t="str" cm="1">
        <f t="array" ref="C78" ca="1">INDEX(Lookup!$K$2:$K$31,RANDBETWEEN(1,30))</f>
        <v>Thomas</v>
      </c>
      <c r="D78" s="16" t="str" cm="1">
        <f t="array" ref="D78" ca="1">INDEX(Lookup!$H$2:$H$4,RANDBETWEEN(1,3))</f>
        <v>Male</v>
      </c>
      <c r="E78" s="16">
        <f t="shared" ca="1" si="14"/>
        <v>39</v>
      </c>
      <c r="F78" s="16" t="str" cm="1">
        <f t="array" ref="F78" ca="1">INDEX(Lookup!$A$2:$A$10,RANDBETWEEN(1,9))</f>
        <v>Marketing</v>
      </c>
      <c r="G78" s="16" t="str" cm="1">
        <f t="array" ref="G78" ca="1">_xlfn.LET(_xlpm.Roles,_xlfn._xlws.FILTER(Lookup!$P$2:$P$28,Lookup!$O$2:$O$28=F78),INDEX(_xlpm.Roles,RANDBETWEEN(1,ROWS(_xlpm.Roles))))</f>
        <v>Marketing Executive</v>
      </c>
      <c r="H78" s="16" t="str" cm="1">
        <f t="array" ref="H78" ca="1">INDEX(Lookup!$B$2:$B$7,RANDBETWEEN(1,6))</f>
        <v>Dublin</v>
      </c>
      <c r="I78" s="22">
        <f t="shared" ca="1" si="15"/>
        <v>44824</v>
      </c>
      <c r="J78" s="22" t="str">
        <f t="shared" ca="1" si="16"/>
        <v/>
      </c>
      <c r="K78" s="16" t="str">
        <f t="shared" ca="1" si="17"/>
        <v>Active</v>
      </c>
      <c r="L78" s="26">
        <f ca="1">_xlfn.XLOOKUP(G78,Lookup!$P$2:$P$28,Lookup!$Q$2:$Q$28)*(1+MIN(X78*3%,30%))</f>
        <v>48300</v>
      </c>
      <c r="M78" s="24">
        <f t="shared" ca="1" si="27"/>
        <v>5</v>
      </c>
      <c r="N78" s="24">
        <f t="shared" ca="1" si="18"/>
        <v>11</v>
      </c>
      <c r="O78" s="24">
        <f t="shared" ca="1" si="19"/>
        <v>7</v>
      </c>
      <c r="P78" s="24">
        <f t="shared" ca="1" si="20"/>
        <v>58</v>
      </c>
      <c r="Q78" s="16" t="str">
        <f t="shared" ca="1" si="21"/>
        <v>Promoted</v>
      </c>
      <c r="R78" s="16" t="str" cm="1">
        <f t="array" ref="R78" ca="1">INDEX(Lookup!$E$2:$E$6,RANDBETWEEN(1,5))</f>
        <v>Dipolma</v>
      </c>
      <c r="S78" s="16" t="str" cm="1">
        <f t="array" ref="S78" ca="1">INDEX(Lookup!$J$2:$J$11,RANDBETWEEN(1,10))</f>
        <v>Emma Wilson</v>
      </c>
      <c r="T78" s="16" t="str">
        <f t="shared" ca="1" si="22"/>
        <v>daniel.thomas@hranalytics.com</v>
      </c>
      <c r="U78" s="16" t="str">
        <f t="shared" ca="1" si="23"/>
        <v>0859569969</v>
      </c>
      <c r="V78" s="16" t="str" cm="1">
        <f t="array" ref="V78" ca="1">_xlfn.LET(_xlpm.r,RANDBETWEEN(1,100),_xlfn.IFS(_xlpm.r&lt;=70,"Full-Time",_xlpm.r&lt;=85,"Part-Time",_xlpm.r&lt;=95,"Contract",TRUE,"Intern"))</f>
        <v>Part-Time</v>
      </c>
      <c r="W78" s="16" cm="1">
        <f t="array" ref="W78" ca="1">IF(K78&lt;&gt;"Active",0,_xlfn.IFS(M78=5,L78*15%,M78=4,L78*10%,M78=3,L78*5%,M78=2,L78*2%,TRUE,0))</f>
        <v>2415</v>
      </c>
      <c r="X78" s="24">
        <f t="shared" ca="1" si="24"/>
        <v>3</v>
      </c>
      <c r="Y78" s="24">
        <f t="shared" ca="1" si="25"/>
        <v>1</v>
      </c>
    </row>
    <row r="79" spans="1:25">
      <c r="A79" s="16" t="str">
        <f t="shared" si="26"/>
        <v>EMP078</v>
      </c>
      <c r="B79" s="16" t="str" cm="1">
        <f t="array" ref="B79" ca="1">IF(D79="Male",INDEX(Lookup!$L$2:$L$13,RANDBETWEEN(1,12)),IF(D79="Female",INDEX(Lookup!$M$2:$M$13,RANDBETWEEN(1,12)),INDEX(Lookup!$N$2:$N$13,RANDBETWEEN(1,12))))</f>
        <v>Leo</v>
      </c>
      <c r="C79" s="16" t="str" cm="1">
        <f t="array" ref="C79" ca="1">INDEX(Lookup!$K$2:$K$31,RANDBETWEEN(1,30))</f>
        <v>Taylor</v>
      </c>
      <c r="D79" s="16" t="str" cm="1">
        <f t="array" ref="D79" ca="1">INDEX(Lookup!$H$2:$H$4,RANDBETWEEN(1,3))</f>
        <v>Male</v>
      </c>
      <c r="E79" s="16">
        <f t="shared" ca="1" si="14"/>
        <v>26</v>
      </c>
      <c r="F79" s="16" t="str" cm="1">
        <f t="array" ref="F79" ca="1">INDEX(Lookup!$A$2:$A$10,RANDBETWEEN(1,9))</f>
        <v>Legal</v>
      </c>
      <c r="G79" s="16" t="str" cm="1">
        <f t="array" ref="G79" ca="1">_xlfn.LET(_xlpm.Roles,_xlfn._xlws.FILTER(Lookup!$P$2:$P$28,Lookup!$O$2:$O$28=F79),INDEX(_xlpm.Roles,RANDBETWEEN(1,ROWS(_xlpm.Roles))))</f>
        <v>Legal Executive</v>
      </c>
      <c r="H79" s="16" t="str" cm="1">
        <f t="array" ref="H79" ca="1">INDEX(Lookup!$B$2:$B$7,RANDBETWEEN(1,6))</f>
        <v>Limerick</v>
      </c>
      <c r="I79" s="22">
        <f t="shared" ca="1" si="15"/>
        <v>44125</v>
      </c>
      <c r="J79" s="22" t="str">
        <f t="shared" ca="1" si="16"/>
        <v/>
      </c>
      <c r="K79" s="16" t="str">
        <f t="shared" ca="1" si="17"/>
        <v>Active</v>
      </c>
      <c r="L79" s="26">
        <f ca="1">_xlfn.XLOOKUP(G79,Lookup!$P$2:$P$28,Lookup!$Q$2:$Q$28)*(1+MIN(X79*3%,30%))</f>
        <v>56680</v>
      </c>
      <c r="M79" s="24">
        <f t="shared" ca="1" si="27"/>
        <v>3</v>
      </c>
      <c r="N79" s="24">
        <f t="shared" ca="1" si="18"/>
        <v>78</v>
      </c>
      <c r="O79" s="24">
        <f t="shared" ca="1" si="19"/>
        <v>1</v>
      </c>
      <c r="P79" s="24">
        <f t="shared" ca="1" si="20"/>
        <v>23</v>
      </c>
      <c r="Q79" s="16" t="str">
        <f t="shared" ca="1" si="21"/>
        <v>Promoted</v>
      </c>
      <c r="R79" s="16" t="str" cm="1">
        <f t="array" ref="R79" ca="1">INDEX(Lookup!$E$2:$E$6,RANDBETWEEN(1,5))</f>
        <v>PhD</v>
      </c>
      <c r="S79" s="16" t="str" cm="1">
        <f t="array" ref="S79" ca="1">INDEX(Lookup!$J$2:$J$11,RANDBETWEEN(1,10))</f>
        <v>Sarah Johnson</v>
      </c>
      <c r="T79" s="16" t="str">
        <f t="shared" ca="1" si="22"/>
        <v>leo.taylor@hranalytics.com</v>
      </c>
      <c r="U79" s="16" t="str">
        <f t="shared" ca="1" si="23"/>
        <v>0881334397</v>
      </c>
      <c r="V79" s="16" t="str" cm="1">
        <f t="array" ref="V79" ca="1">_xlfn.LET(_xlpm.r,RANDBETWEEN(1,100),_xlfn.IFS(_xlpm.r&lt;=70,"Full-Time",_xlpm.r&lt;=85,"Part-Time",_xlpm.r&lt;=95,"Contract",TRUE,"Intern"))</f>
        <v>Full-Time</v>
      </c>
      <c r="W79" s="16" cm="1">
        <f t="array" ref="W79" ca="1">IF(K79&lt;&gt;"Active",0,_xlfn.IFS(M79=5,L79*15%,M79=4,L79*10%,M79=3,L79*5%,M79=2,L79*2%,TRUE,0))</f>
        <v>5668</v>
      </c>
      <c r="X79" s="24">
        <f t="shared" ca="1" si="24"/>
        <v>5</v>
      </c>
      <c r="Y79" s="24">
        <f t="shared" ca="1" si="25"/>
        <v>2</v>
      </c>
    </row>
    <row r="80" spans="1:25">
      <c r="A80" s="16" t="str">
        <f t="shared" si="26"/>
        <v>EMP079</v>
      </c>
      <c r="B80" s="16" t="str" cm="1">
        <f t="array" ref="B80" ca="1">IF(D80="Male",INDEX(Lookup!$L$2:$L$13,RANDBETWEEN(1,12)),IF(D80="Female",INDEX(Lookup!$M$2:$M$13,RANDBETWEEN(1,12)),INDEX(Lookup!$N$2:$N$13,RANDBETWEEN(1,12))))</f>
        <v>Michael</v>
      </c>
      <c r="C80" s="16" t="str" cm="1">
        <f t="array" ref="C80" ca="1">INDEX(Lookup!$K$2:$K$31,RANDBETWEEN(1,30))</f>
        <v>Walker</v>
      </c>
      <c r="D80" s="16" t="str" cm="1">
        <f t="array" ref="D80" ca="1">INDEX(Lookup!$H$2:$H$4,RANDBETWEEN(1,3))</f>
        <v>Male</v>
      </c>
      <c r="E80" s="16">
        <f t="shared" ca="1" si="14"/>
        <v>58</v>
      </c>
      <c r="F80" s="16" t="str" cm="1">
        <f t="array" ref="F80" ca="1">INDEX(Lookup!$A$2:$A$10,RANDBETWEEN(1,9))</f>
        <v>Operations</v>
      </c>
      <c r="G80" s="16" t="str" cm="1">
        <f t="array" ref="G80" ca="1">_xlfn.LET(_xlpm.Roles,_xlfn._xlws.FILTER(Lookup!$P$2:$P$28,Lookup!$O$2:$O$28=F80),INDEX(_xlpm.Roles,RANDBETWEEN(1,ROWS(_xlpm.Roles))))</f>
        <v>Operations Manager</v>
      </c>
      <c r="H80" s="16" t="str" cm="1">
        <f t="array" ref="H80" ca="1">INDEX(Lookup!$B$2:$B$7,RANDBETWEEN(1,6))</f>
        <v>Galway</v>
      </c>
      <c r="I80" s="22">
        <f t="shared" ca="1" si="15"/>
        <v>43791</v>
      </c>
      <c r="J80" s="22">
        <f t="shared" ca="1" si="16"/>
        <v>44922</v>
      </c>
      <c r="K80" s="16" t="str">
        <f t="shared" ca="1" si="17"/>
        <v>Resigned</v>
      </c>
      <c r="L80" s="26">
        <f ca="1">_xlfn.XLOOKUP(G80,Lookup!$P$2:$P$28,Lookup!$Q$2:$Q$28)*(1+MIN(X80*3%,30%))</f>
        <v>62000</v>
      </c>
      <c r="M80" s="24">
        <f t="shared" ca="1" si="27"/>
        <v>5</v>
      </c>
      <c r="N80" s="24">
        <f t="shared" ca="1" si="18"/>
        <v>63</v>
      </c>
      <c r="O80" s="24">
        <f t="shared" ca="1" si="19"/>
        <v>2</v>
      </c>
      <c r="P80" s="24">
        <f t="shared" ca="1" si="20"/>
        <v>19</v>
      </c>
      <c r="Q80" s="16" t="str">
        <f t="shared" ca="1" si="21"/>
        <v>Not Promoted</v>
      </c>
      <c r="R80" s="16" t="str" cm="1">
        <f t="array" ref="R80" ca="1">INDEX(Lookup!$E$2:$E$6,RANDBETWEEN(1,5))</f>
        <v>Bachelor's</v>
      </c>
      <c r="S80" s="16" t="str" cm="1">
        <f t="array" ref="S80" ca="1">INDEX(Lookup!$J$2:$J$11,RANDBETWEEN(1,10))</f>
        <v>Sarah Johnson</v>
      </c>
      <c r="T80" s="16" t="str">
        <f t="shared" ca="1" si="22"/>
        <v>michael.walker@hranalytics.com</v>
      </c>
      <c r="U80" s="16" t="str">
        <f t="shared" ca="1" si="23"/>
        <v>0858125987</v>
      </c>
      <c r="V80" s="16" t="str" cm="1">
        <f t="array" ref="V80" ca="1">_xlfn.LET(_xlpm.r,RANDBETWEEN(1,100),_xlfn.IFS(_xlpm.r&lt;=70,"Full-Time",_xlpm.r&lt;=85,"Part-Time",_xlpm.r&lt;=95,"Contract",TRUE,"Intern"))</f>
        <v>Intern</v>
      </c>
      <c r="W80" s="16" cm="1">
        <f t="array" ref="W80" ca="1">IF(K80&lt;&gt;"Active",0,_xlfn.IFS(M80=5,L80*15%,M80=4,L80*10%,M80=3,L80*5%,M80=2,L80*2%,TRUE,0))</f>
        <v>9300</v>
      </c>
      <c r="X80" s="24">
        <f t="shared" ca="1" si="24"/>
        <v>6</v>
      </c>
      <c r="Y80" s="24">
        <f t="shared" ca="1" si="25"/>
        <v>3</v>
      </c>
    </row>
    <row r="81" spans="1:25">
      <c r="A81" s="16" t="str">
        <f t="shared" si="26"/>
        <v>EMP080</v>
      </c>
      <c r="B81" s="16" t="str" cm="1">
        <f t="array" ref="B81" ca="1">IF(D81="Male",INDEX(Lookup!$L$2:$L$13,RANDBETWEEN(1,12)),IF(D81="Female",INDEX(Lookup!$M$2:$M$13,RANDBETWEEN(1,12)),INDEX(Lookup!$N$2:$N$13,RANDBETWEEN(1,12))))</f>
        <v>Lucas</v>
      </c>
      <c r="C81" s="16" t="str" cm="1">
        <f t="array" ref="C81" ca="1">INDEX(Lookup!$K$2:$K$31,RANDBETWEEN(1,30))</f>
        <v>Young</v>
      </c>
      <c r="D81" s="16" t="str" cm="1">
        <f t="array" ref="D81" ca="1">INDEX(Lookup!$H$2:$H$4,RANDBETWEEN(1,3))</f>
        <v>Male</v>
      </c>
      <c r="E81" s="16">
        <f t="shared" ca="1" si="14"/>
        <v>53</v>
      </c>
      <c r="F81" s="16" t="str" cm="1">
        <f t="array" ref="F81" ca="1">INDEX(Lookup!$A$2:$A$10,RANDBETWEEN(1,9))</f>
        <v>Procurement</v>
      </c>
      <c r="G81" s="16" t="str" cm="1">
        <f t="array" ref="G81" ca="1">_xlfn.LET(_xlpm.Roles,_xlfn._xlws.FILTER(Lookup!$P$2:$P$28,Lookup!$O$2:$O$28=F81),INDEX(_xlpm.Roles,RANDBETWEEN(1,ROWS(_xlpm.Roles))))</f>
        <v>Purchasing Executive</v>
      </c>
      <c r="H81" s="16" t="str" cm="1">
        <f t="array" ref="H81" ca="1">INDEX(Lookup!$B$2:$B$7,RANDBETWEEN(1,6))</f>
        <v>Cork</v>
      </c>
      <c r="I81" s="22">
        <f t="shared" ca="1" si="15"/>
        <v>43988</v>
      </c>
      <c r="J81" s="22" t="str">
        <f t="shared" ca="1" si="16"/>
        <v/>
      </c>
      <c r="K81" s="16" t="str">
        <f t="shared" ca="1" si="17"/>
        <v>Active</v>
      </c>
      <c r="L81" s="26">
        <f ca="1">_xlfn.XLOOKUP(G81,Lookup!$P$2:$P$28,Lookup!$Q$2:$Q$28)*(1+MIN(X81*3%,30%))</f>
        <v>49560</v>
      </c>
      <c r="M81" s="24">
        <f t="shared" ca="1" si="27"/>
        <v>5</v>
      </c>
      <c r="N81" s="24">
        <f t="shared" ca="1" si="18"/>
        <v>28</v>
      </c>
      <c r="O81" s="24">
        <f t="shared" ca="1" si="19"/>
        <v>17</v>
      </c>
      <c r="P81" s="24">
        <f t="shared" ca="1" si="20"/>
        <v>52</v>
      </c>
      <c r="Q81" s="16" t="str">
        <f t="shared" ca="1" si="21"/>
        <v>Not Promoted</v>
      </c>
      <c r="R81" s="16" t="str" cm="1">
        <f t="array" ref="R81" ca="1">INDEX(Lookup!$E$2:$E$6,RANDBETWEEN(1,5))</f>
        <v>High School</v>
      </c>
      <c r="S81" s="16" t="str" cm="1">
        <f t="array" ref="S81" ca="1">INDEX(Lookup!$J$2:$J$11,RANDBETWEEN(1,10))</f>
        <v>Sarah Johnson</v>
      </c>
      <c r="T81" s="16" t="str">
        <f t="shared" ca="1" si="22"/>
        <v>lucas.young@hranalytics.com</v>
      </c>
      <c r="U81" s="16" t="str">
        <f t="shared" ca="1" si="23"/>
        <v>0831742902</v>
      </c>
      <c r="V81" s="16" t="str" cm="1">
        <f t="array" ref="V81" ca="1">_xlfn.LET(_xlpm.r,RANDBETWEEN(1,100),_xlfn.IFS(_xlpm.r&lt;=70,"Full-Time",_xlpm.r&lt;=85,"Part-Time",_xlpm.r&lt;=95,"Contract",TRUE,"Intern"))</f>
        <v>Full-Time</v>
      </c>
      <c r="W81" s="16" cm="1">
        <f t="array" ref="W81" ca="1">IF(K81&lt;&gt;"Active",0,_xlfn.IFS(M81=5,L81*15%,M81=4,L81*10%,M81=3,L81*5%,M81=2,L81*2%,TRUE,0))</f>
        <v>0</v>
      </c>
      <c r="X81" s="24">
        <f t="shared" ca="1" si="24"/>
        <v>6</v>
      </c>
      <c r="Y81" s="24">
        <f t="shared" ca="1" si="25"/>
        <v>2</v>
      </c>
    </row>
    <row r="82" spans="1:25">
      <c r="A82" s="16" t="str">
        <f t="shared" si="26"/>
        <v>EMP081</v>
      </c>
      <c r="B82" s="16" t="str" cm="1">
        <f t="array" ref="B82" ca="1">IF(D82="Male",INDEX(Lookup!$L$2:$L$13,RANDBETWEEN(1,12)),IF(D82="Female",INDEX(Lookup!$M$2:$M$13,RANDBETWEEN(1,12)),INDEX(Lookup!$N$2:$N$13,RANDBETWEEN(1,12))))</f>
        <v>Emma</v>
      </c>
      <c r="C82" s="16" t="str" cm="1">
        <f t="array" ref="C82" ca="1">INDEX(Lookup!$K$2:$K$31,RANDBETWEEN(1,30))</f>
        <v>Moore</v>
      </c>
      <c r="D82" s="16" t="str" cm="1">
        <f t="array" ref="D82" ca="1">INDEX(Lookup!$H$2:$H$4,RANDBETWEEN(1,3))</f>
        <v>Female</v>
      </c>
      <c r="E82" s="16">
        <f t="shared" ca="1" si="14"/>
        <v>56</v>
      </c>
      <c r="F82" s="16" t="str" cm="1">
        <f t="array" ref="F82" ca="1">INDEX(Lookup!$A$2:$A$10,RANDBETWEEN(1,9))</f>
        <v>Finance</v>
      </c>
      <c r="G82" s="16" t="str" cm="1">
        <f t="array" ref="G82" ca="1">_xlfn.LET(_xlpm.Roles,_xlfn._xlws.FILTER(Lookup!$P$2:$P$28,Lookup!$O$2:$O$28=F82),INDEX(_xlpm.Roles,RANDBETWEEN(1,ROWS(_xlpm.Roles))))</f>
        <v>Accountant</v>
      </c>
      <c r="H82" s="16" t="str" cm="1">
        <f t="array" ref="H82" ca="1">INDEX(Lookup!$B$2:$B$7,RANDBETWEEN(1,6))</f>
        <v>Cork</v>
      </c>
      <c r="I82" s="22">
        <f t="shared" ca="1" si="15"/>
        <v>44762</v>
      </c>
      <c r="J82" s="22">
        <f t="shared" ca="1" si="16"/>
        <v>46446</v>
      </c>
      <c r="K82" s="16" t="str">
        <f t="shared" ca="1" si="17"/>
        <v>Resigned</v>
      </c>
      <c r="L82" s="26">
        <f ca="1">_xlfn.XLOOKUP(G82,Lookup!$P$2:$P$28,Lookup!$Q$2:$Q$28)*(1+MIN(X82*3%,30%))</f>
        <v>50000</v>
      </c>
      <c r="M82" s="24">
        <f t="shared" ca="1" si="27"/>
        <v>2</v>
      </c>
      <c r="N82" s="24">
        <f t="shared" ca="1" si="18"/>
        <v>28</v>
      </c>
      <c r="O82" s="24">
        <f t="shared" ca="1" si="19"/>
        <v>12</v>
      </c>
      <c r="P82" s="24">
        <f t="shared" ca="1" si="20"/>
        <v>52</v>
      </c>
      <c r="Q82" s="16" t="str">
        <f t="shared" ca="1" si="21"/>
        <v>Not Promoted</v>
      </c>
      <c r="R82" s="16" t="str" cm="1">
        <f t="array" ref="R82" ca="1">INDEX(Lookup!$E$2:$E$6,RANDBETWEEN(1,5))</f>
        <v>Dipolma</v>
      </c>
      <c r="S82" s="16" t="str" cm="1">
        <f t="array" ref="S82" ca="1">INDEX(Lookup!$J$2:$J$11,RANDBETWEEN(1,10))</f>
        <v>Grace O'Connor</v>
      </c>
      <c r="T82" s="16" t="str">
        <f t="shared" ca="1" si="22"/>
        <v>emma.moore@hranalytics.com</v>
      </c>
      <c r="U82" s="16" t="str">
        <f t="shared" ca="1" si="23"/>
        <v>0887681584</v>
      </c>
      <c r="V82" s="16" t="str" cm="1">
        <f t="array" ref="V82" ca="1">_xlfn.LET(_xlpm.r,RANDBETWEEN(1,100),_xlfn.IFS(_xlpm.r&lt;=70,"Full-Time",_xlpm.r&lt;=85,"Part-Time",_xlpm.r&lt;=95,"Contract",TRUE,"Intern"))</f>
        <v>Full-Time</v>
      </c>
      <c r="W82" s="16" cm="1">
        <f t="array" ref="W82" ca="1">IF(K82&lt;&gt;"Active",0,_xlfn.IFS(M82=5,L82*15%,M82=4,L82*10%,M82=3,L82*5%,M82=2,L82*2%,TRUE,0))</f>
        <v>0</v>
      </c>
      <c r="X82" s="24">
        <f t="shared" ca="1" si="24"/>
        <v>4</v>
      </c>
      <c r="Y82" s="24">
        <f t="shared" ca="1" si="25"/>
        <v>3</v>
      </c>
    </row>
    <row r="83" spans="1:25">
      <c r="A83" s="16" t="str">
        <f t="shared" si="26"/>
        <v>EMP082</v>
      </c>
      <c r="B83" s="16" t="str" cm="1">
        <f t="array" ref="B83" ca="1">IF(D83="Male",INDEX(Lookup!$L$2:$L$13,RANDBETWEEN(1,12)),IF(D83="Female",INDEX(Lookup!$M$2:$M$13,RANDBETWEEN(1,12)),INDEX(Lookup!$N$2:$N$13,RANDBETWEEN(1,12))))</f>
        <v>Isabella</v>
      </c>
      <c r="C83" s="16" t="str" cm="1">
        <f t="array" ref="C83" ca="1">INDEX(Lookup!$K$2:$K$31,RANDBETWEEN(1,30))</f>
        <v>White</v>
      </c>
      <c r="D83" s="16" t="str" cm="1">
        <f t="array" ref="D83" ca="1">INDEX(Lookup!$H$2:$H$4,RANDBETWEEN(1,3))</f>
        <v>Female</v>
      </c>
      <c r="E83" s="16">
        <f t="shared" ca="1" si="14"/>
        <v>41</v>
      </c>
      <c r="F83" s="16" t="str" cm="1">
        <f t="array" ref="F83" ca="1">INDEX(Lookup!$A$2:$A$10,RANDBETWEEN(1,9))</f>
        <v>Operations</v>
      </c>
      <c r="G83" s="16" t="str" cm="1">
        <f t="array" ref="G83" ca="1">_xlfn.LET(_xlpm.Roles,_xlfn._xlws.FILTER(Lookup!$P$2:$P$28,Lookup!$O$2:$O$28=F83),INDEX(_xlpm.Roles,RANDBETWEEN(1,ROWS(_xlpm.Roles))))</f>
        <v>Operations Manager</v>
      </c>
      <c r="H83" s="16" t="str" cm="1">
        <f t="array" ref="H83" ca="1">INDEX(Lookup!$B$2:$B$7,RANDBETWEEN(1,6))</f>
        <v>Waterford</v>
      </c>
      <c r="I83" s="22">
        <f t="shared" ca="1" si="15"/>
        <v>43519</v>
      </c>
      <c r="J83" s="22" t="str">
        <f t="shared" ca="1" si="16"/>
        <v/>
      </c>
      <c r="K83" s="16" t="str">
        <f t="shared" ca="1" si="17"/>
        <v>Active</v>
      </c>
      <c r="L83" s="26">
        <f ca="1">_xlfn.XLOOKUP(G83,Lookup!$P$2:$P$28,Lookup!$Q$2:$Q$28)*(1+MIN(X83*3%,30%))</f>
        <v>63860</v>
      </c>
      <c r="M83" s="24">
        <f t="shared" ca="1" si="27"/>
        <v>5</v>
      </c>
      <c r="N83" s="24">
        <f t="shared" ca="1" si="18"/>
        <v>3</v>
      </c>
      <c r="O83" s="24">
        <f t="shared" ca="1" si="19"/>
        <v>16</v>
      </c>
      <c r="P83" s="24">
        <f t="shared" ca="1" si="20"/>
        <v>57</v>
      </c>
      <c r="Q83" s="16" t="str">
        <f t="shared" ca="1" si="21"/>
        <v>Not Promoted</v>
      </c>
      <c r="R83" s="16" t="str" cm="1">
        <f t="array" ref="R83" ca="1">INDEX(Lookup!$E$2:$E$6,RANDBETWEEN(1,5))</f>
        <v>Master's</v>
      </c>
      <c r="S83" s="16" t="str" cm="1">
        <f t="array" ref="S83" ca="1">INDEX(Lookup!$J$2:$J$11,RANDBETWEEN(1,10))</f>
        <v>Michael Brown</v>
      </c>
      <c r="T83" s="16" t="str">
        <f t="shared" ca="1" si="22"/>
        <v>isabella.white@hranalytics.com</v>
      </c>
      <c r="U83" s="16" t="str">
        <f t="shared" ca="1" si="23"/>
        <v>0875418437</v>
      </c>
      <c r="V83" s="16" t="str" cm="1">
        <f t="array" ref="V83" ca="1">_xlfn.LET(_xlpm.r,RANDBETWEEN(1,100),_xlfn.IFS(_xlpm.r&lt;=70,"Full-Time",_xlpm.r&lt;=85,"Part-Time",_xlpm.r&lt;=95,"Contract",TRUE,"Intern"))</f>
        <v>Full-Time</v>
      </c>
      <c r="W83" s="16" cm="1">
        <f t="array" ref="W83" ca="1">IF(K83&lt;&gt;"Active",0,_xlfn.IFS(M83=5,L83*15%,M83=4,L83*10%,M83=3,L83*5%,M83=2,L83*2%,TRUE,0))</f>
        <v>6386</v>
      </c>
      <c r="X83" s="24">
        <f t="shared" ca="1" si="24"/>
        <v>7</v>
      </c>
      <c r="Y83" s="24">
        <f t="shared" ca="1" si="25"/>
        <v>2</v>
      </c>
    </row>
    <row r="84" spans="1:25">
      <c r="A84" s="16" t="str">
        <f t="shared" si="26"/>
        <v>EMP083</v>
      </c>
      <c r="B84" s="16" t="str" cm="1">
        <f t="array" ref="B84" ca="1">IF(D84="Male",INDEX(Lookup!$L$2:$L$13,RANDBETWEEN(1,12)),IF(D84="Female",INDEX(Lookup!$M$2:$M$13,RANDBETWEEN(1,12)),INDEX(Lookup!$N$2:$N$13,RANDBETWEEN(1,12))))</f>
        <v>John</v>
      </c>
      <c r="C84" s="16" t="str" cm="1">
        <f t="array" ref="C84" ca="1">INDEX(Lookup!$K$2:$K$31,RANDBETWEEN(1,30))</f>
        <v>Hall</v>
      </c>
      <c r="D84" s="16" t="str" cm="1">
        <f t="array" ref="D84" ca="1">INDEX(Lookup!$H$2:$H$4,RANDBETWEEN(1,3))</f>
        <v>Male</v>
      </c>
      <c r="E84" s="16">
        <f t="shared" ca="1" si="14"/>
        <v>34</v>
      </c>
      <c r="F84" s="16" t="str" cm="1">
        <f t="array" ref="F84" ca="1">INDEX(Lookup!$A$2:$A$10,RANDBETWEEN(1,9))</f>
        <v>HR</v>
      </c>
      <c r="G84" s="16" t="str" cm="1">
        <f t="array" ref="G84" ca="1">_xlfn.LET(_xlpm.Roles,_xlfn._xlws.FILTER(Lookup!$P$2:$P$28,Lookup!$O$2:$O$28=F84),INDEX(_xlpm.Roles,RANDBETWEEN(1,ROWS(_xlpm.Roles))))</f>
        <v>HR Executive</v>
      </c>
      <c r="H84" s="16" t="str" cm="1">
        <f t="array" ref="H84" ca="1">INDEX(Lookup!$B$2:$B$7,RANDBETWEEN(1,6))</f>
        <v>Waterford</v>
      </c>
      <c r="I84" s="22">
        <f t="shared" ca="1" si="15"/>
        <v>45042</v>
      </c>
      <c r="J84" s="22" t="str">
        <f t="shared" ca="1" si="16"/>
        <v/>
      </c>
      <c r="K84" s="16" t="str">
        <f t="shared" ca="1" si="17"/>
        <v>Active</v>
      </c>
      <c r="L84" s="26">
        <f ca="1">_xlfn.XLOOKUP(G84,Lookup!$P$2:$P$28,Lookup!$Q$2:$Q$28)*(1+MIN(X84*3%,30%))</f>
        <v>48300</v>
      </c>
      <c r="M84" s="24">
        <f t="shared" ca="1" si="27"/>
        <v>5</v>
      </c>
      <c r="N84" s="24">
        <f t="shared" ca="1" si="18"/>
        <v>77</v>
      </c>
      <c r="O84" s="24">
        <f t="shared" ca="1" si="19"/>
        <v>13</v>
      </c>
      <c r="P84" s="24">
        <f t="shared" ca="1" si="20"/>
        <v>8</v>
      </c>
      <c r="Q84" s="16" t="str">
        <f t="shared" ca="1" si="21"/>
        <v>Promoted</v>
      </c>
      <c r="R84" s="16" t="str" cm="1">
        <f t="array" ref="R84" ca="1">INDEX(Lookup!$E$2:$E$6,RANDBETWEEN(1,5))</f>
        <v>High School</v>
      </c>
      <c r="S84" s="16" t="str" cm="1">
        <f t="array" ref="S84" ca="1">INDEX(Lookup!$J$2:$J$11,RANDBETWEEN(1,10))</f>
        <v>Grace O'Connor</v>
      </c>
      <c r="T84" s="16" t="str">
        <f t="shared" ca="1" si="22"/>
        <v>john.hall@hranalytics.com</v>
      </c>
      <c r="U84" s="16" t="str">
        <f t="shared" ca="1" si="23"/>
        <v>0898646261</v>
      </c>
      <c r="V84" s="16" t="str" cm="1">
        <f t="array" ref="V84" ca="1">_xlfn.LET(_xlpm.r,RANDBETWEEN(1,100),_xlfn.IFS(_xlpm.r&lt;=70,"Full-Time",_xlpm.r&lt;=85,"Part-Time",_xlpm.r&lt;=95,"Contract",TRUE,"Intern"))</f>
        <v>Part-Time</v>
      </c>
      <c r="W84" s="16" cm="1">
        <f t="array" ref="W84" ca="1">IF(K84&lt;&gt;"Active",0,_xlfn.IFS(M84=5,L84*15%,M84=4,L84*10%,M84=3,L84*5%,M84=2,L84*2%,TRUE,0))</f>
        <v>4830</v>
      </c>
      <c r="X84" s="24">
        <f t="shared" ca="1" si="24"/>
        <v>3</v>
      </c>
      <c r="Y84" s="24">
        <f t="shared" ca="1" si="25"/>
        <v>2</v>
      </c>
    </row>
    <row r="85" spans="1:25">
      <c r="A85" s="16" t="str">
        <f t="shared" si="26"/>
        <v>EMP084</v>
      </c>
      <c r="B85" s="16" t="str" cm="1">
        <f t="array" ref="B85" ca="1">IF(D85="Male",INDEX(Lookup!$L$2:$L$13,RANDBETWEEN(1,12)),IF(D85="Female",INDEX(Lookup!$M$2:$M$13,RANDBETWEEN(1,12)),INDEX(Lookup!$N$2:$N$13,RANDBETWEEN(1,12))))</f>
        <v>Casey</v>
      </c>
      <c r="C85" s="16" t="str" cm="1">
        <f t="array" ref="C85" ca="1">INDEX(Lookup!$K$2:$K$31,RANDBETWEEN(1,30))</f>
        <v>Wilson</v>
      </c>
      <c r="D85" s="16" t="str" cm="1">
        <f t="array" ref="D85" ca="1">INDEX(Lookup!$H$2:$H$4,RANDBETWEEN(1,3))</f>
        <v>Other</v>
      </c>
      <c r="E85" s="16">
        <f t="shared" ca="1" si="14"/>
        <v>36</v>
      </c>
      <c r="F85" s="16" t="str" cm="1">
        <f t="array" ref="F85" ca="1">INDEX(Lookup!$A$2:$A$10,RANDBETWEEN(1,9))</f>
        <v>IT</v>
      </c>
      <c r="G85" s="16" t="str" cm="1">
        <f t="array" ref="G85" ca="1">_xlfn.LET(_xlpm.Roles,_xlfn._xlws.FILTER(Lookup!$P$2:$P$28,Lookup!$O$2:$O$28=F85),INDEX(_xlpm.Roles,RANDBETWEEN(1,ROWS(_xlpm.Roles))))</f>
        <v>Business Analyst</v>
      </c>
      <c r="H85" s="16" t="str" cm="1">
        <f t="array" ref="H85" ca="1">INDEX(Lookup!$B$2:$B$7,RANDBETWEEN(1,6))</f>
        <v>Belfast</v>
      </c>
      <c r="I85" s="22">
        <f t="shared" ca="1" si="15"/>
        <v>45610</v>
      </c>
      <c r="J85" s="22" t="str">
        <f t="shared" ca="1" si="16"/>
        <v/>
      </c>
      <c r="K85" s="16" t="str">
        <f t="shared" ca="1" si="17"/>
        <v>Active</v>
      </c>
      <c r="L85" s="26">
        <f ca="1">_xlfn.XLOOKUP(G85,Lookup!$P$2:$P$28,Lookup!$Q$2:$Q$28)*(1+MIN(X85*3%,30%))</f>
        <v>72600</v>
      </c>
      <c r="M85" s="24">
        <f t="shared" ca="1" si="27"/>
        <v>4</v>
      </c>
      <c r="N85" s="24">
        <f t="shared" ca="1" si="18"/>
        <v>64</v>
      </c>
      <c r="O85" s="24">
        <f t="shared" ca="1" si="19"/>
        <v>1</v>
      </c>
      <c r="P85" s="24">
        <f t="shared" ca="1" si="20"/>
        <v>16</v>
      </c>
      <c r="Q85" s="16" t="str">
        <f t="shared" ca="1" si="21"/>
        <v>Promoted</v>
      </c>
      <c r="R85" s="16" t="str" cm="1">
        <f t="array" ref="R85" ca="1">INDEX(Lookup!$E$2:$E$6,RANDBETWEEN(1,5))</f>
        <v>Master's</v>
      </c>
      <c r="S85" s="16" t="str" cm="1">
        <f t="array" ref="S85" ca="1">INDEX(Lookup!$J$2:$J$11,RANDBETWEEN(1,10))</f>
        <v>Olivia Smith</v>
      </c>
      <c r="T85" s="16" t="str">
        <f t="shared" ca="1" si="22"/>
        <v>casey.wilson@hranalytics.com</v>
      </c>
      <c r="U85" s="16" t="str">
        <f t="shared" ca="1" si="23"/>
        <v>0881493668</v>
      </c>
      <c r="V85" s="16" t="str" cm="1">
        <f t="array" ref="V85" ca="1">_xlfn.LET(_xlpm.r,RANDBETWEEN(1,100),_xlfn.IFS(_xlpm.r&lt;=70,"Full-Time",_xlpm.r&lt;=85,"Part-Time",_xlpm.r&lt;=95,"Contract",TRUE,"Intern"))</f>
        <v>Full-Time</v>
      </c>
      <c r="W85" s="16" cm="1">
        <f t="array" ref="W85" ca="1">IF(K85&lt;&gt;"Active",0,_xlfn.IFS(M85=5,L85*15%,M85=4,L85*10%,M85=3,L85*5%,M85=2,L85*2%,TRUE,0))</f>
        <v>7260</v>
      </c>
      <c r="X85" s="24">
        <f t="shared" ca="1" si="24"/>
        <v>1</v>
      </c>
      <c r="Y85" s="24">
        <f t="shared" ca="1" si="25"/>
        <v>2</v>
      </c>
    </row>
    <row r="86" spans="1:25">
      <c r="A86" s="16" t="str">
        <f t="shared" si="26"/>
        <v>EMP085</v>
      </c>
      <c r="B86" s="16" t="str" cm="1">
        <f t="array" ref="B86" ca="1">IF(D86="Male",INDEX(Lookup!$L$2:$L$13,RANDBETWEEN(1,12)),IF(D86="Female",INDEX(Lookup!$M$2:$M$13,RANDBETWEEN(1,12)),INDEX(Lookup!$N$2:$N$13,RANDBETWEEN(1,12))))</f>
        <v>Jamie</v>
      </c>
      <c r="C86" s="16" t="str" cm="1">
        <f t="array" ref="C86" ca="1">INDEX(Lookup!$K$2:$K$31,RANDBETWEEN(1,30))</f>
        <v>Cooper</v>
      </c>
      <c r="D86" s="16" t="str" cm="1">
        <f t="array" ref="D86" ca="1">INDEX(Lookup!$H$2:$H$4,RANDBETWEEN(1,3))</f>
        <v>Other</v>
      </c>
      <c r="E86" s="16">
        <f t="shared" ca="1" si="14"/>
        <v>41</v>
      </c>
      <c r="F86" s="16" t="str" cm="1">
        <f t="array" ref="F86" ca="1">INDEX(Lookup!$A$2:$A$10,RANDBETWEEN(1,9))</f>
        <v>Customer Support</v>
      </c>
      <c r="G86" s="16" t="str" cm="1">
        <f t="array" ref="G86" ca="1">_xlfn.LET(_xlpm.Roles,_xlfn._xlws.FILTER(Lookup!$P$2:$P$28,Lookup!$O$2:$O$28=F86),INDEX(_xlpm.Roles,RANDBETWEEN(1,ROWS(_xlpm.Roles))))</f>
        <v>Technical Support Specialist</v>
      </c>
      <c r="H86" s="16" t="str" cm="1">
        <f t="array" ref="H86" ca="1">INDEX(Lookup!$B$2:$B$7,RANDBETWEEN(1,6))</f>
        <v>Galway</v>
      </c>
      <c r="I86" s="22">
        <f t="shared" ca="1" si="15"/>
        <v>43679</v>
      </c>
      <c r="J86" s="22">
        <f t="shared" ca="1" si="16"/>
        <v>45527</v>
      </c>
      <c r="K86" s="16" t="str">
        <f t="shared" ca="1" si="17"/>
        <v>Resigned</v>
      </c>
      <c r="L86" s="26">
        <f ca="1">_xlfn.XLOOKUP(G86,Lookup!$P$2:$P$28,Lookup!$Q$2:$Q$28)*(1+MIN(X86*3%,30%))</f>
        <v>47700</v>
      </c>
      <c r="M86" s="24">
        <f t="shared" ca="1" si="27"/>
        <v>5</v>
      </c>
      <c r="N86" s="24">
        <f t="shared" ca="1" si="18"/>
        <v>30</v>
      </c>
      <c r="O86" s="24">
        <f t="shared" ca="1" si="19"/>
        <v>2</v>
      </c>
      <c r="P86" s="24">
        <f t="shared" ca="1" si="20"/>
        <v>40</v>
      </c>
      <c r="Q86" s="16" t="str">
        <f t="shared" ca="1" si="21"/>
        <v>Promoted</v>
      </c>
      <c r="R86" s="16" t="str" cm="1">
        <f t="array" ref="R86" ca="1">INDEX(Lookup!$E$2:$E$6,RANDBETWEEN(1,5))</f>
        <v>Dipolma</v>
      </c>
      <c r="S86" s="16" t="str" cm="1">
        <f t="array" ref="S86" ca="1">INDEX(Lookup!$J$2:$J$11,RANDBETWEEN(1,10))</f>
        <v>Michael Brown</v>
      </c>
      <c r="T86" s="16" t="str">
        <f t="shared" ca="1" si="22"/>
        <v>jamie.cooper@hranalytics.com</v>
      </c>
      <c r="U86" s="16" t="str">
        <f t="shared" ca="1" si="23"/>
        <v>0857953995</v>
      </c>
      <c r="V86" s="16" t="str" cm="1">
        <f t="array" ref="V86" ca="1">_xlfn.LET(_xlpm.r,RANDBETWEEN(1,100),_xlfn.IFS(_xlpm.r&lt;=70,"Full-Time",_xlpm.r&lt;=85,"Part-Time",_xlpm.r&lt;=95,"Contract",TRUE,"Intern"))</f>
        <v>Part-Time</v>
      </c>
      <c r="W86" s="16" cm="1">
        <f t="array" ref="W86" ca="1">IF(K86&lt;&gt;"Active",0,_xlfn.IFS(M86=5,L86*15%,M86=4,L86*10%,M86=3,L86*5%,M86=2,L86*2%,TRUE,0))</f>
        <v>954</v>
      </c>
      <c r="X86" s="24">
        <f t="shared" ca="1" si="24"/>
        <v>7</v>
      </c>
      <c r="Y86" s="24">
        <f t="shared" ca="1" si="25"/>
        <v>1</v>
      </c>
    </row>
    <row r="87" spans="1:25">
      <c r="A87" s="16" t="str">
        <f t="shared" si="26"/>
        <v>EMP086</v>
      </c>
      <c r="B87" s="16" t="str" cm="1">
        <f t="array" ref="B87" ca="1">IF(D87="Male",INDEX(Lookup!$L$2:$L$13,RANDBETWEEN(1,12)),IF(D87="Female",INDEX(Lookup!$M$2:$M$13,RANDBETWEEN(1,12)),INDEX(Lookup!$N$2:$N$13,RANDBETWEEN(1,12))))</f>
        <v>Isabella</v>
      </c>
      <c r="C87" s="16" t="str" cm="1">
        <f t="array" ref="C87" ca="1">INDEX(Lookup!$K$2:$K$31,RANDBETWEEN(1,30))</f>
        <v>Wilson</v>
      </c>
      <c r="D87" s="16" t="str" cm="1">
        <f t="array" ref="D87" ca="1">INDEX(Lookup!$H$2:$H$4,RANDBETWEEN(1,3))</f>
        <v>Female</v>
      </c>
      <c r="E87" s="16">
        <f t="shared" ca="1" si="14"/>
        <v>50</v>
      </c>
      <c r="F87" s="16" t="str" cm="1">
        <f t="array" ref="F87" ca="1">INDEX(Lookup!$A$2:$A$10,RANDBETWEEN(1,9))</f>
        <v>Finance</v>
      </c>
      <c r="G87" s="16" t="str" cm="1">
        <f t="array" ref="G87" ca="1">_xlfn.LET(_xlpm.Roles,_xlfn._xlws.FILTER(Lookup!$P$2:$P$28,Lookup!$O$2:$O$28=F87),INDEX(_xlpm.Roles,RANDBETWEEN(1,ROWS(_xlpm.Roles))))</f>
        <v>Payroll Officer</v>
      </c>
      <c r="H87" s="16" t="str" cm="1">
        <f t="array" ref="H87" ca="1">INDEX(Lookup!$B$2:$B$7,RANDBETWEEN(1,6))</f>
        <v>Galway</v>
      </c>
      <c r="I87" s="22">
        <f t="shared" ca="1" si="15"/>
        <v>44130</v>
      </c>
      <c r="J87" s="22" t="str">
        <f t="shared" ca="1" si="16"/>
        <v/>
      </c>
      <c r="K87" s="16" t="str">
        <f t="shared" ca="1" si="17"/>
        <v>Active</v>
      </c>
      <c r="L87" s="26">
        <f ca="1">_xlfn.XLOOKUP(G87,Lookup!$P$2:$P$28,Lookup!$Q$2:$Q$28)*(1+MIN(X87*3%,30%))</f>
        <v>51750</v>
      </c>
      <c r="M87" s="24">
        <f t="shared" ca="1" si="27"/>
        <v>1</v>
      </c>
      <c r="N87" s="24">
        <f t="shared" ca="1" si="18"/>
        <v>34</v>
      </c>
      <c r="O87" s="24">
        <f t="shared" ca="1" si="19"/>
        <v>17</v>
      </c>
      <c r="P87" s="24">
        <f t="shared" ca="1" si="20"/>
        <v>31</v>
      </c>
      <c r="Q87" s="16" t="str">
        <f t="shared" ca="1" si="21"/>
        <v>Promoted</v>
      </c>
      <c r="R87" s="16" t="str" cm="1">
        <f t="array" ref="R87" ca="1">INDEX(Lookup!$E$2:$E$6,RANDBETWEEN(1,5))</f>
        <v>Dipolma</v>
      </c>
      <c r="S87" s="16" t="str" cm="1">
        <f t="array" ref="S87" ca="1">INDEX(Lookup!$J$2:$J$11,RANDBETWEEN(1,10))</f>
        <v>Sarah Johnson</v>
      </c>
      <c r="T87" s="16" t="str">
        <f t="shared" ca="1" si="22"/>
        <v>isabella.wilson@hranalytics.com</v>
      </c>
      <c r="U87" s="16" t="str">
        <f t="shared" ca="1" si="23"/>
        <v>0839025086</v>
      </c>
      <c r="V87" s="16" t="str" cm="1">
        <f t="array" ref="V87" ca="1">_xlfn.LET(_xlpm.r,RANDBETWEEN(1,100),_xlfn.IFS(_xlpm.r&lt;=70,"Full-Time",_xlpm.r&lt;=85,"Part-Time",_xlpm.r&lt;=95,"Contract",TRUE,"Intern"))</f>
        <v>Full-Time</v>
      </c>
      <c r="W87" s="16" cm="1">
        <f t="array" ref="W87" ca="1">IF(K87&lt;&gt;"Active",0,_xlfn.IFS(M87=5,L87*15%,M87=4,L87*10%,M87=3,L87*5%,M87=2,L87*2%,TRUE,0))</f>
        <v>2587.5</v>
      </c>
      <c r="X87" s="24">
        <f t="shared" ca="1" si="24"/>
        <v>5</v>
      </c>
      <c r="Y87" s="24">
        <f t="shared" ca="1" si="25"/>
        <v>1</v>
      </c>
    </row>
    <row r="88" spans="1:25">
      <c r="A88" s="16" t="str">
        <f t="shared" si="26"/>
        <v>EMP087</v>
      </c>
      <c r="B88" s="16" t="str" cm="1">
        <f t="array" ref="B88" ca="1">IF(D88="Male",INDEX(Lookup!$L$2:$L$13,RANDBETWEEN(1,12)),IF(D88="Female",INDEX(Lookup!$M$2:$M$13,RANDBETWEEN(1,12)),INDEX(Lookup!$N$2:$N$13,RANDBETWEEN(1,12))))</f>
        <v>David</v>
      </c>
      <c r="C88" s="16" t="str" cm="1">
        <f t="array" ref="C88" ca="1">INDEX(Lookup!$K$2:$K$31,RANDBETWEEN(1,30))</f>
        <v>Moore</v>
      </c>
      <c r="D88" s="16" t="str" cm="1">
        <f t="array" ref="D88" ca="1">INDEX(Lookup!$H$2:$H$4,RANDBETWEEN(1,3))</f>
        <v>Male</v>
      </c>
      <c r="E88" s="16">
        <f t="shared" ca="1" si="14"/>
        <v>42</v>
      </c>
      <c r="F88" s="16" t="str" cm="1">
        <f t="array" ref="F88" ca="1">INDEX(Lookup!$A$2:$A$10,RANDBETWEEN(1,9))</f>
        <v>Customer Support</v>
      </c>
      <c r="G88" s="16" t="str" cm="1">
        <f t="array" ref="G88" ca="1">_xlfn.LET(_xlpm.Roles,_xlfn._xlws.FILTER(Lookup!$P$2:$P$28,Lookup!$O$2:$O$28=F88),INDEX(_xlpm.Roles,RANDBETWEEN(1,ROWS(_xlpm.Roles))))</f>
        <v>Customer Success Specialist</v>
      </c>
      <c r="H88" s="16" t="str" cm="1">
        <f t="array" ref="H88" ca="1">INDEX(Lookup!$B$2:$B$7,RANDBETWEEN(1,6))</f>
        <v>Limerick</v>
      </c>
      <c r="I88" s="22">
        <f t="shared" ca="1" si="15"/>
        <v>43734</v>
      </c>
      <c r="J88" s="22" t="str">
        <f t="shared" ca="1" si="16"/>
        <v/>
      </c>
      <c r="K88" s="16" t="str">
        <f t="shared" ca="1" si="17"/>
        <v>Active</v>
      </c>
      <c r="L88" s="26">
        <f ca="1">_xlfn.XLOOKUP(G88,Lookup!$P$2:$P$28,Lookup!$Q$2:$Q$28)*(1+MIN(X88*3%,30%))</f>
        <v>44520</v>
      </c>
      <c r="M88" s="24">
        <f t="shared" ca="1" si="27"/>
        <v>3</v>
      </c>
      <c r="N88" s="24">
        <f t="shared" ca="1" si="18"/>
        <v>48</v>
      </c>
      <c r="O88" s="24">
        <f t="shared" ca="1" si="19"/>
        <v>14</v>
      </c>
      <c r="P88" s="24">
        <f t="shared" ca="1" si="20"/>
        <v>60</v>
      </c>
      <c r="Q88" s="16" t="str">
        <f t="shared" ca="1" si="21"/>
        <v>Promoted</v>
      </c>
      <c r="R88" s="16" t="str" cm="1">
        <f t="array" ref="R88" ca="1">INDEX(Lookup!$E$2:$E$6,RANDBETWEEN(1,5))</f>
        <v>Dipolma</v>
      </c>
      <c r="S88" s="16" t="str" cm="1">
        <f t="array" ref="S88" ca="1">INDEX(Lookup!$J$2:$J$11,RANDBETWEEN(1,10))</f>
        <v>Daniel Kelly</v>
      </c>
      <c r="T88" s="16" t="str">
        <f t="shared" ca="1" si="22"/>
        <v>david.moore@hranalytics.com</v>
      </c>
      <c r="U88" s="16" t="str">
        <f t="shared" ca="1" si="23"/>
        <v>0866315889</v>
      </c>
      <c r="V88" s="16" t="str" cm="1">
        <f t="array" ref="V88" ca="1">_xlfn.LET(_xlpm.r,RANDBETWEEN(1,100),_xlfn.IFS(_xlpm.r&lt;=70,"Full-Time",_xlpm.r&lt;=85,"Part-Time",_xlpm.r&lt;=95,"Contract",TRUE,"Intern"))</f>
        <v>Contract</v>
      </c>
      <c r="W88" s="16" cm="1">
        <f t="array" ref="W88" ca="1">IF(K88&lt;&gt;"Active",0,_xlfn.IFS(M88=5,L88*15%,M88=4,L88*10%,M88=3,L88*5%,M88=2,L88*2%,TRUE,0))</f>
        <v>4452</v>
      </c>
      <c r="X88" s="24">
        <f t="shared" ca="1" si="24"/>
        <v>6</v>
      </c>
      <c r="Y88" s="24">
        <f t="shared" ca="1" si="25"/>
        <v>1</v>
      </c>
    </row>
    <row r="89" spans="1:25">
      <c r="A89" s="16" t="str">
        <f t="shared" si="26"/>
        <v>EMP088</v>
      </c>
      <c r="B89" s="16" t="str" cm="1">
        <f t="array" ref="B89" ca="1">IF(D89="Male",INDEX(Lookup!$L$2:$L$13,RANDBETWEEN(1,12)),IF(D89="Female",INDEX(Lookup!$M$2:$M$13,RANDBETWEEN(1,12)),INDEX(Lookup!$N$2:$N$13,RANDBETWEEN(1,12))))</f>
        <v>Emily</v>
      </c>
      <c r="C89" s="16" t="str" cm="1">
        <f t="array" ref="C89" ca="1">INDEX(Lookup!$K$2:$K$31,RANDBETWEEN(1,30))</f>
        <v>King</v>
      </c>
      <c r="D89" s="16" t="str" cm="1">
        <f t="array" ref="D89" ca="1">INDEX(Lookup!$H$2:$H$4,RANDBETWEEN(1,3))</f>
        <v>Female</v>
      </c>
      <c r="E89" s="16">
        <f t="shared" ca="1" si="14"/>
        <v>23</v>
      </c>
      <c r="F89" s="16" t="str" cm="1">
        <f t="array" ref="F89" ca="1">INDEX(Lookup!$A$2:$A$10,RANDBETWEEN(1,9))</f>
        <v>Finance</v>
      </c>
      <c r="G89" s="16" t="str" cm="1">
        <f t="array" ref="G89" ca="1">_xlfn.LET(_xlpm.Roles,_xlfn._xlws.FILTER(Lookup!$P$2:$P$28,Lookup!$O$2:$O$28=F89),INDEX(_xlpm.Roles,RANDBETWEEN(1,ROWS(_xlpm.Roles))))</f>
        <v>Accountant</v>
      </c>
      <c r="H89" s="16" t="str" cm="1">
        <f t="array" ref="H89" ca="1">INDEX(Lookup!$B$2:$B$7,RANDBETWEEN(1,6))</f>
        <v>Dublin</v>
      </c>
      <c r="I89" s="22">
        <f t="shared" ca="1" si="15"/>
        <v>43609</v>
      </c>
      <c r="J89" s="22" t="str">
        <f t="shared" ca="1" si="16"/>
        <v/>
      </c>
      <c r="K89" s="16" t="str">
        <f t="shared" ca="1" si="17"/>
        <v>Active</v>
      </c>
      <c r="L89" s="26">
        <f ca="1">_xlfn.XLOOKUP(G89,Lookup!$P$2:$P$28,Lookup!$Q$2:$Q$28)*(1+MIN(X89*3%,30%))</f>
        <v>60500</v>
      </c>
      <c r="M89" s="24">
        <f t="shared" ca="1" si="27"/>
        <v>2</v>
      </c>
      <c r="N89" s="24">
        <f t="shared" ca="1" si="18"/>
        <v>54</v>
      </c>
      <c r="O89" s="24">
        <f t="shared" ca="1" si="19"/>
        <v>11</v>
      </c>
      <c r="P89" s="24">
        <f t="shared" ca="1" si="20"/>
        <v>36</v>
      </c>
      <c r="Q89" s="16" t="str">
        <f t="shared" ca="1" si="21"/>
        <v>Promoted</v>
      </c>
      <c r="R89" s="16" t="str" cm="1">
        <f t="array" ref="R89" ca="1">INDEX(Lookup!$E$2:$E$6,RANDBETWEEN(1,5))</f>
        <v>Dipolma</v>
      </c>
      <c r="S89" s="16" t="str" cm="1">
        <f t="array" ref="S89" ca="1">INDEX(Lookup!$J$2:$J$11,RANDBETWEEN(1,10))</f>
        <v>Sophia Martin</v>
      </c>
      <c r="T89" s="16" t="str">
        <f t="shared" ca="1" si="22"/>
        <v>emily.king@hranalytics.com</v>
      </c>
      <c r="U89" s="16" t="str">
        <f t="shared" ca="1" si="23"/>
        <v>0857214591</v>
      </c>
      <c r="V89" s="16" t="str" cm="1">
        <f t="array" ref="V89" ca="1">_xlfn.LET(_xlpm.r,RANDBETWEEN(1,100),_xlfn.IFS(_xlpm.r&lt;=70,"Full-Time",_xlpm.r&lt;=85,"Part-Time",_xlpm.r&lt;=95,"Contract",TRUE,"Intern"))</f>
        <v>Full-Time</v>
      </c>
      <c r="W89" s="16" cm="1">
        <f t="array" ref="W89" ca="1">IF(K89&lt;&gt;"Active",0,_xlfn.IFS(M89=5,L89*15%,M89=4,L89*10%,M89=3,L89*5%,M89=2,L89*2%,TRUE,0))</f>
        <v>3025</v>
      </c>
      <c r="X89" s="24">
        <f t="shared" ca="1" si="24"/>
        <v>7</v>
      </c>
      <c r="Y89" s="24">
        <f t="shared" ca="1" si="25"/>
        <v>1</v>
      </c>
    </row>
    <row r="90" spans="1:25">
      <c r="A90" s="16" t="str">
        <f t="shared" si="26"/>
        <v>EMP089</v>
      </c>
      <c r="B90" s="16" t="str" cm="1">
        <f t="array" ref="B90" ca="1">IF(D90="Male",INDEX(Lookup!$L$2:$L$13,RANDBETWEEN(1,12)),IF(D90="Female",INDEX(Lookup!$M$2:$M$13,RANDBETWEEN(1,12)),INDEX(Lookup!$N$2:$N$13,RANDBETWEEN(1,12))))</f>
        <v>John</v>
      </c>
      <c r="C90" s="16" t="str" cm="1">
        <f t="array" ref="C90" ca="1">INDEX(Lookup!$K$2:$K$31,RANDBETWEEN(1,30))</f>
        <v>Walker</v>
      </c>
      <c r="D90" s="16" t="str" cm="1">
        <f t="array" ref="D90" ca="1">INDEX(Lookup!$H$2:$H$4,RANDBETWEEN(1,3))</f>
        <v>Male</v>
      </c>
      <c r="E90" s="16">
        <f t="shared" ca="1" si="14"/>
        <v>41</v>
      </c>
      <c r="F90" s="16" t="str" cm="1">
        <f t="array" ref="F90" ca="1">INDEX(Lookup!$A$2:$A$10,RANDBETWEEN(1,9))</f>
        <v>Finance</v>
      </c>
      <c r="G90" s="16" t="str" cm="1">
        <f t="array" ref="G90" ca="1">_xlfn.LET(_xlpm.Roles,_xlfn._xlws.FILTER(Lookup!$P$2:$P$28,Lookup!$O$2:$O$28=F90),INDEX(_xlpm.Roles,RANDBETWEEN(1,ROWS(_xlpm.Roles))))</f>
        <v>Financial Analyst</v>
      </c>
      <c r="H90" s="16" t="str" cm="1">
        <f t="array" ref="H90" ca="1">INDEX(Lookup!$B$2:$B$7,RANDBETWEEN(1,6))</f>
        <v>Cork</v>
      </c>
      <c r="I90" s="22">
        <f t="shared" ca="1" si="15"/>
        <v>44034</v>
      </c>
      <c r="J90" s="22" t="str">
        <f t="shared" ca="1" si="16"/>
        <v/>
      </c>
      <c r="K90" s="16" t="str">
        <f t="shared" ca="1" si="17"/>
        <v>Active</v>
      </c>
      <c r="L90" s="26">
        <f ca="1">_xlfn.XLOOKUP(G90,Lookup!$P$2:$P$28,Lookup!$Q$2:$Q$28)*(1+MIN(X90*3%,30%))</f>
        <v>68440</v>
      </c>
      <c r="M90" s="24">
        <f t="shared" ca="1" si="27"/>
        <v>3</v>
      </c>
      <c r="N90" s="24">
        <f t="shared" ca="1" si="18"/>
        <v>3</v>
      </c>
      <c r="O90" s="24">
        <f t="shared" ca="1" si="19"/>
        <v>7</v>
      </c>
      <c r="P90" s="24">
        <f t="shared" ca="1" si="20"/>
        <v>39</v>
      </c>
      <c r="Q90" s="16" t="str">
        <f t="shared" ca="1" si="21"/>
        <v>Promoted</v>
      </c>
      <c r="R90" s="16" t="str" cm="1">
        <f t="array" ref="R90" ca="1">INDEX(Lookup!$E$2:$E$6,RANDBETWEEN(1,5))</f>
        <v>High School</v>
      </c>
      <c r="S90" s="16" t="str" cm="1">
        <f t="array" ref="S90" ca="1">INDEX(Lookup!$J$2:$J$11,RANDBETWEEN(1,10))</f>
        <v>Michael Brown</v>
      </c>
      <c r="T90" s="16" t="str">
        <f t="shared" ca="1" si="22"/>
        <v>john.walker@hranalytics.com</v>
      </c>
      <c r="U90" s="16" t="str">
        <f t="shared" ca="1" si="23"/>
        <v>0856262026</v>
      </c>
      <c r="V90" s="16" t="str" cm="1">
        <f t="array" ref="V90" ca="1">_xlfn.LET(_xlpm.r,RANDBETWEEN(1,100),_xlfn.IFS(_xlpm.r&lt;=70,"Full-Time",_xlpm.r&lt;=85,"Part-Time",_xlpm.r&lt;=95,"Contract",TRUE,"Intern"))</f>
        <v>Full-Time</v>
      </c>
      <c r="W90" s="16" cm="1">
        <f t="array" ref="W90" ca="1">IF(K90&lt;&gt;"Active",0,_xlfn.IFS(M90=5,L90*15%,M90=4,L90*10%,M90=3,L90*5%,M90=2,L90*2%,TRUE,0))</f>
        <v>3422</v>
      </c>
      <c r="X90" s="24">
        <f t="shared" ca="1" si="24"/>
        <v>6</v>
      </c>
      <c r="Y90" s="24">
        <f t="shared" ca="1" si="25"/>
        <v>2</v>
      </c>
    </row>
    <row r="91" spans="1:25">
      <c r="A91" s="16" t="str">
        <f t="shared" si="26"/>
        <v>EMP090</v>
      </c>
      <c r="B91" s="16" t="str" cm="1">
        <f t="array" ref="B91" ca="1">IF(D91="Male",INDEX(Lookup!$L$2:$L$13,RANDBETWEEN(1,12)),IF(D91="Female",INDEX(Lookup!$M$2:$M$13,RANDBETWEEN(1,12)),INDEX(Lookup!$N$2:$N$13,RANDBETWEEN(1,12))))</f>
        <v>Amelia</v>
      </c>
      <c r="C91" s="16" t="str" cm="1">
        <f t="array" ref="C91" ca="1">INDEX(Lookup!$K$2:$K$31,RANDBETWEEN(1,30))</f>
        <v>Nelson</v>
      </c>
      <c r="D91" s="16" t="str" cm="1">
        <f t="array" ref="D91" ca="1">INDEX(Lookup!$H$2:$H$4,RANDBETWEEN(1,3))</f>
        <v>Female</v>
      </c>
      <c r="E91" s="16">
        <f t="shared" ca="1" si="14"/>
        <v>31</v>
      </c>
      <c r="F91" s="16" t="str" cm="1">
        <f t="array" ref="F91" ca="1">INDEX(Lookup!$A$2:$A$10,RANDBETWEEN(1,9))</f>
        <v>Customer Support</v>
      </c>
      <c r="G91" s="16" t="str" cm="1">
        <f t="array" ref="G91" ca="1">_xlfn.LET(_xlpm.Roles,_xlfn._xlws.FILTER(Lookup!$P$2:$P$28,Lookup!$O$2:$O$28=F91),INDEX(_xlpm.Roles,RANDBETWEEN(1,ROWS(_xlpm.Roles))))</f>
        <v>Customer Support Representative</v>
      </c>
      <c r="H91" s="16" t="str" cm="1">
        <f t="array" ref="H91" ca="1">INDEX(Lookup!$B$2:$B$7,RANDBETWEEN(1,6))</f>
        <v>Cork</v>
      </c>
      <c r="I91" s="22">
        <f t="shared" ca="1" si="15"/>
        <v>45914</v>
      </c>
      <c r="J91" s="22" t="str">
        <f t="shared" ca="1" si="16"/>
        <v/>
      </c>
      <c r="K91" s="16" t="str">
        <f t="shared" ca="1" si="17"/>
        <v>Active</v>
      </c>
      <c r="L91" s="26">
        <f ca="1">_xlfn.XLOOKUP(G91,Lookup!$P$2:$P$28,Lookup!$Q$2:$Q$28)*(1+MIN(X91*3%,30%))</f>
        <v>41400</v>
      </c>
      <c r="M91" s="24">
        <f t="shared" ca="1" si="27"/>
        <v>5</v>
      </c>
      <c r="N91" s="24">
        <f t="shared" ca="1" si="18"/>
        <v>79</v>
      </c>
      <c r="O91" s="24">
        <f t="shared" ca="1" si="19"/>
        <v>17</v>
      </c>
      <c r="P91" s="24">
        <f t="shared" ca="1" si="20"/>
        <v>47</v>
      </c>
      <c r="Q91" s="16" t="str">
        <f t="shared" ca="1" si="21"/>
        <v>Promoted</v>
      </c>
      <c r="R91" s="16" t="str" cm="1">
        <f t="array" ref="R91" ca="1">INDEX(Lookup!$E$2:$E$6,RANDBETWEEN(1,5))</f>
        <v>Master's</v>
      </c>
      <c r="S91" s="16" t="str" cm="1">
        <f t="array" ref="S91" ca="1">INDEX(Lookup!$J$2:$J$11,RANDBETWEEN(1,10))</f>
        <v>Liam Byrne</v>
      </c>
      <c r="T91" s="16" t="str">
        <f t="shared" ca="1" si="22"/>
        <v>amelia.nelson@hranalytics.com</v>
      </c>
      <c r="U91" s="16" t="str">
        <f t="shared" ca="1" si="23"/>
        <v>0882240142</v>
      </c>
      <c r="V91" s="16" t="str" cm="1">
        <f t="array" ref="V91" ca="1">_xlfn.LET(_xlpm.r,RANDBETWEEN(1,100),_xlfn.IFS(_xlpm.r&lt;=70,"Full-Time",_xlpm.r&lt;=85,"Part-Time",_xlpm.r&lt;=95,"Contract",TRUE,"Intern"))</f>
        <v>Full-Time</v>
      </c>
      <c r="W91" s="16" cm="1">
        <f t="array" ref="W91" ca="1">IF(K91&lt;&gt;"Active",0,_xlfn.IFS(M91=5,L91*15%,M91=4,L91*10%,M91=3,L91*5%,M91=2,L91*2%,TRUE,0))</f>
        <v>0</v>
      </c>
      <c r="X91" s="24">
        <f t="shared" ca="1" si="24"/>
        <v>0</v>
      </c>
      <c r="Y91" s="24">
        <f t="shared" ca="1" si="25"/>
        <v>1</v>
      </c>
    </row>
    <row r="92" spans="1:25">
      <c r="A92" s="16" t="str">
        <f t="shared" si="26"/>
        <v>EMP091</v>
      </c>
      <c r="B92" s="16" t="str" cm="1">
        <f t="array" ref="B92" ca="1">IF(D92="Male",INDEX(Lookup!$L$2:$L$13,RANDBETWEEN(1,12)),IF(D92="Female",INDEX(Lookup!$M$2:$M$13,RANDBETWEEN(1,12)),INDEX(Lookup!$N$2:$N$13,RANDBETWEEN(1,12))))</f>
        <v>Robin</v>
      </c>
      <c r="C92" s="16" t="str" cm="1">
        <f t="array" ref="C92" ca="1">INDEX(Lookup!$K$2:$K$31,RANDBETWEEN(1,30))</f>
        <v>Moore</v>
      </c>
      <c r="D92" s="16" t="str" cm="1">
        <f t="array" ref="D92" ca="1">INDEX(Lookup!$H$2:$H$4,RANDBETWEEN(1,3))</f>
        <v>Other</v>
      </c>
      <c r="E92" s="16">
        <f t="shared" ca="1" si="14"/>
        <v>55</v>
      </c>
      <c r="F92" s="16" t="str" cm="1">
        <f t="array" ref="F92" ca="1">INDEX(Lookup!$A$2:$A$10,RANDBETWEEN(1,9))</f>
        <v>Operations</v>
      </c>
      <c r="G92" s="16" t="str" cm="1">
        <f t="array" ref="G92" ca="1">_xlfn.LET(_xlpm.Roles,_xlfn._xlws.FILTER(Lookup!$P$2:$P$28,Lookup!$O$2:$O$28=F92),INDEX(_xlpm.Roles,RANDBETWEEN(1,ROWS(_xlpm.Roles))))</f>
        <v>Operations Executive</v>
      </c>
      <c r="H92" s="16" t="str" cm="1">
        <f t="array" ref="H92" ca="1">INDEX(Lookup!$B$2:$B$7,RANDBETWEEN(1,6))</f>
        <v>Dublin</v>
      </c>
      <c r="I92" s="22">
        <f t="shared" ca="1" si="15"/>
        <v>44522</v>
      </c>
      <c r="J92" s="22" t="str">
        <f t="shared" ca="1" si="16"/>
        <v/>
      </c>
      <c r="K92" s="16" t="str">
        <f t="shared" ca="1" si="17"/>
        <v>Active</v>
      </c>
      <c r="L92" s="26">
        <f ca="1">_xlfn.XLOOKUP(G92,Lookup!$P$2:$P$28,Lookup!$Q$2:$Q$28)*(1+MIN(X92*3%,30%))</f>
        <v>48300</v>
      </c>
      <c r="M92" s="24">
        <f t="shared" ca="1" si="27"/>
        <v>2</v>
      </c>
      <c r="N92" s="24">
        <f t="shared" ca="1" si="18"/>
        <v>23</v>
      </c>
      <c r="O92" s="24">
        <f t="shared" ca="1" si="19"/>
        <v>11</v>
      </c>
      <c r="P92" s="24">
        <f t="shared" ca="1" si="20"/>
        <v>58</v>
      </c>
      <c r="Q92" s="16" t="str">
        <f t="shared" ca="1" si="21"/>
        <v>Promoted</v>
      </c>
      <c r="R92" s="16" t="str" cm="1">
        <f t="array" ref="R92" ca="1">INDEX(Lookup!$E$2:$E$6,RANDBETWEEN(1,5))</f>
        <v>Bachelor's</v>
      </c>
      <c r="S92" s="16" t="str" cm="1">
        <f t="array" ref="S92" ca="1">INDEX(Lookup!$J$2:$J$11,RANDBETWEEN(1,10))</f>
        <v>Grace O'Connor</v>
      </c>
      <c r="T92" s="16" t="str">
        <f t="shared" ca="1" si="22"/>
        <v>robin.moore@hranalytics.com</v>
      </c>
      <c r="U92" s="16" t="str">
        <f t="shared" ca="1" si="23"/>
        <v>0896239207</v>
      </c>
      <c r="V92" s="16" t="str" cm="1">
        <f t="array" ref="V92" ca="1">_xlfn.LET(_xlpm.r,RANDBETWEEN(1,100),_xlfn.IFS(_xlpm.r&lt;=70,"Full-Time",_xlpm.r&lt;=85,"Part-Time",_xlpm.r&lt;=95,"Contract",TRUE,"Intern"))</f>
        <v>Full-Time</v>
      </c>
      <c r="W92" s="16" cm="1">
        <f t="array" ref="W92" ca="1">IF(K92&lt;&gt;"Active",0,_xlfn.IFS(M92=5,L92*15%,M92=4,L92*10%,M92=3,L92*5%,M92=2,L92*2%,TRUE,0))</f>
        <v>7245</v>
      </c>
      <c r="X92" s="24">
        <f t="shared" ca="1" si="24"/>
        <v>4</v>
      </c>
      <c r="Y92" s="24">
        <f t="shared" ca="1" si="25"/>
        <v>1</v>
      </c>
    </row>
    <row r="93" spans="1:25">
      <c r="A93" s="16" t="str">
        <f t="shared" si="26"/>
        <v>EMP092</v>
      </c>
      <c r="B93" s="16" t="str" cm="1">
        <f t="array" ref="B93" ca="1">IF(D93="Male",INDEX(Lookup!$L$2:$L$13,RANDBETWEEN(1,12)),IF(D93="Female",INDEX(Lookup!$M$2:$M$13,RANDBETWEEN(1,12)),INDEX(Lookup!$N$2:$N$13,RANDBETWEEN(1,12))))</f>
        <v>Skyler</v>
      </c>
      <c r="C93" s="16" t="str" cm="1">
        <f t="array" ref="C93" ca="1">INDEX(Lookup!$K$2:$K$31,RANDBETWEEN(1,30))</f>
        <v>White</v>
      </c>
      <c r="D93" s="16" t="str" cm="1">
        <f t="array" ref="D93" ca="1">INDEX(Lookup!$H$2:$H$4,RANDBETWEEN(1,3))</f>
        <v>Other</v>
      </c>
      <c r="E93" s="16">
        <f t="shared" ca="1" si="14"/>
        <v>32</v>
      </c>
      <c r="F93" s="16" t="str" cm="1">
        <f t="array" ref="F93" ca="1">INDEX(Lookup!$A$2:$A$10,RANDBETWEEN(1,9))</f>
        <v>Customer Support</v>
      </c>
      <c r="G93" s="16" t="str" cm="1">
        <f t="array" ref="G93" ca="1">_xlfn.LET(_xlpm.Roles,_xlfn._xlws.FILTER(Lookup!$P$2:$P$28,Lookup!$O$2:$O$28=F93),INDEX(_xlpm.Roles,RANDBETWEEN(1,ROWS(_xlpm.Roles))))</f>
        <v>Customer Success Specialist</v>
      </c>
      <c r="H93" s="16" t="str" cm="1">
        <f t="array" ref="H93" ca="1">INDEX(Lookup!$B$2:$B$7,RANDBETWEEN(1,6))</f>
        <v>Waterford</v>
      </c>
      <c r="I93" s="22">
        <f t="shared" ca="1" si="15"/>
        <v>44308</v>
      </c>
      <c r="J93" s="22" t="str">
        <f t="shared" ca="1" si="16"/>
        <v/>
      </c>
      <c r="K93" s="16" t="str">
        <f t="shared" ca="1" si="17"/>
        <v>Active</v>
      </c>
      <c r="L93" s="26">
        <f ca="1">_xlfn.XLOOKUP(G93,Lookup!$P$2:$P$28,Lookup!$Q$2:$Q$28)*(1+MIN(X93*3%,30%))</f>
        <v>45780</v>
      </c>
      <c r="M93" s="24">
        <f t="shared" ca="1" si="27"/>
        <v>1</v>
      </c>
      <c r="N93" s="24">
        <f t="shared" ca="1" si="18"/>
        <v>37</v>
      </c>
      <c r="O93" s="24">
        <f t="shared" ca="1" si="19"/>
        <v>19</v>
      </c>
      <c r="P93" s="24">
        <f t="shared" ca="1" si="20"/>
        <v>59</v>
      </c>
      <c r="Q93" s="16" t="str">
        <f t="shared" ca="1" si="21"/>
        <v>Promoted</v>
      </c>
      <c r="R93" s="16" t="str" cm="1">
        <f t="array" ref="R93" ca="1">INDEX(Lookup!$E$2:$E$6,RANDBETWEEN(1,5))</f>
        <v>High School</v>
      </c>
      <c r="S93" s="16" t="str" cm="1">
        <f t="array" ref="S93" ca="1">INDEX(Lookup!$J$2:$J$11,RANDBETWEEN(1,10))</f>
        <v>Grace O'Connor</v>
      </c>
      <c r="T93" s="16" t="str">
        <f t="shared" ca="1" si="22"/>
        <v>skyler.white@hranalytics.com</v>
      </c>
      <c r="U93" s="16" t="str">
        <f t="shared" ca="1" si="23"/>
        <v>0877963024</v>
      </c>
      <c r="V93" s="16" t="str" cm="1">
        <f t="array" ref="V93" ca="1">_xlfn.LET(_xlpm.r,RANDBETWEEN(1,100),_xlfn.IFS(_xlpm.r&lt;=70,"Full-Time",_xlpm.r&lt;=85,"Part-Time",_xlpm.r&lt;=95,"Contract",TRUE,"Intern"))</f>
        <v>Full-Time</v>
      </c>
      <c r="W93" s="16" cm="1">
        <f t="array" ref="W93" ca="1">IF(K93&lt;&gt;"Active",0,_xlfn.IFS(M93=5,L93*15%,M93=4,L93*10%,M93=3,L93*5%,M93=2,L93*2%,TRUE,0))</f>
        <v>6867</v>
      </c>
      <c r="X93" s="24">
        <f t="shared" ca="1" si="24"/>
        <v>5</v>
      </c>
      <c r="Y93" s="24">
        <f t="shared" ca="1" si="25"/>
        <v>2</v>
      </c>
    </row>
    <row r="94" spans="1:25">
      <c r="A94" s="16" t="str">
        <f t="shared" si="26"/>
        <v>EMP093</v>
      </c>
      <c r="B94" s="16" t="str" cm="1">
        <f t="array" ref="B94" ca="1">IF(D94="Male",INDEX(Lookup!$L$2:$L$13,RANDBETWEEN(1,12)),IF(D94="Female",INDEX(Lookup!$M$2:$M$13,RANDBETWEEN(1,12)),INDEX(Lookup!$N$2:$N$13,RANDBETWEEN(1,12))))</f>
        <v>Isabella</v>
      </c>
      <c r="C94" s="16" t="str" cm="1">
        <f t="array" ref="C94" ca="1">INDEX(Lookup!$K$2:$K$31,RANDBETWEEN(1,30))</f>
        <v>Edwards</v>
      </c>
      <c r="D94" s="16" t="str" cm="1">
        <f t="array" ref="D94" ca="1">INDEX(Lookup!$H$2:$H$4,RANDBETWEEN(1,3))</f>
        <v>Female</v>
      </c>
      <c r="E94" s="16">
        <f t="shared" ca="1" si="14"/>
        <v>27</v>
      </c>
      <c r="F94" s="16" t="str" cm="1">
        <f t="array" ref="F94" ca="1">INDEX(Lookup!$A$2:$A$10,RANDBETWEEN(1,9))</f>
        <v>Sales</v>
      </c>
      <c r="G94" s="16" t="str" cm="1">
        <f t="array" ref="G94" ca="1">_xlfn.LET(_xlpm.Roles,_xlfn._xlws.FILTER(Lookup!$P$2:$P$28,Lookup!$O$2:$O$28=F94),INDEX(_xlpm.Roles,RANDBETWEEN(1,ROWS(_xlpm.Roles))))</f>
        <v>Sales Executive</v>
      </c>
      <c r="H94" s="16" t="str" cm="1">
        <f t="array" ref="H94" ca="1">INDEX(Lookup!$B$2:$B$7,RANDBETWEEN(1,6))</f>
        <v>Limerick</v>
      </c>
      <c r="I94" s="22">
        <f t="shared" ca="1" si="15"/>
        <v>44801</v>
      </c>
      <c r="J94" s="22">
        <f t="shared" ca="1" si="16"/>
        <v>45678</v>
      </c>
      <c r="K94" s="16" t="str">
        <f t="shared" ca="1" si="17"/>
        <v>Resigned</v>
      </c>
      <c r="L94" s="26">
        <f ca="1">_xlfn.XLOOKUP(G94,Lookup!$P$2:$P$28,Lookup!$Q$2:$Q$28)*(1+MIN(X94*3%,30%))</f>
        <v>43600</v>
      </c>
      <c r="M94" s="24">
        <f t="shared" ca="1" si="27"/>
        <v>1</v>
      </c>
      <c r="N94" s="24">
        <f t="shared" ca="1" si="18"/>
        <v>25</v>
      </c>
      <c r="O94" s="24">
        <f t="shared" ca="1" si="19"/>
        <v>7</v>
      </c>
      <c r="P94" s="24">
        <f t="shared" ca="1" si="20"/>
        <v>29</v>
      </c>
      <c r="Q94" s="16" t="str">
        <f t="shared" ca="1" si="21"/>
        <v>Not Promoted</v>
      </c>
      <c r="R94" s="16" t="str" cm="1">
        <f t="array" ref="R94" ca="1">INDEX(Lookup!$E$2:$E$6,RANDBETWEEN(1,5))</f>
        <v>Bachelor's</v>
      </c>
      <c r="S94" s="16" t="str" cm="1">
        <f t="array" ref="S94" ca="1">INDEX(Lookup!$J$2:$J$11,RANDBETWEEN(1,10))</f>
        <v>Grace O'Connor</v>
      </c>
      <c r="T94" s="16" t="str">
        <f t="shared" ca="1" si="22"/>
        <v>isabella.edwards@hranalytics.com</v>
      </c>
      <c r="U94" s="16" t="str">
        <f t="shared" ca="1" si="23"/>
        <v>0855760351</v>
      </c>
      <c r="V94" s="16" t="str" cm="1">
        <f t="array" ref="V94" ca="1">_xlfn.LET(_xlpm.r,RANDBETWEEN(1,100),_xlfn.IFS(_xlpm.r&lt;=70,"Full-Time",_xlpm.r&lt;=85,"Part-Time",_xlpm.r&lt;=95,"Contract",TRUE,"Intern"))</f>
        <v>Full-Time</v>
      </c>
      <c r="W94" s="16" cm="1">
        <f t="array" ref="W94" ca="1">IF(K94&lt;&gt;"Active",0,_xlfn.IFS(M94=5,L94*15%,M94=4,L94*10%,M94=3,L94*5%,M94=2,L94*2%,TRUE,0))</f>
        <v>0</v>
      </c>
      <c r="X94" s="24">
        <f t="shared" ca="1" si="24"/>
        <v>4</v>
      </c>
      <c r="Y94" s="24">
        <f t="shared" ca="1" si="25"/>
        <v>3</v>
      </c>
    </row>
    <row r="95" spans="1:25">
      <c r="A95" s="16" t="str">
        <f t="shared" si="26"/>
        <v>EMP094</v>
      </c>
      <c r="B95" s="16" t="str" cm="1">
        <f t="array" ref="B95" ca="1">IF(D95="Male",INDEX(Lookup!$L$2:$L$13,RANDBETWEEN(1,12)),IF(D95="Female",INDEX(Lookup!$M$2:$M$13,RANDBETWEEN(1,12)),INDEX(Lookup!$N$2:$N$13,RANDBETWEEN(1,12))))</f>
        <v>David</v>
      </c>
      <c r="C95" s="16" t="str" cm="1">
        <f t="array" ref="C95" ca="1">INDEX(Lookup!$K$2:$K$31,RANDBETWEEN(1,30))</f>
        <v>White</v>
      </c>
      <c r="D95" s="16" t="str" cm="1">
        <f t="array" ref="D95" ca="1">INDEX(Lookup!$H$2:$H$4,RANDBETWEEN(1,3))</f>
        <v>Male</v>
      </c>
      <c r="E95" s="16">
        <f t="shared" ca="1" si="14"/>
        <v>40</v>
      </c>
      <c r="F95" s="16" t="str" cm="1">
        <f t="array" ref="F95" ca="1">INDEX(Lookup!$A$2:$A$10,RANDBETWEEN(1,9))</f>
        <v>IT</v>
      </c>
      <c r="G95" s="16" t="str" cm="1">
        <f t="array" ref="G95" ca="1">_xlfn.LET(_xlpm.Roles,_xlfn._xlws.FILTER(Lookup!$P$2:$P$28,Lookup!$O$2:$O$28=F95),INDEX(_xlpm.Roles,RANDBETWEEN(1,ROWS(_xlpm.Roles))))</f>
        <v>Business Analyst</v>
      </c>
      <c r="H95" s="16" t="str" cm="1">
        <f t="array" ref="H95" ca="1">INDEX(Lookup!$B$2:$B$7,RANDBETWEEN(1,6))</f>
        <v>Galway</v>
      </c>
      <c r="I95" s="22">
        <f t="shared" ca="1" si="15"/>
        <v>44273</v>
      </c>
      <c r="J95" s="22" t="str">
        <f t="shared" ca="1" si="16"/>
        <v/>
      </c>
      <c r="K95" s="16" t="str">
        <f t="shared" ca="1" si="17"/>
        <v>Active</v>
      </c>
      <c r="L95" s="26">
        <f ca="1">_xlfn.XLOOKUP(G95,Lookup!$P$2:$P$28,Lookup!$Q$2:$Q$28)*(1+MIN(X95*3%,30%))</f>
        <v>65400</v>
      </c>
      <c r="M95" s="24">
        <f t="shared" ca="1" si="27"/>
        <v>2</v>
      </c>
      <c r="N95" s="24">
        <f t="shared" ca="1" si="18"/>
        <v>68</v>
      </c>
      <c r="O95" s="24">
        <f t="shared" ca="1" si="19"/>
        <v>16</v>
      </c>
      <c r="P95" s="24">
        <f t="shared" ca="1" si="20"/>
        <v>3</v>
      </c>
      <c r="Q95" s="16" t="str">
        <f t="shared" ca="1" si="21"/>
        <v>Promoted</v>
      </c>
      <c r="R95" s="16" t="str" cm="1">
        <f t="array" ref="R95" ca="1">INDEX(Lookup!$E$2:$E$6,RANDBETWEEN(1,5))</f>
        <v>PhD</v>
      </c>
      <c r="S95" s="16" t="str" cm="1">
        <f t="array" ref="S95" ca="1">INDEX(Lookup!$J$2:$J$11,RANDBETWEEN(1,10))</f>
        <v>Liam Byrne</v>
      </c>
      <c r="T95" s="16" t="str">
        <f t="shared" ca="1" si="22"/>
        <v>david.white@hranalytics.com</v>
      </c>
      <c r="U95" s="16" t="str">
        <f t="shared" ca="1" si="23"/>
        <v>0888828830</v>
      </c>
      <c r="V95" s="16" t="str" cm="1">
        <f t="array" ref="V95" ca="1">_xlfn.LET(_xlpm.r,RANDBETWEEN(1,100),_xlfn.IFS(_xlpm.r&lt;=70,"Full-Time",_xlpm.r&lt;=85,"Part-Time",_xlpm.r&lt;=95,"Contract",TRUE,"Intern"))</f>
        <v>Part-Time</v>
      </c>
      <c r="W95" s="16" cm="1">
        <f t="array" ref="W95" ca="1">IF(K95&lt;&gt;"Active",0,_xlfn.IFS(M95=5,L95*15%,M95=4,L95*10%,M95=3,L95*5%,M95=2,L95*2%,TRUE,0))</f>
        <v>3270</v>
      </c>
      <c r="X95" s="24">
        <f t="shared" ca="1" si="24"/>
        <v>5</v>
      </c>
      <c r="Y95" s="24">
        <f t="shared" ca="1" si="25"/>
        <v>3</v>
      </c>
    </row>
    <row r="96" spans="1:25">
      <c r="A96" s="16" t="str">
        <f t="shared" si="26"/>
        <v>EMP095</v>
      </c>
      <c r="B96" s="16" t="str" cm="1">
        <f t="array" ref="B96" ca="1">IF(D96="Male",INDEX(Lookup!$L$2:$L$13,RANDBETWEEN(1,12)),IF(D96="Female",INDEX(Lookup!$M$2:$M$13,RANDBETWEEN(1,12)),INDEX(Lookup!$N$2:$N$13,RANDBETWEEN(1,12))))</f>
        <v>Ava</v>
      </c>
      <c r="C96" s="16" t="str" cm="1">
        <f t="array" ref="C96" ca="1">INDEX(Lookup!$K$2:$K$31,RANDBETWEEN(1,30))</f>
        <v>Kelly</v>
      </c>
      <c r="D96" s="16" t="str" cm="1">
        <f t="array" ref="D96" ca="1">INDEX(Lookup!$H$2:$H$4,RANDBETWEEN(1,3))</f>
        <v>Female</v>
      </c>
      <c r="E96" s="16">
        <f t="shared" ca="1" si="14"/>
        <v>25</v>
      </c>
      <c r="F96" s="16" t="str" cm="1">
        <f t="array" ref="F96" ca="1">INDEX(Lookup!$A$2:$A$10,RANDBETWEEN(1,9))</f>
        <v>Customer Support</v>
      </c>
      <c r="G96" s="16" t="str" cm="1">
        <f t="array" ref="G96" ca="1">_xlfn.LET(_xlpm.Roles,_xlfn._xlws.FILTER(Lookup!$P$2:$P$28,Lookup!$O$2:$O$28=F96),INDEX(_xlpm.Roles,RANDBETWEEN(1,ROWS(_xlpm.Roles))))</f>
        <v>Technical Support Specialist</v>
      </c>
      <c r="H96" s="16" t="str" cm="1">
        <f t="array" ref="H96" ca="1">INDEX(Lookup!$B$2:$B$7,RANDBETWEEN(1,6))</f>
        <v>Belfast</v>
      </c>
      <c r="I96" s="22">
        <f t="shared" ca="1" si="15"/>
        <v>43923</v>
      </c>
      <c r="J96" s="22" t="str">
        <f t="shared" ca="1" si="16"/>
        <v/>
      </c>
      <c r="K96" s="16" t="str">
        <f t="shared" ca="1" si="17"/>
        <v>Active</v>
      </c>
      <c r="L96" s="26">
        <f ca="1">_xlfn.XLOOKUP(G96,Lookup!$P$2:$P$28,Lookup!$Q$2:$Q$28)*(1+MIN(X96*3%,30%))</f>
        <v>45000</v>
      </c>
      <c r="M96" s="24">
        <f t="shared" ca="1" si="27"/>
        <v>3</v>
      </c>
      <c r="N96" s="24">
        <f t="shared" ca="1" si="18"/>
        <v>38</v>
      </c>
      <c r="O96" s="24">
        <f t="shared" ca="1" si="19"/>
        <v>14</v>
      </c>
      <c r="P96" s="24">
        <f t="shared" ca="1" si="20"/>
        <v>15</v>
      </c>
      <c r="Q96" s="16" t="str">
        <f t="shared" ca="1" si="21"/>
        <v>Not Promoted</v>
      </c>
      <c r="R96" s="16" t="str" cm="1">
        <f t="array" ref="R96" ca="1">INDEX(Lookup!$E$2:$E$6,RANDBETWEEN(1,5))</f>
        <v>Dipolma</v>
      </c>
      <c r="S96" s="16" t="str" cm="1">
        <f t="array" ref="S96" ca="1">INDEX(Lookup!$J$2:$J$11,RANDBETWEEN(1,10))</f>
        <v>Sophia Martin</v>
      </c>
      <c r="T96" s="16" t="str">
        <f t="shared" ca="1" si="22"/>
        <v>ava.kelly@hranalytics.com</v>
      </c>
      <c r="U96" s="16" t="str">
        <f t="shared" ca="1" si="23"/>
        <v>0855641016</v>
      </c>
      <c r="V96" s="16" t="str" cm="1">
        <f t="array" ref="V96" ca="1">_xlfn.LET(_xlpm.r,RANDBETWEEN(1,100),_xlfn.IFS(_xlpm.r&lt;=70,"Full-Time",_xlpm.r&lt;=85,"Part-Time",_xlpm.r&lt;=95,"Contract",TRUE,"Intern"))</f>
        <v>Contract</v>
      </c>
      <c r="W96" s="16" cm="1">
        <f t="array" ref="W96" ca="1">IF(K96&lt;&gt;"Active",0,_xlfn.IFS(M96=5,L96*15%,M96=4,L96*10%,M96=3,L96*5%,M96=2,L96*2%,TRUE,0))</f>
        <v>0</v>
      </c>
      <c r="X96" s="24">
        <f t="shared" ca="1" si="24"/>
        <v>6</v>
      </c>
      <c r="Y96" s="24">
        <f t="shared" ca="1" si="25"/>
        <v>1</v>
      </c>
    </row>
    <row r="97" spans="1:25">
      <c r="A97" s="16" t="str">
        <f t="shared" si="26"/>
        <v>EMP096</v>
      </c>
      <c r="B97" s="16" t="str" cm="1">
        <f t="array" ref="B97" ca="1">IF(D97="Male",INDEX(Lookup!$L$2:$L$13,RANDBETWEEN(1,12)),IF(D97="Female",INDEX(Lookup!$M$2:$M$13,RANDBETWEEN(1,12)),INDEX(Lookup!$N$2:$N$13,RANDBETWEEN(1,12))))</f>
        <v>Oliver</v>
      </c>
      <c r="C97" s="16" t="str" cm="1">
        <f t="array" ref="C97" ca="1">INDEX(Lookup!$K$2:$K$31,RANDBETWEEN(1,30))</f>
        <v>Hill</v>
      </c>
      <c r="D97" s="16" t="str" cm="1">
        <f t="array" ref="D97" ca="1">INDEX(Lookup!$H$2:$H$4,RANDBETWEEN(1,3))</f>
        <v>Male</v>
      </c>
      <c r="E97" s="16">
        <f t="shared" ca="1" si="14"/>
        <v>22</v>
      </c>
      <c r="F97" s="16" t="str" cm="1">
        <f t="array" ref="F97" ca="1">INDEX(Lookup!$A$2:$A$10,RANDBETWEEN(1,9))</f>
        <v>HR</v>
      </c>
      <c r="G97" s="16" t="str" cm="1">
        <f t="array" ref="G97" ca="1">_xlfn.LET(_xlpm.Roles,_xlfn._xlws.FILTER(Lookup!$P$2:$P$28,Lookup!$O$2:$O$28=F97),INDEX(_xlpm.Roles,RANDBETWEEN(1,ROWS(_xlpm.Roles))))</f>
        <v>HR Manager</v>
      </c>
      <c r="H97" s="16" t="str" cm="1">
        <f t="array" ref="H97" ca="1">INDEX(Lookup!$B$2:$B$7,RANDBETWEEN(1,6))</f>
        <v>Belfast</v>
      </c>
      <c r="I97" s="22">
        <f t="shared" ca="1" si="15"/>
        <v>45731</v>
      </c>
      <c r="J97" s="22">
        <f t="shared" ca="1" si="16"/>
        <v>47203</v>
      </c>
      <c r="K97" s="16" t="str">
        <f t="shared" ca="1" si="17"/>
        <v>Resigned</v>
      </c>
      <c r="L97" s="26">
        <f ca="1">_xlfn.XLOOKUP(G97,Lookup!$P$2:$P$28,Lookup!$Q$2:$Q$28)*(1+MIN(X97*3%,30%))</f>
        <v>80600</v>
      </c>
      <c r="M97" s="24">
        <f t="shared" ca="1" si="27"/>
        <v>3</v>
      </c>
      <c r="N97" s="24">
        <f t="shared" ca="1" si="18"/>
        <v>27</v>
      </c>
      <c r="O97" s="24">
        <f t="shared" ca="1" si="19"/>
        <v>15</v>
      </c>
      <c r="P97" s="24">
        <f t="shared" ca="1" si="20"/>
        <v>36</v>
      </c>
      <c r="Q97" s="16" t="str">
        <f t="shared" ca="1" si="21"/>
        <v>Promoted</v>
      </c>
      <c r="R97" s="16" t="str" cm="1">
        <f t="array" ref="R97" ca="1">INDEX(Lookup!$E$2:$E$6,RANDBETWEEN(1,5))</f>
        <v>Dipolma</v>
      </c>
      <c r="S97" s="16" t="str" cm="1">
        <f t="array" ref="S97" ca="1">INDEX(Lookup!$J$2:$J$11,RANDBETWEEN(1,10))</f>
        <v>Michael Brown</v>
      </c>
      <c r="T97" s="16" t="str">
        <f t="shared" ca="1" si="22"/>
        <v>oliver.hill@hranalytics.com</v>
      </c>
      <c r="U97" s="16" t="str">
        <f t="shared" ca="1" si="23"/>
        <v>0889180835</v>
      </c>
      <c r="V97" s="16" t="str" cm="1">
        <f t="array" ref="V97" ca="1">_xlfn.LET(_xlpm.r,RANDBETWEEN(1,100),_xlfn.IFS(_xlpm.r&lt;=70,"Full-Time",_xlpm.r&lt;=85,"Part-Time",_xlpm.r&lt;=95,"Contract",TRUE,"Intern"))</f>
        <v>Part-Time</v>
      </c>
      <c r="W97" s="16" cm="1">
        <f t="array" ref="W97" ca="1">IF(K97&lt;&gt;"Active",0,_xlfn.IFS(M97=5,L97*15%,M97=4,L97*10%,M97=3,L97*5%,M97=2,L97*2%,TRUE,0))</f>
        <v>0</v>
      </c>
      <c r="X97" s="24">
        <f t="shared" ca="1" si="24"/>
        <v>1</v>
      </c>
      <c r="Y97" s="24">
        <f t="shared" ca="1" si="25"/>
        <v>3</v>
      </c>
    </row>
    <row r="98" spans="1:25">
      <c r="A98" s="16" t="str">
        <f t="shared" si="26"/>
        <v>EMP097</v>
      </c>
      <c r="B98" s="16" t="str" cm="1">
        <f t="array" ref="B98" ca="1">IF(D98="Male",INDEX(Lookup!$L$2:$L$13,RANDBETWEEN(1,12)),IF(D98="Female",INDEX(Lookup!$M$2:$M$13,RANDBETWEEN(1,12)),INDEX(Lookup!$N$2:$N$13,RANDBETWEEN(1,12))))</f>
        <v>Ava</v>
      </c>
      <c r="C98" s="16" t="str" cm="1">
        <f t="array" ref="C98" ca="1">INDEX(Lookup!$K$2:$K$31,RANDBETWEEN(1,30))</f>
        <v>Thomas</v>
      </c>
      <c r="D98" s="16" t="str" cm="1">
        <f t="array" ref="D98" ca="1">INDEX(Lookup!$H$2:$H$4,RANDBETWEEN(1,3))</f>
        <v>Female</v>
      </c>
      <c r="E98" s="16">
        <f t="shared" ca="1" si="14"/>
        <v>49</v>
      </c>
      <c r="F98" s="16" t="str" cm="1">
        <f t="array" ref="F98" ca="1">INDEX(Lookup!$A$2:$A$10,RANDBETWEEN(1,9))</f>
        <v>Procurement</v>
      </c>
      <c r="G98" s="16" t="str" cm="1">
        <f t="array" ref="G98" ca="1">_xlfn.LET(_xlpm.Roles,_xlfn._xlws.FILTER(Lookup!$P$2:$P$28,Lookup!$O$2:$O$28=F98),INDEX(_xlpm.Roles,RANDBETWEEN(1,ROWS(_xlpm.Roles))))</f>
        <v>Procurement Officer</v>
      </c>
      <c r="H98" s="16" t="str" cm="1">
        <f t="array" ref="H98" ca="1">INDEX(Lookup!$B$2:$B$7,RANDBETWEEN(1,6))</f>
        <v>Belfast</v>
      </c>
      <c r="I98" s="22">
        <f t="shared" ca="1" si="15"/>
        <v>43573</v>
      </c>
      <c r="J98" s="22" t="str">
        <f t="shared" ca="1" si="16"/>
        <v/>
      </c>
      <c r="K98" s="16" t="str">
        <f t="shared" ca="1" si="17"/>
        <v>Active</v>
      </c>
      <c r="L98" s="26">
        <f ca="1">_xlfn.XLOOKUP(G98,Lookup!$P$2:$P$28,Lookup!$Q$2:$Q$28)*(1+MIN(X98*3%,30%))</f>
        <v>50400</v>
      </c>
      <c r="M98" s="24">
        <f t="shared" ca="1" si="27"/>
        <v>1</v>
      </c>
      <c r="N98" s="24">
        <f t="shared" ca="1" si="18"/>
        <v>49</v>
      </c>
      <c r="O98" s="24">
        <f t="shared" ca="1" si="19"/>
        <v>13</v>
      </c>
      <c r="P98" s="24">
        <f t="shared" ca="1" si="20"/>
        <v>24</v>
      </c>
      <c r="Q98" s="16" t="str">
        <f t="shared" ca="1" si="21"/>
        <v>Promoted</v>
      </c>
      <c r="R98" s="16" t="str" cm="1">
        <f t="array" ref="R98" ca="1">INDEX(Lookup!$E$2:$E$6,RANDBETWEEN(1,5))</f>
        <v>High School</v>
      </c>
      <c r="S98" s="16" t="str" cm="1">
        <f t="array" ref="S98" ca="1">INDEX(Lookup!$J$2:$J$11,RANDBETWEEN(1,10))</f>
        <v>Daniel Kelly</v>
      </c>
      <c r="T98" s="16" t="str">
        <f t="shared" ca="1" si="22"/>
        <v>ava.thomas@hranalytics.com</v>
      </c>
      <c r="U98" s="16" t="str">
        <f t="shared" ca="1" si="23"/>
        <v>0863285897</v>
      </c>
      <c r="V98" s="16" t="str" cm="1">
        <f t="array" ref="V98" ca="1">_xlfn.LET(_xlpm.r,RANDBETWEEN(1,100),_xlfn.IFS(_xlpm.r&lt;=70,"Full-Time",_xlpm.r&lt;=85,"Part-Time",_xlpm.r&lt;=95,"Contract",TRUE,"Intern"))</f>
        <v>Part-Time</v>
      </c>
      <c r="W98" s="16" cm="1">
        <f t="array" ref="W98" ca="1">IF(K98&lt;&gt;"Active",0,_xlfn.IFS(M98=5,L98*15%,M98=4,L98*10%,M98=3,L98*5%,M98=2,L98*2%,TRUE,0))</f>
        <v>5040</v>
      </c>
      <c r="X98" s="24">
        <f t="shared" ca="1" si="24"/>
        <v>7</v>
      </c>
      <c r="Y98" s="24">
        <f t="shared" ca="1" si="25"/>
        <v>1</v>
      </c>
    </row>
    <row r="99" spans="1:25">
      <c r="A99" s="16" t="str">
        <f t="shared" si="26"/>
        <v>EMP098</v>
      </c>
      <c r="B99" s="16" t="str" cm="1">
        <f t="array" ref="B99" ca="1">IF(D99="Male",INDEX(Lookup!$L$2:$L$13,RANDBETWEEN(1,12)),IF(D99="Female",INDEX(Lookup!$M$2:$M$13,RANDBETWEEN(1,12)),INDEX(Lookup!$N$2:$N$13,RANDBETWEEN(1,12))))</f>
        <v>Robin</v>
      </c>
      <c r="C99" s="16" t="str" cm="1">
        <f t="array" ref="C99" ca="1">INDEX(Lookup!$K$2:$K$31,RANDBETWEEN(1,30))</f>
        <v>Hall</v>
      </c>
      <c r="D99" s="16" t="str" cm="1">
        <f t="array" ref="D99" ca="1">INDEX(Lookup!$H$2:$H$4,RANDBETWEEN(1,3))</f>
        <v>Other</v>
      </c>
      <c r="E99" s="16">
        <f t="shared" ca="1" si="14"/>
        <v>47</v>
      </c>
      <c r="F99" s="16" t="str" cm="1">
        <f t="array" ref="F99" ca="1">INDEX(Lookup!$A$2:$A$10,RANDBETWEEN(1,9))</f>
        <v>HR</v>
      </c>
      <c r="G99" s="16" t="str" cm="1">
        <f t="array" ref="G99" ca="1">_xlfn.LET(_xlpm.Roles,_xlfn._xlws.FILTER(Lookup!$P$2:$P$28,Lookup!$O$2:$O$28=F99),INDEX(_xlpm.Roles,RANDBETWEEN(1,ROWS(_xlpm.Roles))))</f>
        <v>HR Assistant</v>
      </c>
      <c r="H99" s="16" t="str" cm="1">
        <f t="array" ref="H99" ca="1">INDEX(Lookup!$B$2:$B$7,RANDBETWEEN(1,6))</f>
        <v>Belfast</v>
      </c>
      <c r="I99" s="22">
        <f t="shared" ca="1" si="15"/>
        <v>45527</v>
      </c>
      <c r="J99" s="22" t="str">
        <f t="shared" ca="1" si="16"/>
        <v/>
      </c>
      <c r="K99" s="16" t="str">
        <f t="shared" ca="1" si="17"/>
        <v>Active</v>
      </c>
      <c r="L99" s="26">
        <f ca="1">_xlfn.XLOOKUP(G99,Lookup!$P$2:$P$28,Lookup!$Q$2:$Q$28)*(1+MIN(X99*3%,30%))</f>
        <v>36040</v>
      </c>
      <c r="M99" s="24">
        <f t="shared" ca="1" si="27"/>
        <v>3</v>
      </c>
      <c r="N99" s="24">
        <f t="shared" ca="1" si="18"/>
        <v>19</v>
      </c>
      <c r="O99" s="24">
        <f t="shared" ca="1" si="19"/>
        <v>15</v>
      </c>
      <c r="P99" s="24">
        <f t="shared" ca="1" si="20"/>
        <v>34</v>
      </c>
      <c r="Q99" s="16" t="str">
        <f t="shared" ca="1" si="21"/>
        <v>Promoted</v>
      </c>
      <c r="R99" s="16" t="str" cm="1">
        <f t="array" ref="R99" ca="1">INDEX(Lookup!$E$2:$E$6,RANDBETWEEN(1,5))</f>
        <v>High School</v>
      </c>
      <c r="S99" s="16" t="str" cm="1">
        <f t="array" ref="S99" ca="1">INDEX(Lookup!$J$2:$J$11,RANDBETWEEN(1,10))</f>
        <v>Olivia Smith</v>
      </c>
      <c r="T99" s="16" t="str">
        <f t="shared" ca="1" si="22"/>
        <v>robin.hall@hranalytics.com</v>
      </c>
      <c r="U99" s="16" t="str">
        <f t="shared" ca="1" si="23"/>
        <v>0877989106</v>
      </c>
      <c r="V99" s="16" t="str" cm="1">
        <f t="array" ref="V99" ca="1">_xlfn.LET(_xlpm.r,RANDBETWEEN(1,100),_xlfn.IFS(_xlpm.r&lt;=70,"Full-Time",_xlpm.r&lt;=85,"Part-Time",_xlpm.r&lt;=95,"Contract",TRUE,"Intern"))</f>
        <v>Full-Time</v>
      </c>
      <c r="W99" s="16" cm="1">
        <f t="array" ref="W99" ca="1">IF(K99&lt;&gt;"Active",0,_xlfn.IFS(M99=5,L99*15%,M99=4,L99*10%,M99=3,L99*5%,M99=2,L99*2%,TRUE,0))</f>
        <v>720.8</v>
      </c>
      <c r="X99" s="24">
        <f t="shared" ca="1" si="24"/>
        <v>2</v>
      </c>
      <c r="Y99" s="24">
        <f t="shared" ca="1" si="25"/>
        <v>2</v>
      </c>
    </row>
    <row r="100" spans="1:25">
      <c r="A100" s="16" t="str">
        <f t="shared" si="26"/>
        <v>EMP099</v>
      </c>
      <c r="B100" s="16" t="str" cm="1">
        <f t="array" ref="B100" ca="1">IF(D100="Male",INDEX(Lookup!$L$2:$L$13,RANDBETWEEN(1,12)),IF(D100="Female",INDEX(Lookup!$M$2:$M$13,RANDBETWEEN(1,12)),INDEX(Lookup!$N$2:$N$13,RANDBETWEEN(1,12))))</f>
        <v>Taylor</v>
      </c>
      <c r="C100" s="16" t="str" cm="1">
        <f t="array" ref="C100" ca="1">INDEX(Lookup!$K$2:$K$31,RANDBETWEEN(1,30))</f>
        <v>Thomas</v>
      </c>
      <c r="D100" s="16" t="str" cm="1">
        <f t="array" ref="D100" ca="1">INDEX(Lookup!$H$2:$H$4,RANDBETWEEN(1,3))</f>
        <v>Other</v>
      </c>
      <c r="E100" s="16">
        <f t="shared" ca="1" si="14"/>
        <v>32</v>
      </c>
      <c r="F100" s="16" t="str" cm="1">
        <f t="array" ref="F100" ca="1">INDEX(Lookup!$A$2:$A$10,RANDBETWEEN(1,9))</f>
        <v>HR</v>
      </c>
      <c r="G100" s="16" t="str" cm="1">
        <f t="array" ref="G100" ca="1">_xlfn.LET(_xlpm.Roles,_xlfn._xlws.FILTER(Lookup!$P$2:$P$28,Lookup!$O$2:$O$28=F100),INDEX(_xlpm.Roles,RANDBETWEEN(1,ROWS(_xlpm.Roles))))</f>
        <v>HR Manager</v>
      </c>
      <c r="H100" s="16" t="str" cm="1">
        <f t="array" ref="H100" ca="1">INDEX(Lookup!$B$2:$B$7,RANDBETWEEN(1,6))</f>
        <v>Galway</v>
      </c>
      <c r="I100" s="22">
        <f t="shared" ca="1" si="15"/>
        <v>44069</v>
      </c>
      <c r="J100" s="22">
        <f t="shared" ca="1" si="16"/>
        <v>44308</v>
      </c>
      <c r="K100" s="16" t="str">
        <f t="shared" ca="1" si="17"/>
        <v>Resigned</v>
      </c>
      <c r="L100" s="26">
        <f ca="1">_xlfn.XLOOKUP(G100,Lookup!$P$2:$P$28,Lookup!$Q$2:$Q$28)*(1+MIN(X100*3%,30%))</f>
        <v>72800</v>
      </c>
      <c r="M100" s="24">
        <f t="shared" ca="1" si="27"/>
        <v>2</v>
      </c>
      <c r="N100" s="24">
        <f t="shared" ca="1" si="18"/>
        <v>75</v>
      </c>
      <c r="O100" s="24">
        <f t="shared" ca="1" si="19"/>
        <v>2</v>
      </c>
      <c r="P100" s="24">
        <f t="shared" ca="1" si="20"/>
        <v>15</v>
      </c>
      <c r="Q100" s="16" t="str">
        <f t="shared" ca="1" si="21"/>
        <v>Not Promoted</v>
      </c>
      <c r="R100" s="16" t="str" cm="1">
        <f t="array" ref="R100" ca="1">INDEX(Lookup!$E$2:$E$6,RANDBETWEEN(1,5))</f>
        <v>Master's</v>
      </c>
      <c r="S100" s="16" t="str" cm="1">
        <f t="array" ref="S100" ca="1">INDEX(Lookup!$J$2:$J$11,RANDBETWEEN(1,10))</f>
        <v>Sarah Johnson</v>
      </c>
      <c r="T100" s="16" t="str">
        <f t="shared" ca="1" si="22"/>
        <v>taylor.thomas@hranalytics.com</v>
      </c>
      <c r="U100" s="16" t="str">
        <f t="shared" ca="1" si="23"/>
        <v>0868371970</v>
      </c>
      <c r="V100" s="16" t="str" cm="1">
        <f t="array" ref="V100" ca="1">_xlfn.LET(_xlpm.r,RANDBETWEEN(1,100),_xlfn.IFS(_xlpm.r&lt;=70,"Full-Time",_xlpm.r&lt;=85,"Part-Time",_xlpm.r&lt;=95,"Contract",TRUE,"Intern"))</f>
        <v>Part-Time</v>
      </c>
      <c r="W100" s="16" cm="1">
        <f t="array" ref="W100" ca="1">IF(K100&lt;&gt;"Active",0,_xlfn.IFS(M100=5,L100*15%,M100=4,L100*10%,M100=3,L100*5%,M100=2,L100*2%,TRUE,0))</f>
        <v>0</v>
      </c>
      <c r="X100" s="24">
        <f t="shared" ca="1" si="24"/>
        <v>6</v>
      </c>
      <c r="Y100" s="24">
        <f t="shared" ca="1" si="25"/>
        <v>2</v>
      </c>
    </row>
    <row r="101" spans="1:25">
      <c r="A101" s="16" t="str">
        <f t="shared" si="26"/>
        <v>EMP100</v>
      </c>
      <c r="B101" s="16" t="str" cm="1">
        <f t="array" ref="B101" ca="1">IF(D101="Male",INDEX(Lookup!$L$2:$L$13,RANDBETWEEN(1,12)),IF(D101="Female",INDEX(Lookup!$M$2:$M$13,RANDBETWEEN(1,12)),INDEX(Lookup!$N$2:$N$13,RANDBETWEEN(1,12))))</f>
        <v>Emma</v>
      </c>
      <c r="C101" s="16" t="str" cm="1">
        <f t="array" ref="C101" ca="1">INDEX(Lookup!$K$2:$K$31,RANDBETWEEN(1,30))</f>
        <v>White</v>
      </c>
      <c r="D101" s="16" t="str" cm="1">
        <f t="array" ref="D101" ca="1">INDEX(Lookup!$H$2:$H$4,RANDBETWEEN(1,3))</f>
        <v>Female</v>
      </c>
      <c r="E101" s="16">
        <f t="shared" ca="1" si="14"/>
        <v>44</v>
      </c>
      <c r="F101" s="16" t="str" cm="1">
        <f t="array" ref="F101" ca="1">INDEX(Lookup!$A$2:$A$10,RANDBETWEEN(1,9))</f>
        <v>IT</v>
      </c>
      <c r="G101" s="16" t="str" cm="1">
        <f t="array" ref="G101" ca="1">_xlfn.LET(_xlpm.Roles,_xlfn._xlws.FILTER(Lookup!$P$2:$P$28,Lookup!$O$2:$O$28=F101),INDEX(_xlpm.Roles,RANDBETWEEN(1,ROWS(_xlpm.Roles))))</f>
        <v>Data Analyst</v>
      </c>
      <c r="H101" s="16" t="str" cm="1">
        <f t="array" ref="H101" ca="1">INDEX(Lookup!$B$2:$B$7,RANDBETWEEN(1,6))</f>
        <v>Waterford</v>
      </c>
      <c r="I101" s="22">
        <f t="shared" ca="1" si="15"/>
        <v>43583</v>
      </c>
      <c r="J101" s="22" t="str">
        <f t="shared" ca="1" si="16"/>
        <v/>
      </c>
      <c r="K101" s="16" t="str">
        <f t="shared" ca="1" si="17"/>
        <v>Active</v>
      </c>
      <c r="L101" s="26">
        <f ca="1">_xlfn.XLOOKUP(G101,Lookup!$P$2:$P$28,Lookup!$Q$2:$Q$28)*(1+MIN(X101*3%,30%))</f>
        <v>64900</v>
      </c>
      <c r="M101" s="24">
        <f t="shared" ca="1" si="27"/>
        <v>5</v>
      </c>
      <c r="N101" s="24">
        <f t="shared" ca="1" si="18"/>
        <v>37</v>
      </c>
      <c r="O101" s="24">
        <f t="shared" ca="1" si="19"/>
        <v>20</v>
      </c>
      <c r="P101" s="24">
        <f t="shared" ca="1" si="20"/>
        <v>5</v>
      </c>
      <c r="Q101" s="16" t="str">
        <f t="shared" ca="1" si="21"/>
        <v>Promoted</v>
      </c>
      <c r="R101" s="16" t="str" cm="1">
        <f t="array" ref="R101" ca="1">INDEX(Lookup!$E$2:$E$6,RANDBETWEEN(1,5))</f>
        <v>Bachelor's</v>
      </c>
      <c r="S101" s="16" t="str" cm="1">
        <f t="array" ref="S101" ca="1">INDEX(Lookup!$J$2:$J$11,RANDBETWEEN(1,10))</f>
        <v>Olivia Smith</v>
      </c>
      <c r="T101" s="16" t="str">
        <f t="shared" ca="1" si="22"/>
        <v>emma.white@hranalytics.com</v>
      </c>
      <c r="U101" s="16" t="str">
        <f t="shared" ca="1" si="23"/>
        <v>0854555909</v>
      </c>
      <c r="V101" s="16" t="str" cm="1">
        <f t="array" ref="V101" ca="1">_xlfn.LET(_xlpm.r,RANDBETWEEN(1,100),_xlfn.IFS(_xlpm.r&lt;=70,"Full-Time",_xlpm.r&lt;=85,"Part-Time",_xlpm.r&lt;=95,"Contract",TRUE,"Intern"))</f>
        <v>Intern</v>
      </c>
      <c r="W101" s="16" cm="1">
        <f t="array" ref="W101" ca="1">IF(K101&lt;&gt;"Active",0,_xlfn.IFS(M101=5,L101*15%,M101=4,L101*10%,M101=3,L101*5%,M101=2,L101*2%,TRUE,0))</f>
        <v>6490</v>
      </c>
      <c r="X101" s="24">
        <f t="shared" ca="1" si="24"/>
        <v>7</v>
      </c>
      <c r="Y101" s="24">
        <f t="shared" ca="1" si="25"/>
        <v>2</v>
      </c>
    </row>
    <row r="102" spans="1:25">
      <c r="A102" s="16" t="str">
        <f t="shared" si="26"/>
        <v>EMP101</v>
      </c>
      <c r="B102" s="16" t="str" cm="1">
        <f t="array" ref="B102" ca="1">IF(D102="Male",INDEX(Lookup!$L$2:$L$13,RANDBETWEEN(1,12)),IF(D102="Female",INDEX(Lookup!$M$2:$M$13,RANDBETWEEN(1,12)),INDEX(Lookup!$N$2:$N$13,RANDBETWEEN(1,12))))</f>
        <v>Amelia</v>
      </c>
      <c r="C102" s="16" t="str" cm="1">
        <f t="array" ref="C102" ca="1">INDEX(Lookup!$K$2:$K$31,RANDBETWEEN(1,30))</f>
        <v>Scott</v>
      </c>
      <c r="D102" s="16" t="str" cm="1">
        <f t="array" ref="D102" ca="1">INDEX(Lookup!$H$2:$H$4,RANDBETWEEN(1,3))</f>
        <v>Female</v>
      </c>
      <c r="E102" s="16">
        <f t="shared" ca="1" si="14"/>
        <v>35</v>
      </c>
      <c r="F102" s="16" t="str" cm="1">
        <f t="array" ref="F102" ca="1">INDEX(Lookup!$A$2:$A$10,RANDBETWEEN(1,9))</f>
        <v>Legal</v>
      </c>
      <c r="G102" s="16" t="str" cm="1">
        <f t="array" ref="G102" ca="1">_xlfn.LET(_xlpm.Roles,_xlfn._xlws.FILTER(Lookup!$P$2:$P$28,Lookup!$O$2:$O$28=F102),INDEX(_xlpm.Roles,RANDBETWEEN(1,ROWS(_xlpm.Roles))))</f>
        <v>Legal Executive</v>
      </c>
      <c r="H102" s="16" t="str" cm="1">
        <f t="array" ref="H102" ca="1">INDEX(Lookup!$B$2:$B$7,RANDBETWEEN(1,6))</f>
        <v>Cork</v>
      </c>
      <c r="I102" s="22">
        <f t="shared" ca="1" si="15"/>
        <v>44667</v>
      </c>
      <c r="J102" s="22" t="str">
        <f t="shared" ca="1" si="16"/>
        <v/>
      </c>
      <c r="K102" s="16" t="str">
        <f t="shared" ca="1" si="17"/>
        <v>Active</v>
      </c>
      <c r="L102" s="26">
        <f ca="1">_xlfn.XLOOKUP(G102,Lookup!$P$2:$P$28,Lookup!$Q$2:$Q$28)*(1+MIN(X102*3%,30%))</f>
        <v>61360</v>
      </c>
      <c r="M102" s="24">
        <f t="shared" ca="1" si="27"/>
        <v>1</v>
      </c>
      <c r="N102" s="24">
        <f t="shared" ca="1" si="18"/>
        <v>48</v>
      </c>
      <c r="O102" s="24">
        <f t="shared" ca="1" si="19"/>
        <v>20</v>
      </c>
      <c r="P102" s="24">
        <f t="shared" ca="1" si="20"/>
        <v>0</v>
      </c>
      <c r="Q102" s="16" t="str">
        <f t="shared" ca="1" si="21"/>
        <v>Promoted</v>
      </c>
      <c r="R102" s="16" t="str" cm="1">
        <f t="array" ref="R102" ca="1">INDEX(Lookup!$E$2:$E$6,RANDBETWEEN(1,5))</f>
        <v>High School</v>
      </c>
      <c r="S102" s="16" t="str" cm="1">
        <f t="array" ref="S102" ca="1">INDEX(Lookup!$J$2:$J$11,RANDBETWEEN(1,10))</f>
        <v>Grace O'Connor</v>
      </c>
      <c r="T102" s="16" t="str">
        <f t="shared" ca="1" si="22"/>
        <v>amelia.scott@hranalytics.com</v>
      </c>
      <c r="U102" s="16" t="str">
        <f t="shared" ca="1" si="23"/>
        <v>0846270912</v>
      </c>
      <c r="V102" s="16" t="str" cm="1">
        <f t="array" ref="V102" ca="1">_xlfn.LET(_xlpm.r,RANDBETWEEN(1,100),_xlfn.IFS(_xlpm.r&lt;=70,"Full-Time",_xlpm.r&lt;=85,"Part-Time",_xlpm.r&lt;=95,"Contract",TRUE,"Intern"))</f>
        <v>Full-Time</v>
      </c>
      <c r="W102" s="16" cm="1">
        <f t="array" ref="W102" ca="1">IF(K102&lt;&gt;"Active",0,_xlfn.IFS(M102=5,L102*15%,M102=4,L102*10%,M102=3,L102*5%,M102=2,L102*2%,TRUE,0))</f>
        <v>1227.2</v>
      </c>
      <c r="X102" s="24">
        <f t="shared" ca="1" si="24"/>
        <v>4</v>
      </c>
      <c r="Y102" s="24">
        <f t="shared" ca="1" si="25"/>
        <v>3</v>
      </c>
    </row>
    <row r="103" spans="1:25">
      <c r="A103" s="16" t="str">
        <f t="shared" si="26"/>
        <v>EMP102</v>
      </c>
      <c r="B103" s="16" t="str" cm="1">
        <f t="array" ref="B103" ca="1">IF(D103="Male",INDEX(Lookup!$L$2:$L$13,RANDBETWEEN(1,12)),IF(D103="Female",INDEX(Lookup!$M$2:$M$13,RANDBETWEEN(1,12)),INDEX(Lookup!$N$2:$N$13,RANDBETWEEN(1,12))))</f>
        <v>Olivia</v>
      </c>
      <c r="C103" s="16" t="str" cm="1">
        <f t="array" ref="C103" ca="1">INDEX(Lookup!$K$2:$K$31,RANDBETWEEN(1,30))</f>
        <v>Thomas</v>
      </c>
      <c r="D103" s="16" t="str" cm="1">
        <f t="array" ref="D103" ca="1">INDEX(Lookup!$H$2:$H$4,RANDBETWEEN(1,3))</f>
        <v>Female</v>
      </c>
      <c r="E103" s="16">
        <f t="shared" ca="1" si="14"/>
        <v>23</v>
      </c>
      <c r="F103" s="16" t="str" cm="1">
        <f t="array" ref="F103" ca="1">INDEX(Lookup!$A$2:$A$10,RANDBETWEEN(1,9))</f>
        <v>HR</v>
      </c>
      <c r="G103" s="16" t="str" cm="1">
        <f t="array" ref="G103" ca="1">_xlfn.LET(_xlpm.Roles,_xlfn._xlws.FILTER(Lookup!$P$2:$P$28,Lookup!$O$2:$O$28=F103),INDEX(_xlpm.Roles,RANDBETWEEN(1,ROWS(_xlpm.Roles))))</f>
        <v>HR Assistant</v>
      </c>
      <c r="H103" s="16" t="str" cm="1">
        <f t="array" ref="H103" ca="1">INDEX(Lookup!$B$2:$B$7,RANDBETWEEN(1,6))</f>
        <v>Cork</v>
      </c>
      <c r="I103" s="22">
        <f t="shared" ca="1" si="15"/>
        <v>45858</v>
      </c>
      <c r="J103" s="22" t="str">
        <f t="shared" ca="1" si="16"/>
        <v/>
      </c>
      <c r="K103" s="16" t="str">
        <f t="shared" ca="1" si="17"/>
        <v>Active</v>
      </c>
      <c r="L103" s="26">
        <f ca="1">_xlfn.XLOOKUP(G103,Lookup!$P$2:$P$28,Lookup!$Q$2:$Q$28)*(1+MIN(X103*3%,30%))</f>
        <v>34000</v>
      </c>
      <c r="M103" s="24">
        <f t="shared" ca="1" si="27"/>
        <v>5</v>
      </c>
      <c r="N103" s="24">
        <f t="shared" ca="1" si="18"/>
        <v>76</v>
      </c>
      <c r="O103" s="24">
        <f t="shared" ca="1" si="19"/>
        <v>10</v>
      </c>
      <c r="P103" s="24">
        <f t="shared" ca="1" si="20"/>
        <v>20</v>
      </c>
      <c r="Q103" s="16" t="str">
        <f t="shared" ca="1" si="21"/>
        <v>Not Promoted</v>
      </c>
      <c r="R103" s="16" t="str" cm="1">
        <f t="array" ref="R103" ca="1">INDEX(Lookup!$E$2:$E$6,RANDBETWEEN(1,5))</f>
        <v>High School</v>
      </c>
      <c r="S103" s="16" t="str" cm="1">
        <f t="array" ref="S103" ca="1">INDEX(Lookup!$J$2:$J$11,RANDBETWEEN(1,10))</f>
        <v>Sophia Martin</v>
      </c>
      <c r="T103" s="16" t="str">
        <f t="shared" ca="1" si="22"/>
        <v>olivia.thomas@hranalytics.com</v>
      </c>
      <c r="U103" s="16" t="str">
        <f t="shared" ca="1" si="23"/>
        <v>0858294619</v>
      </c>
      <c r="V103" s="16" t="str" cm="1">
        <f t="array" ref="V103" ca="1">_xlfn.LET(_xlpm.r,RANDBETWEEN(1,100),_xlfn.IFS(_xlpm.r&lt;=70,"Full-Time",_xlpm.r&lt;=85,"Part-Time",_xlpm.r&lt;=95,"Contract",TRUE,"Intern"))</f>
        <v>Full-Time</v>
      </c>
      <c r="W103" s="16" cm="1">
        <f t="array" ref="W103" ca="1">IF(K103&lt;&gt;"Active",0,_xlfn.IFS(M103=5,L103*15%,M103=4,L103*10%,M103=3,L103*5%,M103=2,L103*2%,TRUE,0))</f>
        <v>5100</v>
      </c>
      <c r="X103" s="24">
        <f t="shared" ca="1" si="24"/>
        <v>1</v>
      </c>
      <c r="Y103" s="24">
        <f t="shared" ca="1" si="25"/>
        <v>1</v>
      </c>
    </row>
    <row r="104" spans="1:25">
      <c r="A104" s="16" t="str">
        <f t="shared" si="26"/>
        <v>EMP103</v>
      </c>
      <c r="B104" s="16" t="str" cm="1">
        <f t="array" ref="B104" ca="1">IF(D104="Male",INDEX(Lookup!$L$2:$L$13,RANDBETWEEN(1,12)),IF(D104="Female",INDEX(Lookup!$M$2:$M$13,RANDBETWEEN(1,12)),INDEX(Lookup!$N$2:$N$13,RANDBETWEEN(1,12))))</f>
        <v>Olivia</v>
      </c>
      <c r="C104" s="16" t="str" cm="1">
        <f t="array" ref="C104" ca="1">INDEX(Lookup!$K$2:$K$31,RANDBETWEEN(1,30))</f>
        <v>Parker</v>
      </c>
      <c r="D104" s="16" t="str" cm="1">
        <f t="array" ref="D104" ca="1">INDEX(Lookup!$H$2:$H$4,RANDBETWEEN(1,3))</f>
        <v>Female</v>
      </c>
      <c r="E104" s="16">
        <f t="shared" ca="1" si="14"/>
        <v>43</v>
      </c>
      <c r="F104" s="16" t="str" cm="1">
        <f t="array" ref="F104" ca="1">INDEX(Lookup!$A$2:$A$10,RANDBETWEEN(1,9))</f>
        <v>Marketing</v>
      </c>
      <c r="G104" s="16" t="str" cm="1">
        <f t="array" ref="G104" ca="1">_xlfn.LET(_xlpm.Roles,_xlfn._xlws.FILTER(Lookup!$P$2:$P$28,Lookup!$O$2:$O$28=F104),INDEX(_xlpm.Roles,RANDBETWEEN(1,ROWS(_xlpm.Roles))))</f>
        <v>Brand Executive</v>
      </c>
      <c r="H104" s="16" t="str" cm="1">
        <f t="array" ref="H104" ca="1">INDEX(Lookup!$B$2:$B$7,RANDBETWEEN(1,6))</f>
        <v>Dublin</v>
      </c>
      <c r="I104" s="22">
        <f t="shared" ca="1" si="15"/>
        <v>43387</v>
      </c>
      <c r="J104" s="22" t="str">
        <f t="shared" ca="1" si="16"/>
        <v/>
      </c>
      <c r="K104" s="16" t="str">
        <f t="shared" ca="1" si="17"/>
        <v>Active</v>
      </c>
      <c r="L104" s="26">
        <f ca="1">_xlfn.XLOOKUP(G104,Lookup!$P$2:$P$28,Lookup!$Q$2:$Q$28)*(1+MIN(X104*3%,30%))</f>
        <v>55660</v>
      </c>
      <c r="M104" s="24">
        <f t="shared" ca="1" si="27"/>
        <v>4</v>
      </c>
      <c r="N104" s="24">
        <f t="shared" ca="1" si="18"/>
        <v>68</v>
      </c>
      <c r="O104" s="24">
        <f t="shared" ca="1" si="19"/>
        <v>1</v>
      </c>
      <c r="P104" s="24">
        <f t="shared" ca="1" si="20"/>
        <v>3</v>
      </c>
      <c r="Q104" s="16" t="str">
        <f t="shared" ca="1" si="21"/>
        <v>Promoted</v>
      </c>
      <c r="R104" s="16" t="str" cm="1">
        <f t="array" ref="R104" ca="1">INDEX(Lookup!$E$2:$E$6,RANDBETWEEN(1,5))</f>
        <v>Bachelor's</v>
      </c>
      <c r="S104" s="16" t="str" cm="1">
        <f t="array" ref="S104" ca="1">INDEX(Lookup!$J$2:$J$11,RANDBETWEEN(1,10))</f>
        <v>Sarah Johnson</v>
      </c>
      <c r="T104" s="16" t="str">
        <f t="shared" ca="1" si="22"/>
        <v>olivia.parker@hranalytics.com</v>
      </c>
      <c r="U104" s="16" t="str">
        <f t="shared" ca="1" si="23"/>
        <v>0872257018</v>
      </c>
      <c r="V104" s="16" t="str" cm="1">
        <f t="array" ref="V104" ca="1">_xlfn.LET(_xlpm.r,RANDBETWEEN(1,100),_xlfn.IFS(_xlpm.r&lt;=70,"Full-Time",_xlpm.r&lt;=85,"Part-Time",_xlpm.r&lt;=95,"Contract",TRUE,"Intern"))</f>
        <v>Part-Time</v>
      </c>
      <c r="W104" s="16" cm="1">
        <f t="array" ref="W104" ca="1">IF(K104&lt;&gt;"Active",0,_xlfn.IFS(M104=5,L104*15%,M104=4,L104*10%,M104=3,L104*5%,M104=2,L104*2%,TRUE,0))</f>
        <v>2783</v>
      </c>
      <c r="X104" s="24">
        <f t="shared" ca="1" si="24"/>
        <v>7</v>
      </c>
      <c r="Y104" s="24">
        <f t="shared" ca="1" si="25"/>
        <v>1</v>
      </c>
    </row>
    <row r="105" spans="1:25">
      <c r="A105" s="16" t="str">
        <f t="shared" si="26"/>
        <v>EMP104</v>
      </c>
      <c r="B105" s="16" t="str" cm="1">
        <f t="array" ref="B105" ca="1">IF(D105="Male",INDEX(Lookup!$L$2:$L$13,RANDBETWEEN(1,12)),IF(D105="Female",INDEX(Lookup!$M$2:$M$13,RANDBETWEEN(1,12)),INDEX(Lookup!$N$2:$N$13,RANDBETWEEN(1,12))))</f>
        <v>Charlotte</v>
      </c>
      <c r="C105" s="16" t="str" cm="1">
        <f t="array" ref="C105" ca="1">INDEX(Lookup!$K$2:$K$31,RANDBETWEEN(1,30))</f>
        <v>Murphy</v>
      </c>
      <c r="D105" s="16" t="str" cm="1">
        <f t="array" ref="D105" ca="1">INDEX(Lookup!$H$2:$H$4,RANDBETWEEN(1,3))</f>
        <v>Female</v>
      </c>
      <c r="E105" s="16">
        <f t="shared" ca="1" si="14"/>
        <v>54</v>
      </c>
      <c r="F105" s="16" t="str" cm="1">
        <f t="array" ref="F105" ca="1">INDEX(Lookup!$A$2:$A$10,RANDBETWEEN(1,9))</f>
        <v>Customer Support</v>
      </c>
      <c r="G105" s="16" t="str" cm="1">
        <f t="array" ref="G105" ca="1">_xlfn.LET(_xlpm.Roles,_xlfn._xlws.FILTER(Lookup!$P$2:$P$28,Lookup!$O$2:$O$28=F105),INDEX(_xlpm.Roles,RANDBETWEEN(1,ROWS(_xlpm.Roles))))</f>
        <v>Customer Support Representative</v>
      </c>
      <c r="H105" s="16" t="str" cm="1">
        <f t="array" ref="H105" ca="1">INDEX(Lookup!$B$2:$B$7,RANDBETWEEN(1,6))</f>
        <v>Galway</v>
      </c>
      <c r="I105" s="22">
        <f t="shared" ca="1" si="15"/>
        <v>45796</v>
      </c>
      <c r="J105" s="22" t="str">
        <f t="shared" ca="1" si="16"/>
        <v/>
      </c>
      <c r="K105" s="16" t="str">
        <f t="shared" ca="1" si="17"/>
        <v>Active</v>
      </c>
      <c r="L105" s="26">
        <f ca="1">_xlfn.XLOOKUP(G105,Lookup!$P$2:$P$28,Lookup!$Q$2:$Q$28)*(1+MIN(X105*3%,30%))</f>
        <v>43560</v>
      </c>
      <c r="M105" s="24">
        <f t="shared" ca="1" si="27"/>
        <v>2</v>
      </c>
      <c r="N105" s="24">
        <f t="shared" ca="1" si="18"/>
        <v>21</v>
      </c>
      <c r="O105" s="24">
        <f t="shared" ca="1" si="19"/>
        <v>18</v>
      </c>
      <c r="P105" s="24">
        <f t="shared" ca="1" si="20"/>
        <v>44</v>
      </c>
      <c r="Q105" s="16" t="str">
        <f t="shared" ca="1" si="21"/>
        <v>Not Promoted</v>
      </c>
      <c r="R105" s="16" t="str" cm="1">
        <f t="array" ref="R105" ca="1">INDEX(Lookup!$E$2:$E$6,RANDBETWEEN(1,5))</f>
        <v>High School</v>
      </c>
      <c r="S105" s="16" t="str" cm="1">
        <f t="array" ref="S105" ca="1">INDEX(Lookup!$J$2:$J$11,RANDBETWEEN(1,10))</f>
        <v>Emma Wilson</v>
      </c>
      <c r="T105" s="16" t="str">
        <f t="shared" ca="1" si="22"/>
        <v>charlotte.murphy@hranalytics.com</v>
      </c>
      <c r="U105" s="16" t="str">
        <f t="shared" ca="1" si="23"/>
        <v>0835967472</v>
      </c>
      <c r="V105" s="16" t="str" cm="1">
        <f t="array" ref="V105" ca="1">_xlfn.LET(_xlpm.r,RANDBETWEEN(1,100),_xlfn.IFS(_xlpm.r&lt;=70,"Full-Time",_xlpm.r&lt;=85,"Part-Time",_xlpm.r&lt;=95,"Contract",TRUE,"Intern"))</f>
        <v>Full-Time</v>
      </c>
      <c r="W105" s="16" cm="1">
        <f t="array" ref="W105" ca="1">IF(K105&lt;&gt;"Active",0,_xlfn.IFS(M105=5,L105*15%,M105=4,L105*10%,M105=3,L105*5%,M105=2,L105*2%,TRUE,0))</f>
        <v>0</v>
      </c>
      <c r="X105" s="24">
        <f t="shared" ca="1" si="24"/>
        <v>1</v>
      </c>
      <c r="Y105" s="24">
        <f t="shared" ca="1" si="25"/>
        <v>1</v>
      </c>
    </row>
    <row r="106" spans="1:25">
      <c r="A106" s="16" t="str">
        <f t="shared" si="26"/>
        <v>EMP105</v>
      </c>
      <c r="B106" s="16" t="str" cm="1">
        <f t="array" ref="B106" ca="1">IF(D106="Male",INDEX(Lookup!$L$2:$L$13,RANDBETWEEN(1,12)),IF(D106="Female",INDEX(Lookup!$M$2:$M$13,RANDBETWEEN(1,12)),INDEX(Lookup!$N$2:$N$13,RANDBETWEEN(1,12))))</f>
        <v>Skyler</v>
      </c>
      <c r="C106" s="16" t="str" cm="1">
        <f t="array" ref="C106" ca="1">INDEX(Lookup!$K$2:$K$31,RANDBETWEEN(1,30))</f>
        <v>Thomas</v>
      </c>
      <c r="D106" s="16" t="str" cm="1">
        <f t="array" ref="D106" ca="1">INDEX(Lookup!$H$2:$H$4,RANDBETWEEN(1,3))</f>
        <v>Other</v>
      </c>
      <c r="E106" s="16">
        <f t="shared" ca="1" si="14"/>
        <v>24</v>
      </c>
      <c r="F106" s="16" t="str" cm="1">
        <f t="array" ref="F106" ca="1">INDEX(Lookup!$A$2:$A$10,RANDBETWEEN(1,9))</f>
        <v>IT</v>
      </c>
      <c r="G106" s="16" t="str" cm="1">
        <f t="array" ref="G106" ca="1">_xlfn.LET(_xlpm.Roles,_xlfn._xlws.FILTER(Lookup!$P$2:$P$28,Lookup!$O$2:$O$28=F106),INDEX(_xlpm.Roles,RANDBETWEEN(1,ROWS(_xlpm.Roles))))</f>
        <v>Data Analyst</v>
      </c>
      <c r="H106" s="16" t="str" cm="1">
        <f t="array" ref="H106" ca="1">INDEX(Lookup!$B$2:$B$7,RANDBETWEEN(1,6))</f>
        <v>Cork</v>
      </c>
      <c r="I106" s="22">
        <f t="shared" ca="1" si="15"/>
        <v>44887</v>
      </c>
      <c r="J106" s="22" t="str">
        <f t="shared" ca="1" si="16"/>
        <v/>
      </c>
      <c r="K106" s="16" t="str">
        <f t="shared" ca="1" si="17"/>
        <v>Active</v>
      </c>
      <c r="L106" s="26">
        <f ca="1">_xlfn.XLOOKUP(G106,Lookup!$P$2:$P$28,Lookup!$Q$2:$Q$28)*(1+MIN(X106*3%,30%))</f>
        <v>59950</v>
      </c>
      <c r="M106" s="24">
        <f t="shared" ca="1" si="27"/>
        <v>4</v>
      </c>
      <c r="N106" s="24">
        <f t="shared" ca="1" si="18"/>
        <v>75</v>
      </c>
      <c r="O106" s="24">
        <f t="shared" ca="1" si="19"/>
        <v>7</v>
      </c>
      <c r="P106" s="24">
        <f t="shared" ca="1" si="20"/>
        <v>20</v>
      </c>
      <c r="Q106" s="16" t="str">
        <f t="shared" ca="1" si="21"/>
        <v>Promoted</v>
      </c>
      <c r="R106" s="16" t="str" cm="1">
        <f t="array" ref="R106" ca="1">INDEX(Lookup!$E$2:$E$6,RANDBETWEEN(1,5))</f>
        <v>PhD</v>
      </c>
      <c r="S106" s="16" t="str" cm="1">
        <f t="array" ref="S106" ca="1">INDEX(Lookup!$J$2:$J$11,RANDBETWEEN(1,10))</f>
        <v>James Taylor</v>
      </c>
      <c r="T106" s="16" t="str">
        <f t="shared" ca="1" si="22"/>
        <v>skyler.thomas@hranalytics.com</v>
      </c>
      <c r="U106" s="16" t="str">
        <f t="shared" ca="1" si="23"/>
        <v>0888849164</v>
      </c>
      <c r="V106" s="16" t="str" cm="1">
        <f t="array" ref="V106" ca="1">_xlfn.LET(_xlpm.r,RANDBETWEEN(1,100),_xlfn.IFS(_xlpm.r&lt;=70,"Full-Time",_xlpm.r&lt;=85,"Part-Time",_xlpm.r&lt;=95,"Contract",TRUE,"Intern"))</f>
        <v>Intern</v>
      </c>
      <c r="W106" s="16" cm="1">
        <f t="array" ref="W106" ca="1">IF(K106&lt;&gt;"Active",0,_xlfn.IFS(M106=5,L106*15%,M106=4,L106*10%,M106=3,L106*5%,M106=2,L106*2%,TRUE,0))</f>
        <v>0</v>
      </c>
      <c r="X106" s="24">
        <f t="shared" ca="1" si="24"/>
        <v>3</v>
      </c>
      <c r="Y106" s="24">
        <f t="shared" ca="1" si="25"/>
        <v>3</v>
      </c>
    </row>
    <row r="107" spans="1:25">
      <c r="A107" s="16" t="str">
        <f t="shared" si="26"/>
        <v>EMP106</v>
      </c>
      <c r="B107" s="16" t="str" cm="1">
        <f t="array" ref="B107" ca="1">IF(D107="Male",INDEX(Lookup!$L$2:$L$13,RANDBETWEEN(1,12)),IF(D107="Female",INDEX(Lookup!$M$2:$M$13,RANDBETWEEN(1,12)),INDEX(Lookup!$N$2:$N$13,RANDBETWEEN(1,12))))</f>
        <v>Quinn</v>
      </c>
      <c r="C107" s="16" t="str" cm="1">
        <f t="array" ref="C107" ca="1">INDEX(Lookup!$K$2:$K$31,RANDBETWEEN(1,30))</f>
        <v>Green</v>
      </c>
      <c r="D107" s="16" t="str" cm="1">
        <f t="array" ref="D107" ca="1">INDEX(Lookup!$H$2:$H$4,RANDBETWEEN(1,3))</f>
        <v>Other</v>
      </c>
      <c r="E107" s="16">
        <f t="shared" ca="1" si="14"/>
        <v>42</v>
      </c>
      <c r="F107" s="16" t="str" cm="1">
        <f t="array" ref="F107" ca="1">INDEX(Lookup!$A$2:$A$10,RANDBETWEEN(1,9))</f>
        <v>Operations</v>
      </c>
      <c r="G107" s="16" t="str" cm="1">
        <f t="array" ref="G107" ca="1">_xlfn.LET(_xlpm.Roles,_xlfn._xlws.FILTER(Lookup!$P$2:$P$28,Lookup!$O$2:$O$28=F107),INDEX(_xlpm.Roles,RANDBETWEEN(1,ROWS(_xlpm.Roles))))</f>
        <v>Operations Manager</v>
      </c>
      <c r="H107" s="16" t="str" cm="1">
        <f t="array" ref="H107" ca="1">INDEX(Lookup!$B$2:$B$7,RANDBETWEEN(1,6))</f>
        <v>Waterford</v>
      </c>
      <c r="I107" s="22">
        <f t="shared" ca="1" si="15"/>
        <v>45341</v>
      </c>
      <c r="J107" s="22" t="str">
        <f t="shared" ca="1" si="16"/>
        <v/>
      </c>
      <c r="K107" s="16" t="str">
        <f t="shared" ca="1" si="17"/>
        <v>Active</v>
      </c>
      <c r="L107" s="26">
        <f ca="1">_xlfn.XLOOKUP(G107,Lookup!$P$2:$P$28,Lookup!$Q$2:$Q$28)*(1+MIN(X107*3%,30%))</f>
        <v>69440</v>
      </c>
      <c r="M107" s="24">
        <f t="shared" ca="1" si="27"/>
        <v>4</v>
      </c>
      <c r="N107" s="24">
        <f t="shared" ca="1" si="18"/>
        <v>34</v>
      </c>
      <c r="O107" s="24">
        <f t="shared" ca="1" si="19"/>
        <v>4</v>
      </c>
      <c r="P107" s="24">
        <f t="shared" ca="1" si="20"/>
        <v>44</v>
      </c>
      <c r="Q107" s="16" t="str">
        <f t="shared" ca="1" si="21"/>
        <v>Promoted</v>
      </c>
      <c r="R107" s="16" t="str" cm="1">
        <f t="array" ref="R107" ca="1">INDEX(Lookup!$E$2:$E$6,RANDBETWEEN(1,5))</f>
        <v>Dipolma</v>
      </c>
      <c r="S107" s="16" t="str" cm="1">
        <f t="array" ref="S107" ca="1">INDEX(Lookup!$J$2:$J$11,RANDBETWEEN(1,10))</f>
        <v>James Taylor</v>
      </c>
      <c r="T107" s="16" t="str">
        <f t="shared" ca="1" si="22"/>
        <v>quinn.green@hranalytics.com</v>
      </c>
      <c r="U107" s="16" t="str">
        <f t="shared" ca="1" si="23"/>
        <v>0839451708</v>
      </c>
      <c r="V107" s="16" t="str" cm="1">
        <f t="array" ref="V107" ca="1">_xlfn.LET(_xlpm.r,RANDBETWEEN(1,100),_xlfn.IFS(_xlpm.r&lt;=70,"Full-Time",_xlpm.r&lt;=85,"Part-Time",_xlpm.r&lt;=95,"Contract",TRUE,"Intern"))</f>
        <v>Full-Time</v>
      </c>
      <c r="W107" s="16" cm="1">
        <f t="array" ref="W107" ca="1">IF(K107&lt;&gt;"Active",0,_xlfn.IFS(M107=5,L107*15%,M107=4,L107*10%,M107=3,L107*5%,M107=2,L107*2%,TRUE,0))</f>
        <v>10416</v>
      </c>
      <c r="X107" s="24">
        <f t="shared" ca="1" si="24"/>
        <v>2</v>
      </c>
      <c r="Y107" s="24">
        <f t="shared" ca="1" si="25"/>
        <v>1</v>
      </c>
    </row>
    <row r="108" spans="1:25">
      <c r="A108" s="16" t="str">
        <f t="shared" si="26"/>
        <v>EMP107</v>
      </c>
      <c r="B108" s="16" t="str" cm="1">
        <f t="array" ref="B108" ca="1">IF(D108="Male",INDEX(Lookup!$L$2:$L$13,RANDBETWEEN(1,12)),IF(D108="Female",INDEX(Lookup!$M$2:$M$13,RANDBETWEEN(1,12)),INDEX(Lookup!$N$2:$N$13,RANDBETWEEN(1,12))))</f>
        <v>Charlotte</v>
      </c>
      <c r="C108" s="16" t="str" cm="1">
        <f t="array" ref="C108" ca="1">INDEX(Lookup!$K$2:$K$31,RANDBETWEEN(1,30))</f>
        <v>Brown</v>
      </c>
      <c r="D108" s="16" t="str" cm="1">
        <f t="array" ref="D108" ca="1">INDEX(Lookup!$H$2:$H$4,RANDBETWEEN(1,3))</f>
        <v>Female</v>
      </c>
      <c r="E108" s="16">
        <f t="shared" ca="1" si="14"/>
        <v>57</v>
      </c>
      <c r="F108" s="16" t="str" cm="1">
        <f t="array" ref="F108" ca="1">INDEX(Lookup!$A$2:$A$10,RANDBETWEEN(1,9))</f>
        <v>Marketing</v>
      </c>
      <c r="G108" s="16" t="str" cm="1">
        <f t="array" ref="G108" ca="1">_xlfn.LET(_xlpm.Roles,_xlfn._xlws.FILTER(Lookup!$P$2:$P$28,Lookup!$O$2:$O$28=F108),INDEX(_xlpm.Roles,RANDBETWEEN(1,ROWS(_xlpm.Roles))))</f>
        <v>Marketing Executive</v>
      </c>
      <c r="H108" s="16" t="str" cm="1">
        <f t="array" ref="H108" ca="1">INDEX(Lookup!$B$2:$B$7,RANDBETWEEN(1,6))</f>
        <v>Galway</v>
      </c>
      <c r="I108" s="22">
        <f t="shared" ca="1" si="15"/>
        <v>45715</v>
      </c>
      <c r="J108" s="22" t="str">
        <f t="shared" ca="1" si="16"/>
        <v/>
      </c>
      <c r="K108" s="16" t="str">
        <f t="shared" ca="1" si="17"/>
        <v>Active</v>
      </c>
      <c r="L108" s="26">
        <f ca="1">_xlfn.XLOOKUP(G108,Lookup!$P$2:$P$28,Lookup!$Q$2:$Q$28)*(1+MIN(X108*3%,30%))</f>
        <v>50820</v>
      </c>
      <c r="M108" s="24">
        <f t="shared" ca="1" si="27"/>
        <v>1</v>
      </c>
      <c r="N108" s="24">
        <f t="shared" ca="1" si="18"/>
        <v>39</v>
      </c>
      <c r="O108" s="24">
        <f t="shared" ca="1" si="19"/>
        <v>14</v>
      </c>
      <c r="P108" s="24">
        <f t="shared" ca="1" si="20"/>
        <v>1</v>
      </c>
      <c r="Q108" s="16" t="str">
        <f t="shared" ca="1" si="21"/>
        <v>Promoted</v>
      </c>
      <c r="R108" s="16" t="str" cm="1">
        <f t="array" ref="R108" ca="1">INDEX(Lookup!$E$2:$E$6,RANDBETWEEN(1,5))</f>
        <v>Dipolma</v>
      </c>
      <c r="S108" s="16" t="str" cm="1">
        <f t="array" ref="S108" ca="1">INDEX(Lookup!$J$2:$J$11,RANDBETWEEN(1,10))</f>
        <v>David Murphy</v>
      </c>
      <c r="T108" s="16" t="str">
        <f t="shared" ca="1" si="22"/>
        <v>charlotte.brown@hranalytics.com</v>
      </c>
      <c r="U108" s="16" t="str">
        <f t="shared" ca="1" si="23"/>
        <v>0894956995</v>
      </c>
      <c r="V108" s="16" t="str" cm="1">
        <f t="array" ref="V108" ca="1">_xlfn.LET(_xlpm.r,RANDBETWEEN(1,100),_xlfn.IFS(_xlpm.r&lt;=70,"Full-Time",_xlpm.r&lt;=85,"Part-Time",_xlpm.r&lt;=95,"Contract",TRUE,"Intern"))</f>
        <v>Full-Time</v>
      </c>
      <c r="W108" s="16" cm="1">
        <f t="array" ref="W108" ca="1">IF(K108&lt;&gt;"Active",0,_xlfn.IFS(M108=5,L108*15%,M108=4,L108*10%,M108=3,L108*5%,M108=2,L108*2%,TRUE,0))</f>
        <v>2541</v>
      </c>
      <c r="X108" s="24">
        <f t="shared" ca="1" si="24"/>
        <v>1</v>
      </c>
      <c r="Y108" s="24">
        <f t="shared" ca="1" si="25"/>
        <v>1</v>
      </c>
    </row>
    <row r="109" spans="1:25">
      <c r="A109" s="16" t="str">
        <f t="shared" si="26"/>
        <v>EMP108</v>
      </c>
      <c r="B109" s="16" t="str" cm="1">
        <f t="array" ref="B109" ca="1">IF(D109="Male",INDEX(Lookup!$L$2:$L$13,RANDBETWEEN(1,12)),IF(D109="Female",INDEX(Lookup!$M$2:$M$13,RANDBETWEEN(1,12)),INDEX(Lookup!$N$2:$N$13,RANDBETWEEN(1,12))))</f>
        <v>Leo</v>
      </c>
      <c r="C109" s="16" t="str" cm="1">
        <f t="array" ref="C109" ca="1">INDEX(Lookup!$K$2:$K$31,RANDBETWEEN(1,30))</f>
        <v>Parker</v>
      </c>
      <c r="D109" s="16" t="str" cm="1">
        <f t="array" ref="D109" ca="1">INDEX(Lookup!$H$2:$H$4,RANDBETWEEN(1,3))</f>
        <v>Male</v>
      </c>
      <c r="E109" s="16">
        <f t="shared" ca="1" si="14"/>
        <v>49</v>
      </c>
      <c r="F109" s="16" t="str" cm="1">
        <f t="array" ref="F109" ca="1">INDEX(Lookup!$A$2:$A$10,RANDBETWEEN(1,9))</f>
        <v>IT</v>
      </c>
      <c r="G109" s="16" t="str" cm="1">
        <f t="array" ref="G109" ca="1">_xlfn.LET(_xlpm.Roles,_xlfn._xlws.FILTER(Lookup!$P$2:$P$28,Lookup!$O$2:$O$28=F109),INDEX(_xlpm.Roles,RANDBETWEEN(1,ROWS(_xlpm.Roles))))</f>
        <v>Business Analyst</v>
      </c>
      <c r="H109" s="16" t="str" cm="1">
        <f t="array" ref="H109" ca="1">INDEX(Lookup!$B$2:$B$7,RANDBETWEEN(1,6))</f>
        <v>Cork</v>
      </c>
      <c r="I109" s="22">
        <f t="shared" ca="1" si="15"/>
        <v>45402</v>
      </c>
      <c r="J109" s="22" t="str">
        <f t="shared" ca="1" si="16"/>
        <v/>
      </c>
      <c r="K109" s="16" t="str">
        <f t="shared" ca="1" si="17"/>
        <v>Active</v>
      </c>
      <c r="L109" s="26">
        <f ca="1">_xlfn.XLOOKUP(G109,Lookup!$P$2:$P$28,Lookup!$Q$2:$Q$28)*(1+MIN(X109*3%,30%))</f>
        <v>72600</v>
      </c>
      <c r="M109" s="24">
        <f t="shared" ca="1" si="27"/>
        <v>1</v>
      </c>
      <c r="N109" s="24">
        <f t="shared" ca="1" si="18"/>
        <v>25</v>
      </c>
      <c r="O109" s="24">
        <f t="shared" ca="1" si="19"/>
        <v>2</v>
      </c>
      <c r="P109" s="24">
        <f t="shared" ca="1" si="20"/>
        <v>0</v>
      </c>
      <c r="Q109" s="16" t="str">
        <f t="shared" ca="1" si="21"/>
        <v>Promoted</v>
      </c>
      <c r="R109" s="16" t="str" cm="1">
        <f t="array" ref="R109" ca="1">INDEX(Lookup!$E$2:$E$6,RANDBETWEEN(1,5))</f>
        <v>Master's</v>
      </c>
      <c r="S109" s="16" t="str" cm="1">
        <f t="array" ref="S109" ca="1">INDEX(Lookup!$J$2:$J$11,RANDBETWEEN(1,10))</f>
        <v>Olivia Smith</v>
      </c>
      <c r="T109" s="16" t="str">
        <f t="shared" ca="1" si="22"/>
        <v>leo.parker@hranalytics.com</v>
      </c>
      <c r="U109" s="16" t="str">
        <f t="shared" ca="1" si="23"/>
        <v>0894193980</v>
      </c>
      <c r="V109" s="16" t="str" cm="1">
        <f t="array" ref="V109" ca="1">_xlfn.LET(_xlpm.r,RANDBETWEEN(1,100),_xlfn.IFS(_xlpm.r&lt;=70,"Full-Time",_xlpm.r&lt;=85,"Part-Time",_xlpm.r&lt;=95,"Contract",TRUE,"Intern"))</f>
        <v>Full-Time</v>
      </c>
      <c r="W109" s="16" cm="1">
        <f t="array" ref="W109" ca="1">IF(K109&lt;&gt;"Active",0,_xlfn.IFS(M109=5,L109*15%,M109=4,L109*10%,M109=3,L109*5%,M109=2,L109*2%,TRUE,0))</f>
        <v>3630</v>
      </c>
      <c r="X109" s="24">
        <f t="shared" ca="1" si="24"/>
        <v>2</v>
      </c>
      <c r="Y109" s="24">
        <f t="shared" ca="1" si="25"/>
        <v>3</v>
      </c>
    </row>
    <row r="110" spans="1:25">
      <c r="A110" s="16" t="str">
        <f t="shared" si="26"/>
        <v>EMP109</v>
      </c>
      <c r="B110" s="16" t="str" cm="1">
        <f t="array" ref="B110" ca="1">IF(D110="Male",INDEX(Lookup!$L$2:$L$13,RANDBETWEEN(1,12)),IF(D110="Female",INDEX(Lookup!$M$2:$M$13,RANDBETWEEN(1,12)),INDEX(Lookup!$N$2:$N$13,RANDBETWEEN(1,12))))</f>
        <v>Charlotte</v>
      </c>
      <c r="C110" s="16" t="str" cm="1">
        <f t="array" ref="C110" ca="1">INDEX(Lookup!$K$2:$K$31,RANDBETWEEN(1,30))</f>
        <v>Scott</v>
      </c>
      <c r="D110" s="16" t="str" cm="1">
        <f t="array" ref="D110" ca="1">INDEX(Lookup!$H$2:$H$4,RANDBETWEEN(1,3))</f>
        <v>Female</v>
      </c>
      <c r="E110" s="16">
        <f t="shared" ca="1" si="14"/>
        <v>54</v>
      </c>
      <c r="F110" s="16" t="str" cm="1">
        <f t="array" ref="F110" ca="1">INDEX(Lookup!$A$2:$A$10,RANDBETWEEN(1,9))</f>
        <v>Procurement</v>
      </c>
      <c r="G110" s="16" t="str" cm="1">
        <f t="array" ref="G110" ca="1">_xlfn.LET(_xlpm.Roles,_xlfn._xlws.FILTER(Lookup!$P$2:$P$28,Lookup!$O$2:$O$28=F110),INDEX(_xlpm.Roles,RANDBETWEEN(1,ROWS(_xlpm.Roles))))</f>
        <v>Procurement Analyst</v>
      </c>
      <c r="H110" s="16" t="str" cm="1">
        <f t="array" ref="H110" ca="1">INDEX(Lookup!$B$2:$B$7,RANDBETWEEN(1,6))</f>
        <v>Cork</v>
      </c>
      <c r="I110" s="22">
        <f t="shared" ca="1" si="15"/>
        <v>44661</v>
      </c>
      <c r="J110" s="22" t="str">
        <f t="shared" ca="1" si="16"/>
        <v/>
      </c>
      <c r="K110" s="16" t="str">
        <f t="shared" ca="1" si="17"/>
        <v>Active</v>
      </c>
      <c r="L110" s="26">
        <f ca="1">_xlfn.XLOOKUP(G110,Lookup!$P$2:$P$28,Lookup!$Q$2:$Q$28)*(1+MIN(X110*3%,30%))</f>
        <v>50000</v>
      </c>
      <c r="M110" s="24">
        <f t="shared" ca="1" si="27"/>
        <v>1</v>
      </c>
      <c r="N110" s="24">
        <f t="shared" ca="1" si="18"/>
        <v>10</v>
      </c>
      <c r="O110" s="24">
        <f t="shared" ca="1" si="19"/>
        <v>6</v>
      </c>
      <c r="P110" s="24">
        <f t="shared" ca="1" si="20"/>
        <v>28</v>
      </c>
      <c r="Q110" s="16" t="str">
        <f t="shared" ca="1" si="21"/>
        <v>Not Promoted</v>
      </c>
      <c r="R110" s="16" t="str" cm="1">
        <f t="array" ref="R110" ca="1">INDEX(Lookup!$E$2:$E$6,RANDBETWEEN(1,5))</f>
        <v>Master's</v>
      </c>
      <c r="S110" s="16" t="str" cm="1">
        <f t="array" ref="S110" ca="1">INDEX(Lookup!$J$2:$J$11,RANDBETWEEN(1,10))</f>
        <v>Sarah Johnson</v>
      </c>
      <c r="T110" s="16" t="str">
        <f t="shared" ca="1" si="22"/>
        <v>charlotte.scott@hranalytics.com</v>
      </c>
      <c r="U110" s="16" t="str">
        <f t="shared" ca="1" si="23"/>
        <v>0874674110</v>
      </c>
      <c r="V110" s="16" t="str" cm="1">
        <f t="array" ref="V110" ca="1">_xlfn.LET(_xlpm.r,RANDBETWEEN(1,100),_xlfn.IFS(_xlpm.r&lt;=70,"Full-Time",_xlpm.r&lt;=85,"Part-Time",_xlpm.r&lt;=95,"Contract",TRUE,"Intern"))</f>
        <v>Full-Time</v>
      </c>
      <c r="W110" s="16" cm="1">
        <f t="array" ref="W110" ca="1">IF(K110&lt;&gt;"Active",0,_xlfn.IFS(M110=5,L110*15%,M110=4,L110*10%,M110=3,L110*5%,M110=2,L110*2%,TRUE,0))</f>
        <v>1000</v>
      </c>
      <c r="X110" s="24">
        <f t="shared" ca="1" si="24"/>
        <v>4</v>
      </c>
      <c r="Y110" s="24">
        <f t="shared" ca="1" si="25"/>
        <v>1</v>
      </c>
    </row>
    <row r="111" spans="1:25">
      <c r="A111" s="16" t="str">
        <f t="shared" si="26"/>
        <v>EMP110</v>
      </c>
      <c r="B111" s="16" t="str" cm="1">
        <f t="array" ref="B111" ca="1">IF(D111="Male",INDEX(Lookup!$L$2:$L$13,RANDBETWEEN(1,12)),IF(D111="Female",INDEX(Lookup!$M$2:$M$13,RANDBETWEEN(1,12)),INDEX(Lookup!$N$2:$N$13,RANDBETWEEN(1,12))))</f>
        <v>Jamie</v>
      </c>
      <c r="C111" s="16" t="str" cm="1">
        <f t="array" ref="C111" ca="1">INDEX(Lookup!$K$2:$K$31,RANDBETWEEN(1,30))</f>
        <v>Green</v>
      </c>
      <c r="D111" s="16" t="str" cm="1">
        <f t="array" ref="D111" ca="1">INDEX(Lookup!$H$2:$H$4,RANDBETWEEN(1,3))</f>
        <v>Other</v>
      </c>
      <c r="E111" s="16">
        <f t="shared" ca="1" si="14"/>
        <v>54</v>
      </c>
      <c r="F111" s="16" t="str" cm="1">
        <f t="array" ref="F111" ca="1">INDEX(Lookup!$A$2:$A$10,RANDBETWEEN(1,9))</f>
        <v>Marketing</v>
      </c>
      <c r="G111" s="16" t="str" cm="1">
        <f t="array" ref="G111" ca="1">_xlfn.LET(_xlpm.Roles,_xlfn._xlws.FILTER(Lookup!$P$2:$P$28,Lookup!$O$2:$O$28=F111),INDEX(_xlpm.Roles,RANDBETWEEN(1,ROWS(_xlpm.Roles))))</f>
        <v>Brand Executive</v>
      </c>
      <c r="H111" s="16" t="str" cm="1">
        <f t="array" ref="H111" ca="1">INDEX(Lookup!$B$2:$B$7,RANDBETWEEN(1,6))</f>
        <v>Belfast</v>
      </c>
      <c r="I111" s="22">
        <f t="shared" ca="1" si="15"/>
        <v>45749</v>
      </c>
      <c r="J111" s="22" t="str">
        <f t="shared" ca="1" si="16"/>
        <v/>
      </c>
      <c r="K111" s="16" t="str">
        <f t="shared" ca="1" si="17"/>
        <v>Active</v>
      </c>
      <c r="L111" s="26">
        <f ca="1">_xlfn.XLOOKUP(G111,Lookup!$P$2:$P$28,Lookup!$Q$2:$Q$28)*(1+MIN(X111*3%,30%))</f>
        <v>54280</v>
      </c>
      <c r="M111" s="24">
        <f t="shared" ca="1" si="27"/>
        <v>3</v>
      </c>
      <c r="N111" s="24">
        <f t="shared" ca="1" si="18"/>
        <v>17</v>
      </c>
      <c r="O111" s="24">
        <f t="shared" ca="1" si="19"/>
        <v>18</v>
      </c>
      <c r="P111" s="24">
        <f t="shared" ca="1" si="20"/>
        <v>56</v>
      </c>
      <c r="Q111" s="16" t="str">
        <f t="shared" ca="1" si="21"/>
        <v>Promoted</v>
      </c>
      <c r="R111" s="16" t="str" cm="1">
        <f t="array" ref="R111" ca="1">INDEX(Lookup!$E$2:$E$6,RANDBETWEEN(1,5))</f>
        <v>PhD</v>
      </c>
      <c r="S111" s="16" t="str" cm="1">
        <f t="array" ref="S111" ca="1">INDEX(Lookup!$J$2:$J$11,RANDBETWEEN(1,10))</f>
        <v>James Taylor</v>
      </c>
      <c r="T111" s="16" t="str">
        <f t="shared" ca="1" si="22"/>
        <v>jamie.green@hranalytics.com</v>
      </c>
      <c r="U111" s="16" t="str">
        <f t="shared" ca="1" si="23"/>
        <v>0889257357</v>
      </c>
      <c r="V111" s="16" t="str" cm="1">
        <f t="array" ref="V111" ca="1">_xlfn.LET(_xlpm.r,RANDBETWEEN(1,100),_xlfn.IFS(_xlpm.r&lt;=70,"Full-Time",_xlpm.r&lt;=85,"Part-Time",_xlpm.r&lt;=95,"Contract",TRUE,"Intern"))</f>
        <v>Full-Time</v>
      </c>
      <c r="W111" s="16" cm="1">
        <f t="array" ref="W111" ca="1">IF(K111&lt;&gt;"Active",0,_xlfn.IFS(M111=5,L111*15%,M111=4,L111*10%,M111=3,L111*5%,M111=2,L111*2%,TRUE,0))</f>
        <v>0</v>
      </c>
      <c r="X111" s="24">
        <f t="shared" ca="1" si="24"/>
        <v>1</v>
      </c>
      <c r="Y111" s="24">
        <f t="shared" ca="1" si="25"/>
        <v>1</v>
      </c>
    </row>
    <row r="112" spans="1:25">
      <c r="A112" s="16" t="str">
        <f t="shared" si="26"/>
        <v>EMP111</v>
      </c>
      <c r="B112" s="16" t="str" cm="1">
        <f t="array" ref="B112" ca="1">IF(D112="Male",INDEX(Lookup!$L$2:$L$13,RANDBETWEEN(1,12)),IF(D112="Female",INDEX(Lookup!$M$2:$M$13,RANDBETWEEN(1,12)),INDEX(Lookup!$N$2:$N$13,RANDBETWEEN(1,12))))</f>
        <v>Jack</v>
      </c>
      <c r="C112" s="16" t="str" cm="1">
        <f t="array" ref="C112" ca="1">INDEX(Lookup!$K$2:$K$31,RANDBETWEEN(1,30))</f>
        <v>Collins</v>
      </c>
      <c r="D112" s="16" t="str" cm="1">
        <f t="array" ref="D112" ca="1">INDEX(Lookup!$H$2:$H$4,RANDBETWEEN(1,3))</f>
        <v>Male</v>
      </c>
      <c r="E112" s="16">
        <f t="shared" ca="1" si="14"/>
        <v>51</v>
      </c>
      <c r="F112" s="16" t="str" cm="1">
        <f t="array" ref="F112" ca="1">INDEX(Lookup!$A$2:$A$10,RANDBETWEEN(1,9))</f>
        <v>Legal</v>
      </c>
      <c r="G112" s="16" t="str" cm="1">
        <f t="array" ref="G112" ca="1">_xlfn.LET(_xlpm.Roles,_xlfn._xlws.FILTER(Lookup!$P$2:$P$28,Lookup!$O$2:$O$28=F112),INDEX(_xlpm.Roles,RANDBETWEEN(1,ROWS(_xlpm.Roles))))</f>
        <v>Legal Assistant</v>
      </c>
      <c r="H112" s="16" t="str" cm="1">
        <f t="array" ref="H112" ca="1">INDEX(Lookup!$B$2:$B$7,RANDBETWEEN(1,6))</f>
        <v>Belfast</v>
      </c>
      <c r="I112" s="22">
        <f t="shared" ca="1" si="15"/>
        <v>44013</v>
      </c>
      <c r="J112" s="22" t="str">
        <f t="shared" ca="1" si="16"/>
        <v/>
      </c>
      <c r="K112" s="16" t="str">
        <f t="shared" ca="1" si="17"/>
        <v>Active</v>
      </c>
      <c r="L112" s="26">
        <f ca="1">_xlfn.XLOOKUP(G112,Lookup!$P$2:$P$28,Lookup!$Q$2:$Q$28)*(1+MIN(X112*3%,30%))</f>
        <v>49560</v>
      </c>
      <c r="M112" s="24">
        <f t="shared" ca="1" si="27"/>
        <v>4</v>
      </c>
      <c r="N112" s="24">
        <f t="shared" ca="1" si="18"/>
        <v>4</v>
      </c>
      <c r="O112" s="24">
        <f t="shared" ca="1" si="19"/>
        <v>9</v>
      </c>
      <c r="P112" s="24">
        <f t="shared" ca="1" si="20"/>
        <v>32</v>
      </c>
      <c r="Q112" s="16" t="str">
        <f t="shared" ca="1" si="21"/>
        <v>Not Promoted</v>
      </c>
      <c r="R112" s="16" t="str" cm="1">
        <f t="array" ref="R112" ca="1">INDEX(Lookup!$E$2:$E$6,RANDBETWEEN(1,5))</f>
        <v>Dipolma</v>
      </c>
      <c r="S112" s="16" t="str" cm="1">
        <f t="array" ref="S112" ca="1">INDEX(Lookup!$J$2:$J$11,RANDBETWEEN(1,10))</f>
        <v>Daniel Kelly</v>
      </c>
      <c r="T112" s="16" t="str">
        <f t="shared" ca="1" si="22"/>
        <v>jack.collins@hranalytics.com</v>
      </c>
      <c r="U112" s="16" t="str">
        <f t="shared" ca="1" si="23"/>
        <v>0861921171</v>
      </c>
      <c r="V112" s="16" t="str" cm="1">
        <f t="array" ref="V112" ca="1">_xlfn.LET(_xlpm.r,RANDBETWEEN(1,100),_xlfn.IFS(_xlpm.r&lt;=70,"Full-Time",_xlpm.r&lt;=85,"Part-Time",_xlpm.r&lt;=95,"Contract",TRUE,"Intern"))</f>
        <v>Contract</v>
      </c>
      <c r="W112" s="16" cm="1">
        <f t="array" ref="W112" ca="1">IF(K112&lt;&gt;"Active",0,_xlfn.IFS(M112=5,L112*15%,M112=4,L112*10%,M112=3,L112*5%,M112=2,L112*2%,TRUE,0))</f>
        <v>0</v>
      </c>
      <c r="X112" s="24">
        <f t="shared" ca="1" si="24"/>
        <v>6</v>
      </c>
      <c r="Y112" s="24">
        <f t="shared" ca="1" si="25"/>
        <v>2</v>
      </c>
    </row>
    <row r="113" spans="1:25">
      <c r="A113" s="16" t="str">
        <f t="shared" si="26"/>
        <v>EMP112</v>
      </c>
      <c r="B113" s="16" t="str" cm="1">
        <f t="array" ref="B113" ca="1">IF(D113="Male",INDEX(Lookup!$L$2:$L$13,RANDBETWEEN(1,12)),IF(D113="Female",INDEX(Lookup!$M$2:$M$13,RANDBETWEEN(1,12)),INDEX(Lookup!$N$2:$N$13,RANDBETWEEN(1,12))))</f>
        <v>Cameron</v>
      </c>
      <c r="C113" s="16" t="str" cm="1">
        <f t="array" ref="C113" ca="1">INDEX(Lookup!$K$2:$K$31,RANDBETWEEN(1,30))</f>
        <v>Martin</v>
      </c>
      <c r="D113" s="16" t="str" cm="1">
        <f t="array" ref="D113" ca="1">INDEX(Lookup!$H$2:$H$4,RANDBETWEEN(1,3))</f>
        <v>Other</v>
      </c>
      <c r="E113" s="16">
        <f t="shared" ca="1" si="14"/>
        <v>42</v>
      </c>
      <c r="F113" s="16" t="str" cm="1">
        <f t="array" ref="F113" ca="1">INDEX(Lookup!$A$2:$A$10,RANDBETWEEN(1,9))</f>
        <v>Operations</v>
      </c>
      <c r="G113" s="16" t="str" cm="1">
        <f t="array" ref="G113" ca="1">_xlfn.LET(_xlpm.Roles,_xlfn._xlws.FILTER(Lookup!$P$2:$P$28,Lookup!$O$2:$O$28=F113),INDEX(_xlpm.Roles,RANDBETWEEN(1,ROWS(_xlpm.Roles))))</f>
        <v>Operations Coordinator</v>
      </c>
      <c r="H113" s="16" t="str" cm="1">
        <f t="array" ref="H113" ca="1">INDEX(Lookup!$B$2:$B$7,RANDBETWEEN(1,6))</f>
        <v>Dublin</v>
      </c>
      <c r="I113" s="22">
        <f t="shared" ca="1" si="15"/>
        <v>43713</v>
      </c>
      <c r="J113" s="22" t="str">
        <f t="shared" ca="1" si="16"/>
        <v/>
      </c>
      <c r="K113" s="16" t="str">
        <f t="shared" ca="1" si="17"/>
        <v>Active</v>
      </c>
      <c r="L113" s="26">
        <f ca="1">_xlfn.XLOOKUP(G113,Lookup!$P$2:$P$28,Lookup!$Q$2:$Q$28)*(1+MIN(X113*3%,30%))</f>
        <v>46350</v>
      </c>
      <c r="M113" s="24">
        <f t="shared" ca="1" si="27"/>
        <v>1</v>
      </c>
      <c r="N113" s="24">
        <f t="shared" ca="1" si="18"/>
        <v>62</v>
      </c>
      <c r="O113" s="24">
        <f t="shared" ca="1" si="19"/>
        <v>12</v>
      </c>
      <c r="P113" s="24">
        <f t="shared" ca="1" si="20"/>
        <v>11</v>
      </c>
      <c r="Q113" s="16" t="str">
        <f t="shared" ca="1" si="21"/>
        <v>Not Promoted</v>
      </c>
      <c r="R113" s="16" t="str" cm="1">
        <f t="array" ref="R113" ca="1">INDEX(Lookup!$E$2:$E$6,RANDBETWEEN(1,5))</f>
        <v>High School</v>
      </c>
      <c r="S113" s="16" t="str" cm="1">
        <f t="array" ref="S113" ca="1">INDEX(Lookup!$J$2:$J$11,RANDBETWEEN(1,10))</f>
        <v>David Murphy</v>
      </c>
      <c r="T113" s="16" t="str">
        <f t="shared" ca="1" si="22"/>
        <v>cameron.martin@hranalytics.com</v>
      </c>
      <c r="U113" s="16" t="str">
        <f t="shared" ca="1" si="23"/>
        <v>0861426779</v>
      </c>
      <c r="V113" s="16" t="str" cm="1">
        <f t="array" ref="V113" ca="1">_xlfn.LET(_xlpm.r,RANDBETWEEN(1,100),_xlfn.IFS(_xlpm.r&lt;=70,"Full-Time",_xlpm.r&lt;=85,"Part-Time",_xlpm.r&lt;=95,"Contract",TRUE,"Intern"))</f>
        <v>Full-Time</v>
      </c>
      <c r="W113" s="16" cm="1">
        <f t="array" ref="W113" ca="1">IF(K113&lt;&gt;"Active",0,_xlfn.IFS(M113=5,L113*15%,M113=4,L113*10%,M113=3,L113*5%,M113=2,L113*2%,TRUE,0))</f>
        <v>4635</v>
      </c>
      <c r="X113" s="24">
        <f t="shared" ca="1" si="24"/>
        <v>6</v>
      </c>
      <c r="Y113" s="24">
        <f t="shared" ca="1" si="25"/>
        <v>1</v>
      </c>
    </row>
    <row r="114" spans="1:25">
      <c r="A114" s="16" t="str">
        <f t="shared" si="26"/>
        <v>EMP113</v>
      </c>
      <c r="B114" s="16" t="str" cm="1">
        <f t="array" ref="B114" ca="1">IF(D114="Male",INDEX(Lookup!$L$2:$L$13,RANDBETWEEN(1,12)),IF(D114="Female",INDEX(Lookup!$M$2:$M$13,RANDBETWEEN(1,12)),INDEX(Lookup!$N$2:$N$13,RANDBETWEEN(1,12))))</f>
        <v>Quinn</v>
      </c>
      <c r="C114" s="16" t="str" cm="1">
        <f t="array" ref="C114" ca="1">INDEX(Lookup!$K$2:$K$31,RANDBETWEEN(1,30))</f>
        <v>Green</v>
      </c>
      <c r="D114" s="16" t="str" cm="1">
        <f t="array" ref="D114" ca="1">INDEX(Lookup!$H$2:$H$4,RANDBETWEEN(1,3))</f>
        <v>Other</v>
      </c>
      <c r="E114" s="16">
        <f t="shared" ca="1" si="14"/>
        <v>58</v>
      </c>
      <c r="F114" s="16" t="str" cm="1">
        <f t="array" ref="F114" ca="1">INDEX(Lookup!$A$2:$A$10,RANDBETWEEN(1,9))</f>
        <v>Marketing</v>
      </c>
      <c r="G114" s="16" t="str" cm="1">
        <f t="array" ref="G114" ca="1">_xlfn.LET(_xlpm.Roles,_xlfn._xlws.FILTER(Lookup!$P$2:$P$28,Lookup!$O$2:$O$28=F114),INDEX(_xlpm.Roles,RANDBETWEEN(1,ROWS(_xlpm.Roles))))</f>
        <v>Marketing Executive</v>
      </c>
      <c r="H114" s="16" t="str" cm="1">
        <f t="array" ref="H114" ca="1">INDEX(Lookup!$B$2:$B$7,RANDBETWEEN(1,6))</f>
        <v>Limerick</v>
      </c>
      <c r="I114" s="22">
        <f t="shared" ca="1" si="15"/>
        <v>45335</v>
      </c>
      <c r="J114" s="22" t="str">
        <f t="shared" ca="1" si="16"/>
        <v/>
      </c>
      <c r="K114" s="16" t="str">
        <f t="shared" ca="1" si="17"/>
        <v>Active</v>
      </c>
      <c r="L114" s="26">
        <f ca="1">_xlfn.XLOOKUP(G114,Lookup!$P$2:$P$28,Lookup!$Q$2:$Q$28)*(1+MIN(X114*3%,30%))</f>
        <v>48300</v>
      </c>
      <c r="M114" s="24">
        <f t="shared" ca="1" si="27"/>
        <v>4</v>
      </c>
      <c r="N114" s="24">
        <f t="shared" ca="1" si="18"/>
        <v>3</v>
      </c>
      <c r="O114" s="24">
        <f t="shared" ca="1" si="19"/>
        <v>14</v>
      </c>
      <c r="P114" s="24">
        <f t="shared" ca="1" si="20"/>
        <v>38</v>
      </c>
      <c r="Q114" s="16" t="str">
        <f t="shared" ca="1" si="21"/>
        <v>Promoted</v>
      </c>
      <c r="R114" s="16" t="str" cm="1">
        <f t="array" ref="R114" ca="1">INDEX(Lookup!$E$2:$E$6,RANDBETWEEN(1,5))</f>
        <v>High School</v>
      </c>
      <c r="S114" s="16" t="str" cm="1">
        <f t="array" ref="S114" ca="1">INDEX(Lookup!$J$2:$J$11,RANDBETWEEN(1,10))</f>
        <v>Daniel Kelly</v>
      </c>
      <c r="T114" s="16" t="str">
        <f t="shared" ca="1" si="22"/>
        <v>quinn.green@hranalytics.com</v>
      </c>
      <c r="U114" s="16" t="str">
        <f t="shared" ca="1" si="23"/>
        <v>0896338024</v>
      </c>
      <c r="V114" s="16" t="str" cm="1">
        <f t="array" ref="V114" ca="1">_xlfn.LET(_xlpm.r,RANDBETWEEN(1,100),_xlfn.IFS(_xlpm.r&lt;=70,"Full-Time",_xlpm.r&lt;=85,"Part-Time",_xlpm.r&lt;=95,"Contract",TRUE,"Intern"))</f>
        <v>Full-Time</v>
      </c>
      <c r="W114" s="16" cm="1">
        <f t="array" ref="W114" ca="1">IF(K114&lt;&gt;"Active",0,_xlfn.IFS(M114=5,L114*15%,M114=4,L114*10%,M114=3,L114*5%,M114=2,L114*2%,TRUE,0))</f>
        <v>7245</v>
      </c>
      <c r="X114" s="24">
        <f t="shared" ca="1" si="24"/>
        <v>2</v>
      </c>
      <c r="Y114" s="24">
        <f t="shared" ca="1" si="25"/>
        <v>1</v>
      </c>
    </row>
    <row r="115" spans="1:25">
      <c r="A115" s="16" t="str">
        <f t="shared" si="26"/>
        <v>EMP114</v>
      </c>
      <c r="B115" s="16" t="str" cm="1">
        <f t="array" ref="B115" ca="1">IF(D115="Male",INDEX(Lookup!$L$2:$L$13,RANDBETWEEN(1,12)),IF(D115="Female",INDEX(Lookup!$M$2:$M$13,RANDBETWEEN(1,12)),INDEX(Lookup!$N$2:$N$13,RANDBETWEEN(1,12))))</f>
        <v>Charlotte</v>
      </c>
      <c r="C115" s="16" t="str" cm="1">
        <f t="array" ref="C115" ca="1">INDEX(Lookup!$K$2:$K$31,RANDBETWEEN(1,30))</f>
        <v>Walker</v>
      </c>
      <c r="D115" s="16" t="str" cm="1">
        <f t="array" ref="D115" ca="1">INDEX(Lookup!$H$2:$H$4,RANDBETWEEN(1,3))</f>
        <v>Female</v>
      </c>
      <c r="E115" s="16">
        <f t="shared" ca="1" si="14"/>
        <v>57</v>
      </c>
      <c r="F115" s="16" t="str" cm="1">
        <f t="array" ref="F115" ca="1">INDEX(Lookup!$A$2:$A$10,RANDBETWEEN(1,9))</f>
        <v>Finance</v>
      </c>
      <c r="G115" s="16" t="str" cm="1">
        <f t="array" ref="G115" ca="1">_xlfn.LET(_xlpm.Roles,_xlfn._xlws.FILTER(Lookup!$P$2:$P$28,Lookup!$O$2:$O$28=F115),INDEX(_xlpm.Roles,RANDBETWEEN(1,ROWS(_xlpm.Roles))))</f>
        <v>Financial Analyst</v>
      </c>
      <c r="H115" s="16" t="str" cm="1">
        <f t="array" ref="H115" ca="1">INDEX(Lookup!$B$2:$B$7,RANDBETWEEN(1,6))</f>
        <v>Limerick</v>
      </c>
      <c r="I115" s="22">
        <f t="shared" ca="1" si="15"/>
        <v>43692</v>
      </c>
      <c r="J115" s="22" t="str">
        <f t="shared" ca="1" si="16"/>
        <v/>
      </c>
      <c r="K115" s="16" t="str">
        <f t="shared" ca="1" si="17"/>
        <v>Active</v>
      </c>
      <c r="L115" s="26">
        <f ca="1">_xlfn.XLOOKUP(G115,Lookup!$P$2:$P$28,Lookup!$Q$2:$Q$28)*(1+MIN(X115*3%,30%))</f>
        <v>71920</v>
      </c>
      <c r="M115" s="24">
        <f t="shared" ca="1" si="27"/>
        <v>1</v>
      </c>
      <c r="N115" s="24">
        <f t="shared" ca="1" si="18"/>
        <v>77</v>
      </c>
      <c r="O115" s="24">
        <f t="shared" ca="1" si="19"/>
        <v>0</v>
      </c>
      <c r="P115" s="24">
        <f t="shared" ca="1" si="20"/>
        <v>3</v>
      </c>
      <c r="Q115" s="16" t="str">
        <f t="shared" ca="1" si="21"/>
        <v>Not Promoted</v>
      </c>
      <c r="R115" s="16" t="str" cm="1">
        <f t="array" ref="R115" ca="1">INDEX(Lookup!$E$2:$E$6,RANDBETWEEN(1,5))</f>
        <v>Dipolma</v>
      </c>
      <c r="S115" s="16" t="str" cm="1">
        <f t="array" ref="S115" ca="1">INDEX(Lookup!$J$2:$J$11,RANDBETWEEN(1,10))</f>
        <v>Michael Brown</v>
      </c>
      <c r="T115" s="16" t="str">
        <f t="shared" ca="1" si="22"/>
        <v>charlotte.walker@hranalytics.com</v>
      </c>
      <c r="U115" s="16" t="str">
        <f t="shared" ca="1" si="23"/>
        <v>0856343219</v>
      </c>
      <c r="V115" s="16" t="str" cm="1">
        <f t="array" ref="V115" ca="1">_xlfn.LET(_xlpm.r,RANDBETWEEN(1,100),_xlfn.IFS(_xlpm.r&lt;=70,"Full-Time",_xlpm.r&lt;=85,"Part-Time",_xlpm.r&lt;=95,"Contract",TRUE,"Intern"))</f>
        <v>Full-Time</v>
      </c>
      <c r="W115" s="16" cm="1">
        <f t="array" ref="W115" ca="1">IF(K115&lt;&gt;"Active",0,_xlfn.IFS(M115=5,L115*15%,M115=4,L115*10%,M115=3,L115*5%,M115=2,L115*2%,TRUE,0))</f>
        <v>0</v>
      </c>
      <c r="X115" s="24">
        <f t="shared" ca="1" si="24"/>
        <v>7</v>
      </c>
      <c r="Y115" s="24">
        <f t="shared" ca="1" si="25"/>
        <v>1</v>
      </c>
    </row>
    <row r="116" spans="1:25">
      <c r="A116" s="16" t="str">
        <f t="shared" si="26"/>
        <v>EMP115</v>
      </c>
      <c r="B116" s="16" t="str" cm="1">
        <f t="array" ref="B116" ca="1">IF(D116="Male",INDEX(Lookup!$L$2:$L$13,RANDBETWEEN(1,12)),IF(D116="Female",INDEX(Lookup!$M$2:$M$13,RANDBETWEEN(1,12)),INDEX(Lookup!$N$2:$N$13,RANDBETWEEN(1,12))))</f>
        <v>Ryan</v>
      </c>
      <c r="C116" s="16" t="str" cm="1">
        <f t="array" ref="C116" ca="1">INDEX(Lookup!$K$2:$K$31,RANDBETWEEN(1,30))</f>
        <v>Murphy</v>
      </c>
      <c r="D116" s="16" t="str" cm="1">
        <f t="array" ref="D116" ca="1">INDEX(Lookup!$H$2:$H$4,RANDBETWEEN(1,3))</f>
        <v>Male</v>
      </c>
      <c r="E116" s="16">
        <f t="shared" ca="1" si="14"/>
        <v>33</v>
      </c>
      <c r="F116" s="16" t="str" cm="1">
        <f t="array" ref="F116" ca="1">INDEX(Lookup!$A$2:$A$10,RANDBETWEEN(1,9))</f>
        <v>Legal</v>
      </c>
      <c r="G116" s="16" t="str" cm="1">
        <f t="array" ref="G116" ca="1">_xlfn.LET(_xlpm.Roles,_xlfn._xlws.FILTER(Lookup!$P$2:$P$28,Lookup!$O$2:$O$28=F116),INDEX(_xlpm.Roles,RANDBETWEEN(1,ROWS(_xlpm.Roles))))</f>
        <v>Compliance Officer</v>
      </c>
      <c r="H116" s="16" t="str" cm="1">
        <f t="array" ref="H116" ca="1">INDEX(Lookup!$B$2:$B$7,RANDBETWEEN(1,6))</f>
        <v>Cork</v>
      </c>
      <c r="I116" s="22">
        <f t="shared" ca="1" si="15"/>
        <v>43406</v>
      </c>
      <c r="J116" s="22" t="str">
        <f t="shared" ca="1" si="16"/>
        <v/>
      </c>
      <c r="K116" s="16" t="str">
        <f t="shared" ca="1" si="17"/>
        <v>Active</v>
      </c>
      <c r="L116" s="26">
        <f ca="1">_xlfn.XLOOKUP(G116,Lookup!$P$2:$P$28,Lookup!$Q$2:$Q$28)*(1+MIN(X116*3%,30%))</f>
        <v>72600</v>
      </c>
      <c r="M116" s="24">
        <f t="shared" ca="1" si="27"/>
        <v>2</v>
      </c>
      <c r="N116" s="24">
        <f t="shared" ca="1" si="18"/>
        <v>40</v>
      </c>
      <c r="O116" s="24">
        <f t="shared" ca="1" si="19"/>
        <v>0</v>
      </c>
      <c r="P116" s="24">
        <f t="shared" ca="1" si="20"/>
        <v>60</v>
      </c>
      <c r="Q116" s="16" t="str">
        <f t="shared" ca="1" si="21"/>
        <v>Promoted</v>
      </c>
      <c r="R116" s="16" t="str" cm="1">
        <f t="array" ref="R116" ca="1">INDEX(Lookup!$E$2:$E$6,RANDBETWEEN(1,5))</f>
        <v>Dipolma</v>
      </c>
      <c r="S116" s="16" t="str" cm="1">
        <f t="array" ref="S116" ca="1">INDEX(Lookup!$J$2:$J$11,RANDBETWEEN(1,10))</f>
        <v>Sophia Martin</v>
      </c>
      <c r="T116" s="16" t="str">
        <f t="shared" ca="1" si="22"/>
        <v>ryan.murphy@hranalytics.com</v>
      </c>
      <c r="U116" s="16" t="str">
        <f t="shared" ca="1" si="23"/>
        <v>0872114754</v>
      </c>
      <c r="V116" s="16" t="str" cm="1">
        <f t="array" ref="V116" ca="1">_xlfn.LET(_xlpm.r,RANDBETWEEN(1,100),_xlfn.IFS(_xlpm.r&lt;=70,"Full-Time",_xlpm.r&lt;=85,"Part-Time",_xlpm.r&lt;=95,"Contract",TRUE,"Intern"))</f>
        <v>Intern</v>
      </c>
      <c r="W116" s="16" cm="1">
        <f t="array" ref="W116" ca="1">IF(K116&lt;&gt;"Active",0,_xlfn.IFS(M116=5,L116*15%,M116=4,L116*10%,M116=3,L116*5%,M116=2,L116*2%,TRUE,0))</f>
        <v>1452</v>
      </c>
      <c r="X116" s="24">
        <f t="shared" ca="1" si="24"/>
        <v>7</v>
      </c>
      <c r="Y116" s="24">
        <f t="shared" ca="1" si="25"/>
        <v>1</v>
      </c>
    </row>
    <row r="117" spans="1:25">
      <c r="A117" s="16" t="str">
        <f t="shared" si="26"/>
        <v>EMP116</v>
      </c>
      <c r="B117" s="16" t="str" cm="1">
        <f t="array" ref="B117" ca="1">IF(D117="Male",INDEX(Lookup!$L$2:$L$13,RANDBETWEEN(1,12)),IF(D117="Female",INDEX(Lookup!$M$2:$M$13,RANDBETWEEN(1,12)),INDEX(Lookup!$N$2:$N$13,RANDBETWEEN(1,12))))</f>
        <v>Mia</v>
      </c>
      <c r="C117" s="16" t="str" cm="1">
        <f t="array" ref="C117" ca="1">INDEX(Lookup!$K$2:$K$31,RANDBETWEEN(1,30))</f>
        <v>Brown</v>
      </c>
      <c r="D117" s="16" t="str" cm="1">
        <f t="array" ref="D117" ca="1">INDEX(Lookup!$H$2:$H$4,RANDBETWEEN(1,3))</f>
        <v>Female</v>
      </c>
      <c r="E117" s="16">
        <f t="shared" ca="1" si="14"/>
        <v>44</v>
      </c>
      <c r="F117" s="16" t="str" cm="1">
        <f t="array" ref="F117" ca="1">INDEX(Lookup!$A$2:$A$10,RANDBETWEEN(1,9))</f>
        <v>Finance</v>
      </c>
      <c r="G117" s="16" t="str" cm="1">
        <f t="array" ref="G117" ca="1">_xlfn.LET(_xlpm.Roles,_xlfn._xlws.FILTER(Lookup!$P$2:$P$28,Lookup!$O$2:$O$28=F117),INDEX(_xlpm.Roles,RANDBETWEEN(1,ROWS(_xlpm.Roles))))</f>
        <v>Payroll Officer</v>
      </c>
      <c r="H117" s="16" t="str" cm="1">
        <f t="array" ref="H117" ca="1">INDEX(Lookup!$B$2:$B$7,RANDBETWEEN(1,6))</f>
        <v>Belfast</v>
      </c>
      <c r="I117" s="22">
        <f t="shared" ca="1" si="15"/>
        <v>45989</v>
      </c>
      <c r="J117" s="22" t="str">
        <f t="shared" ca="1" si="16"/>
        <v/>
      </c>
      <c r="K117" s="16" t="str">
        <f t="shared" ca="1" si="17"/>
        <v>Active</v>
      </c>
      <c r="L117" s="26">
        <f ca="1">_xlfn.XLOOKUP(G117,Lookup!$P$2:$P$28,Lookup!$Q$2:$Q$28)*(1+MIN(X117*3%,30%))</f>
        <v>46350</v>
      </c>
      <c r="M117" s="24">
        <f t="shared" ca="1" si="27"/>
        <v>2</v>
      </c>
      <c r="N117" s="24">
        <f t="shared" ca="1" si="18"/>
        <v>72</v>
      </c>
      <c r="O117" s="24">
        <f t="shared" ca="1" si="19"/>
        <v>11</v>
      </c>
      <c r="P117" s="24">
        <f t="shared" ca="1" si="20"/>
        <v>12</v>
      </c>
      <c r="Q117" s="16" t="str">
        <f t="shared" ca="1" si="21"/>
        <v>Not Promoted</v>
      </c>
      <c r="R117" s="16" t="str" cm="1">
        <f t="array" ref="R117" ca="1">INDEX(Lookup!$E$2:$E$6,RANDBETWEEN(1,5))</f>
        <v>Master's</v>
      </c>
      <c r="S117" s="16" t="str" cm="1">
        <f t="array" ref="S117" ca="1">INDEX(Lookup!$J$2:$J$11,RANDBETWEEN(1,10))</f>
        <v>Sarah Johnson</v>
      </c>
      <c r="T117" s="16" t="str">
        <f t="shared" ca="1" si="22"/>
        <v>mia.brown@hranalytics.com</v>
      </c>
      <c r="U117" s="16" t="str">
        <f t="shared" ca="1" si="23"/>
        <v>0869764470</v>
      </c>
      <c r="V117" s="16" t="str" cm="1">
        <f t="array" ref="V117" ca="1">_xlfn.LET(_xlpm.r,RANDBETWEEN(1,100),_xlfn.IFS(_xlpm.r&lt;=70,"Full-Time",_xlpm.r&lt;=85,"Part-Time",_xlpm.r&lt;=95,"Contract",TRUE,"Intern"))</f>
        <v>Full-Time</v>
      </c>
      <c r="W117" s="16" cm="1">
        <f t="array" ref="W117" ca="1">IF(K117&lt;&gt;"Active",0,_xlfn.IFS(M117=5,L117*15%,M117=4,L117*10%,M117=3,L117*5%,M117=2,L117*2%,TRUE,0))</f>
        <v>927</v>
      </c>
      <c r="X117" s="24">
        <f t="shared" ca="1" si="24"/>
        <v>0</v>
      </c>
      <c r="Y117" s="24">
        <f t="shared" ca="1" si="25"/>
        <v>1</v>
      </c>
    </row>
    <row r="118" spans="1:25">
      <c r="A118" s="16" t="str">
        <f t="shared" si="26"/>
        <v>EMP117</v>
      </c>
      <c r="B118" s="16" t="str" cm="1">
        <f t="array" ref="B118" ca="1">IF(D118="Male",INDEX(Lookup!$L$2:$L$13,RANDBETWEEN(1,12)),IF(D118="Female",INDEX(Lookup!$M$2:$M$13,RANDBETWEEN(1,12)),INDEX(Lookup!$N$2:$N$13,RANDBETWEEN(1,12))))</f>
        <v>Olivia</v>
      </c>
      <c r="C118" s="16" t="str" cm="1">
        <f t="array" ref="C118" ca="1">INDEX(Lookup!$K$2:$K$31,RANDBETWEEN(1,30))</f>
        <v>Collins</v>
      </c>
      <c r="D118" s="16" t="str" cm="1">
        <f t="array" ref="D118" ca="1">INDEX(Lookup!$H$2:$H$4,RANDBETWEEN(1,3))</f>
        <v>Female</v>
      </c>
      <c r="E118" s="16">
        <f t="shared" ca="1" si="14"/>
        <v>43</v>
      </c>
      <c r="F118" s="16" t="str" cm="1">
        <f t="array" ref="F118" ca="1">INDEX(Lookup!$A$2:$A$10,RANDBETWEEN(1,9))</f>
        <v>Procurement</v>
      </c>
      <c r="G118" s="16" t="str" cm="1">
        <f t="array" ref="G118" ca="1">_xlfn.LET(_xlpm.Roles,_xlfn._xlws.FILTER(Lookup!$P$2:$P$28,Lookup!$O$2:$O$28=F118),INDEX(_xlpm.Roles,RANDBETWEEN(1,ROWS(_xlpm.Roles))))</f>
        <v>Purchasing Executive</v>
      </c>
      <c r="H118" s="16" t="str" cm="1">
        <f t="array" ref="H118" ca="1">INDEX(Lookup!$B$2:$B$7,RANDBETWEEN(1,6))</f>
        <v>Dublin</v>
      </c>
      <c r="I118" s="22">
        <f t="shared" ca="1" si="15"/>
        <v>45798</v>
      </c>
      <c r="J118" s="22" t="str">
        <f t="shared" ca="1" si="16"/>
        <v/>
      </c>
      <c r="K118" s="16" t="str">
        <f t="shared" ca="1" si="17"/>
        <v>Active</v>
      </c>
      <c r="L118" s="26">
        <f ca="1">_xlfn.XLOOKUP(G118,Lookup!$P$2:$P$28,Lookup!$Q$2:$Q$28)*(1+MIN(X118*3%,30%))</f>
        <v>44520</v>
      </c>
      <c r="M118" s="24">
        <f t="shared" ca="1" si="27"/>
        <v>5</v>
      </c>
      <c r="N118" s="24">
        <f t="shared" ca="1" si="18"/>
        <v>10</v>
      </c>
      <c r="O118" s="24">
        <f t="shared" ca="1" si="19"/>
        <v>11</v>
      </c>
      <c r="P118" s="24">
        <f t="shared" ca="1" si="20"/>
        <v>45</v>
      </c>
      <c r="Q118" s="16" t="str">
        <f t="shared" ca="1" si="21"/>
        <v>Promoted</v>
      </c>
      <c r="R118" s="16" t="str" cm="1">
        <f t="array" ref="R118" ca="1">INDEX(Lookup!$E$2:$E$6,RANDBETWEEN(1,5))</f>
        <v>Dipolma</v>
      </c>
      <c r="S118" s="16" t="str" cm="1">
        <f t="array" ref="S118" ca="1">INDEX(Lookup!$J$2:$J$11,RANDBETWEEN(1,10))</f>
        <v>Sophia Martin</v>
      </c>
      <c r="T118" s="16" t="str">
        <f t="shared" ca="1" si="22"/>
        <v>olivia.collins@hranalytics.com</v>
      </c>
      <c r="U118" s="16" t="str">
        <f t="shared" ca="1" si="23"/>
        <v>0869842626</v>
      </c>
      <c r="V118" s="16" t="str" cm="1">
        <f t="array" ref="V118" ca="1">_xlfn.LET(_xlpm.r,RANDBETWEEN(1,100),_xlfn.IFS(_xlpm.r&lt;=70,"Full-Time",_xlpm.r&lt;=85,"Part-Time",_xlpm.r&lt;=95,"Contract",TRUE,"Intern"))</f>
        <v>Contract</v>
      </c>
      <c r="W118" s="16" cm="1">
        <f t="array" ref="W118" ca="1">IF(K118&lt;&gt;"Active",0,_xlfn.IFS(M118=5,L118*15%,M118=4,L118*10%,M118=3,L118*5%,M118=2,L118*2%,TRUE,0))</f>
        <v>2226</v>
      </c>
      <c r="X118" s="24">
        <f t="shared" ca="1" si="24"/>
        <v>1</v>
      </c>
      <c r="Y118" s="24">
        <f t="shared" ca="1" si="25"/>
        <v>1</v>
      </c>
    </row>
    <row r="119" spans="1:25">
      <c r="A119" s="16" t="str">
        <f t="shared" si="26"/>
        <v>EMP118</v>
      </c>
      <c r="B119" s="16" t="str" cm="1">
        <f t="array" ref="B119" ca="1">IF(D119="Male",INDEX(Lookup!$L$2:$L$13,RANDBETWEEN(1,12)),IF(D119="Female",INDEX(Lookup!$M$2:$M$13,RANDBETWEEN(1,12)),INDEX(Lookup!$N$2:$N$13,RANDBETWEEN(1,12))))</f>
        <v>Emma</v>
      </c>
      <c r="C119" s="16" t="str" cm="1">
        <f t="array" ref="C119" ca="1">INDEX(Lookup!$K$2:$K$31,RANDBETWEEN(1,30))</f>
        <v>Brown</v>
      </c>
      <c r="D119" s="16" t="str" cm="1">
        <f t="array" ref="D119" ca="1">INDEX(Lookup!$H$2:$H$4,RANDBETWEEN(1,3))</f>
        <v>Female</v>
      </c>
      <c r="E119" s="16">
        <f t="shared" ca="1" si="14"/>
        <v>43</v>
      </c>
      <c r="F119" s="16" t="str" cm="1">
        <f t="array" ref="F119" ca="1">INDEX(Lookup!$A$2:$A$10,RANDBETWEEN(1,9))</f>
        <v>HR</v>
      </c>
      <c r="G119" s="16" t="str" cm="1">
        <f t="array" ref="G119" ca="1">_xlfn.LET(_xlpm.Roles,_xlfn._xlws.FILTER(Lookup!$P$2:$P$28,Lookup!$O$2:$O$28=F119),INDEX(_xlpm.Roles,RANDBETWEEN(1,ROWS(_xlpm.Roles))))</f>
        <v>HR Manager</v>
      </c>
      <c r="H119" s="16" t="str" cm="1">
        <f t="array" ref="H119" ca="1">INDEX(Lookup!$B$2:$B$7,RANDBETWEEN(1,6))</f>
        <v>Waterford</v>
      </c>
      <c r="I119" s="22">
        <f t="shared" ca="1" si="15"/>
        <v>44743</v>
      </c>
      <c r="J119" s="22" t="str">
        <f t="shared" ca="1" si="16"/>
        <v/>
      </c>
      <c r="K119" s="16" t="str">
        <f t="shared" ca="1" si="17"/>
        <v>Active</v>
      </c>
      <c r="L119" s="26">
        <f ca="1">_xlfn.XLOOKUP(G119,Lookup!$P$2:$P$28,Lookup!$Q$2:$Q$28)*(1+MIN(X119*3%,30%))</f>
        <v>72800</v>
      </c>
      <c r="M119" s="24">
        <f t="shared" ca="1" si="27"/>
        <v>1</v>
      </c>
      <c r="N119" s="24">
        <f t="shared" ca="1" si="18"/>
        <v>75</v>
      </c>
      <c r="O119" s="24">
        <f t="shared" ca="1" si="19"/>
        <v>11</v>
      </c>
      <c r="P119" s="24">
        <f t="shared" ca="1" si="20"/>
        <v>55</v>
      </c>
      <c r="Q119" s="16" t="str">
        <f t="shared" ca="1" si="21"/>
        <v>Promoted</v>
      </c>
      <c r="R119" s="16" t="str" cm="1">
        <f t="array" ref="R119" ca="1">INDEX(Lookup!$E$2:$E$6,RANDBETWEEN(1,5))</f>
        <v>High School</v>
      </c>
      <c r="S119" s="16" t="str" cm="1">
        <f t="array" ref="S119" ca="1">INDEX(Lookup!$J$2:$J$11,RANDBETWEEN(1,10))</f>
        <v>James Taylor</v>
      </c>
      <c r="T119" s="16" t="str">
        <f t="shared" ca="1" si="22"/>
        <v>emma.brown@hranalytics.com</v>
      </c>
      <c r="U119" s="16" t="str">
        <f t="shared" ca="1" si="23"/>
        <v>0847719837</v>
      </c>
      <c r="V119" s="16" t="str" cm="1">
        <f t="array" ref="V119" ca="1">_xlfn.LET(_xlpm.r,RANDBETWEEN(1,100),_xlfn.IFS(_xlpm.r&lt;=70,"Full-Time",_xlpm.r&lt;=85,"Part-Time",_xlpm.r&lt;=95,"Contract",TRUE,"Intern"))</f>
        <v>Full-Time</v>
      </c>
      <c r="W119" s="16" cm="1">
        <f t="array" ref="W119" ca="1">IF(K119&lt;&gt;"Active",0,_xlfn.IFS(M119=5,L119*15%,M119=4,L119*10%,M119=3,L119*5%,M119=2,L119*2%,TRUE,0))</f>
        <v>1456</v>
      </c>
      <c r="X119" s="24">
        <f t="shared" ca="1" si="24"/>
        <v>4</v>
      </c>
      <c r="Y119" s="24">
        <f t="shared" ca="1" si="25"/>
        <v>3</v>
      </c>
    </row>
    <row r="120" spans="1:25">
      <c r="A120" s="16" t="str">
        <f t="shared" si="26"/>
        <v>EMP119</v>
      </c>
      <c r="B120" s="16" t="str" cm="1">
        <f t="array" ref="B120" ca="1">IF(D120="Male",INDEX(Lookup!$L$2:$L$13,RANDBETWEEN(1,12)),IF(D120="Female",INDEX(Lookup!$M$2:$M$13,RANDBETWEEN(1,12)),INDEX(Lookup!$N$2:$N$13,RANDBETWEEN(1,12))))</f>
        <v>Ava</v>
      </c>
      <c r="C120" s="16" t="str" cm="1">
        <f t="array" ref="C120" ca="1">INDEX(Lookup!$K$2:$K$31,RANDBETWEEN(1,30))</f>
        <v>Brown</v>
      </c>
      <c r="D120" s="16" t="str" cm="1">
        <f t="array" ref="D120" ca="1">INDEX(Lookup!$H$2:$H$4,RANDBETWEEN(1,3))</f>
        <v>Female</v>
      </c>
      <c r="E120" s="16">
        <f t="shared" ca="1" si="14"/>
        <v>37</v>
      </c>
      <c r="F120" s="16" t="str" cm="1">
        <f t="array" ref="F120" ca="1">INDEX(Lookup!$A$2:$A$10,RANDBETWEEN(1,9))</f>
        <v>IT</v>
      </c>
      <c r="G120" s="16" t="str" cm="1">
        <f t="array" ref="G120" ca="1">_xlfn.LET(_xlpm.Roles,_xlfn._xlws.FILTER(Lookup!$P$2:$P$28,Lookup!$O$2:$O$28=F120),INDEX(_xlpm.Roles,RANDBETWEEN(1,ROWS(_xlpm.Roles))))</f>
        <v>Business Analyst</v>
      </c>
      <c r="H120" s="16" t="str" cm="1">
        <f t="array" ref="H120" ca="1">INDEX(Lookup!$B$2:$B$7,RANDBETWEEN(1,6))</f>
        <v>Cork</v>
      </c>
      <c r="I120" s="22">
        <f t="shared" ca="1" si="15"/>
        <v>45719</v>
      </c>
      <c r="J120" s="22" t="str">
        <f t="shared" ca="1" si="16"/>
        <v/>
      </c>
      <c r="K120" s="16" t="str">
        <f t="shared" ca="1" si="17"/>
        <v>Active</v>
      </c>
      <c r="L120" s="26">
        <f ca="1">_xlfn.XLOOKUP(G120,Lookup!$P$2:$P$28,Lookup!$Q$2:$Q$28)*(1+MIN(X120*3%,30%))</f>
        <v>60000</v>
      </c>
      <c r="M120" s="24">
        <f t="shared" ca="1" si="27"/>
        <v>4</v>
      </c>
      <c r="N120" s="24">
        <f t="shared" ca="1" si="18"/>
        <v>72</v>
      </c>
      <c r="O120" s="24">
        <f t="shared" ca="1" si="19"/>
        <v>4</v>
      </c>
      <c r="P120" s="24">
        <f t="shared" ca="1" si="20"/>
        <v>43</v>
      </c>
      <c r="Q120" s="16" t="str">
        <f t="shared" ca="1" si="21"/>
        <v>Not Promoted</v>
      </c>
      <c r="R120" s="16" t="str" cm="1">
        <f t="array" ref="R120" ca="1">INDEX(Lookup!$E$2:$E$6,RANDBETWEEN(1,5))</f>
        <v>Bachelor's</v>
      </c>
      <c r="S120" s="16" t="str" cm="1">
        <f t="array" ref="S120" ca="1">INDEX(Lookup!$J$2:$J$11,RANDBETWEEN(1,10))</f>
        <v>Olivia Smith</v>
      </c>
      <c r="T120" s="16" t="str">
        <f t="shared" ca="1" si="22"/>
        <v>ava.brown@hranalytics.com</v>
      </c>
      <c r="U120" s="16" t="str">
        <f t="shared" ca="1" si="23"/>
        <v>0862437933</v>
      </c>
      <c r="V120" s="16" t="str" cm="1">
        <f t="array" ref="V120" ca="1">_xlfn.LET(_xlpm.r,RANDBETWEEN(1,100),_xlfn.IFS(_xlpm.r&lt;=70,"Full-Time",_xlpm.r&lt;=85,"Part-Time",_xlpm.r&lt;=95,"Contract",TRUE,"Intern"))</f>
        <v>Full-Time</v>
      </c>
      <c r="W120" s="16" cm="1">
        <f t="array" ref="W120" ca="1">IF(K120&lt;&gt;"Active",0,_xlfn.IFS(M120=5,L120*15%,M120=4,L120*10%,M120=3,L120*5%,M120=2,L120*2%,TRUE,0))</f>
        <v>6000</v>
      </c>
      <c r="X120" s="24">
        <f t="shared" ca="1" si="24"/>
        <v>1</v>
      </c>
      <c r="Y120" s="24">
        <f t="shared" ca="1" si="25"/>
        <v>3</v>
      </c>
    </row>
    <row r="121" spans="1:25">
      <c r="A121" s="16" t="str">
        <f t="shared" si="26"/>
        <v>EMP120</v>
      </c>
      <c r="B121" s="16" t="str" cm="1">
        <f t="array" ref="B121" ca="1">IF(D121="Male",INDEX(Lookup!$L$2:$L$13,RANDBETWEEN(1,12)),IF(D121="Female",INDEX(Lookup!$M$2:$M$13,RANDBETWEEN(1,12)),INDEX(Lookup!$N$2:$N$13,RANDBETWEEN(1,12))))</f>
        <v>Mia</v>
      </c>
      <c r="C121" s="16" t="str" cm="1">
        <f t="array" ref="C121" ca="1">INDEX(Lookup!$K$2:$K$31,RANDBETWEEN(1,30))</f>
        <v>Campbell</v>
      </c>
      <c r="D121" s="16" t="str" cm="1">
        <f t="array" ref="D121" ca="1">INDEX(Lookup!$H$2:$H$4,RANDBETWEEN(1,3))</f>
        <v>Female</v>
      </c>
      <c r="E121" s="16">
        <f t="shared" ca="1" si="14"/>
        <v>26</v>
      </c>
      <c r="F121" s="16" t="str" cm="1">
        <f t="array" ref="F121" ca="1">INDEX(Lookup!$A$2:$A$10,RANDBETWEEN(1,9))</f>
        <v>Legal</v>
      </c>
      <c r="G121" s="16" t="str" cm="1">
        <f t="array" ref="G121" ca="1">_xlfn.LET(_xlpm.Roles,_xlfn._xlws.FILTER(Lookup!$P$2:$P$28,Lookup!$O$2:$O$28=F121),INDEX(_xlpm.Roles,RANDBETWEEN(1,ROWS(_xlpm.Roles))))</f>
        <v>Compliance Officer</v>
      </c>
      <c r="H121" s="16" t="str" cm="1">
        <f t="array" ref="H121" ca="1">INDEX(Lookup!$B$2:$B$7,RANDBETWEEN(1,6))</f>
        <v>Waterford</v>
      </c>
      <c r="I121" s="22">
        <f t="shared" ca="1" si="15"/>
        <v>44931</v>
      </c>
      <c r="J121" s="22">
        <f t="shared" ca="1" si="16"/>
        <v>45453</v>
      </c>
      <c r="K121" s="16" t="str">
        <f t="shared" ca="1" si="17"/>
        <v>Resigned</v>
      </c>
      <c r="L121" s="26">
        <f ca="1">_xlfn.XLOOKUP(G121,Lookup!$P$2:$P$28,Lookup!$Q$2:$Q$28)*(1+MIN(X121*3%,30%))</f>
        <v>65400</v>
      </c>
      <c r="M121" s="24">
        <f t="shared" ca="1" si="27"/>
        <v>3</v>
      </c>
      <c r="N121" s="24">
        <f t="shared" ca="1" si="18"/>
        <v>11</v>
      </c>
      <c r="O121" s="24">
        <f t="shared" ca="1" si="19"/>
        <v>8</v>
      </c>
      <c r="P121" s="24">
        <f t="shared" ca="1" si="20"/>
        <v>17</v>
      </c>
      <c r="Q121" s="16" t="str">
        <f t="shared" ca="1" si="21"/>
        <v>Promoted</v>
      </c>
      <c r="R121" s="16" t="str" cm="1">
        <f t="array" ref="R121" ca="1">INDEX(Lookup!$E$2:$E$6,RANDBETWEEN(1,5))</f>
        <v>Dipolma</v>
      </c>
      <c r="S121" s="16" t="str" cm="1">
        <f t="array" ref="S121" ca="1">INDEX(Lookup!$J$2:$J$11,RANDBETWEEN(1,10))</f>
        <v>Sarah Johnson</v>
      </c>
      <c r="T121" s="16" t="str">
        <f t="shared" ca="1" si="22"/>
        <v>mia.campbell@hranalytics.com</v>
      </c>
      <c r="U121" s="16" t="str">
        <f t="shared" ca="1" si="23"/>
        <v>0874079403</v>
      </c>
      <c r="V121" s="16" t="str" cm="1">
        <f t="array" ref="V121" ca="1">_xlfn.LET(_xlpm.r,RANDBETWEEN(1,100),_xlfn.IFS(_xlpm.r&lt;=70,"Full-Time",_xlpm.r&lt;=85,"Part-Time",_xlpm.r&lt;=95,"Contract",TRUE,"Intern"))</f>
        <v>Contract</v>
      </c>
      <c r="W121" s="16" cm="1">
        <f t="array" ref="W121" ca="1">IF(K121&lt;&gt;"Active",0,_xlfn.IFS(M121=5,L121*15%,M121=4,L121*10%,M121=3,L121*5%,M121=2,L121*2%,TRUE,0))</f>
        <v>9810</v>
      </c>
      <c r="X121" s="24">
        <f t="shared" ca="1" si="24"/>
        <v>3</v>
      </c>
      <c r="Y121" s="24">
        <f t="shared" ca="1" si="25"/>
        <v>2</v>
      </c>
    </row>
    <row r="122" spans="1:25">
      <c r="A122" s="16" t="str">
        <f t="shared" si="26"/>
        <v>EMP121</v>
      </c>
      <c r="B122" s="16" t="str" cm="1">
        <f t="array" ref="B122" ca="1">IF(D122="Male",INDEX(Lookup!$L$2:$L$13,RANDBETWEEN(1,12)),IF(D122="Female",INDEX(Lookup!$M$2:$M$13,RANDBETWEEN(1,12)),INDEX(Lookup!$N$2:$N$13,RANDBETWEEN(1,12))))</f>
        <v>Mia</v>
      </c>
      <c r="C122" s="16" t="str" cm="1">
        <f t="array" ref="C122" ca="1">INDEX(Lookup!$K$2:$K$31,RANDBETWEEN(1,30))</f>
        <v>Turner</v>
      </c>
      <c r="D122" s="16" t="str" cm="1">
        <f t="array" ref="D122" ca="1">INDEX(Lookup!$H$2:$H$4,RANDBETWEEN(1,3))</f>
        <v>Female</v>
      </c>
      <c r="E122" s="16">
        <f t="shared" ca="1" si="14"/>
        <v>21</v>
      </c>
      <c r="F122" s="16" t="str" cm="1">
        <f t="array" ref="F122" ca="1">INDEX(Lookup!$A$2:$A$10,RANDBETWEEN(1,9))</f>
        <v>Legal</v>
      </c>
      <c r="G122" s="16" t="str" cm="1">
        <f t="array" ref="G122" ca="1">_xlfn.LET(_xlpm.Roles,_xlfn._xlws.FILTER(Lookup!$P$2:$P$28,Lookup!$O$2:$O$28=F122),INDEX(_xlpm.Roles,RANDBETWEEN(1,ROWS(_xlpm.Roles))))</f>
        <v>Compliance Officer</v>
      </c>
      <c r="H122" s="16" t="str" cm="1">
        <f t="array" ref="H122" ca="1">INDEX(Lookup!$B$2:$B$7,RANDBETWEEN(1,6))</f>
        <v>Belfast</v>
      </c>
      <c r="I122" s="22">
        <f t="shared" ca="1" si="15"/>
        <v>45846</v>
      </c>
      <c r="J122" s="22" t="str">
        <f t="shared" ca="1" si="16"/>
        <v/>
      </c>
      <c r="K122" s="16" t="str">
        <f t="shared" ca="1" si="17"/>
        <v>Active</v>
      </c>
      <c r="L122" s="26">
        <f ca="1">_xlfn.XLOOKUP(G122,Lookup!$P$2:$P$28,Lookup!$Q$2:$Q$28)*(1+MIN(X122*3%,30%))</f>
        <v>65400</v>
      </c>
      <c r="M122" s="24">
        <f t="shared" ca="1" si="27"/>
        <v>4</v>
      </c>
      <c r="N122" s="24">
        <f t="shared" ca="1" si="18"/>
        <v>55</v>
      </c>
      <c r="O122" s="24">
        <f t="shared" ca="1" si="19"/>
        <v>19</v>
      </c>
      <c r="P122" s="24">
        <f t="shared" ca="1" si="20"/>
        <v>58</v>
      </c>
      <c r="Q122" s="16" t="str">
        <f t="shared" ca="1" si="21"/>
        <v>Not Promoted</v>
      </c>
      <c r="R122" s="16" t="str" cm="1">
        <f t="array" ref="R122" ca="1">INDEX(Lookup!$E$2:$E$6,RANDBETWEEN(1,5))</f>
        <v>PhD</v>
      </c>
      <c r="S122" s="16" t="str" cm="1">
        <f t="array" ref="S122" ca="1">INDEX(Lookup!$J$2:$J$11,RANDBETWEEN(1,10))</f>
        <v>Olivia Smith</v>
      </c>
      <c r="T122" s="16" t="str">
        <f t="shared" ca="1" si="22"/>
        <v>mia.turner@hranalytics.com</v>
      </c>
      <c r="U122" s="16" t="str">
        <f t="shared" ca="1" si="23"/>
        <v>0853887818</v>
      </c>
      <c r="V122" s="16" t="str" cm="1">
        <f t="array" ref="V122" ca="1">_xlfn.LET(_xlpm.r,RANDBETWEEN(1,100),_xlfn.IFS(_xlpm.r&lt;=70,"Full-Time",_xlpm.r&lt;=85,"Part-Time",_xlpm.r&lt;=95,"Contract",TRUE,"Intern"))</f>
        <v>Full-Time</v>
      </c>
      <c r="W122" s="16" cm="1">
        <f t="array" ref="W122" ca="1">IF(K122&lt;&gt;"Active",0,_xlfn.IFS(M122=5,L122*15%,M122=4,L122*10%,M122=3,L122*5%,M122=2,L122*2%,TRUE,0))</f>
        <v>0</v>
      </c>
      <c r="X122" s="24">
        <f t="shared" ca="1" si="24"/>
        <v>1</v>
      </c>
      <c r="Y122" s="24">
        <f t="shared" ca="1" si="25"/>
        <v>3</v>
      </c>
    </row>
    <row r="123" spans="1:25">
      <c r="A123" s="16" t="str">
        <f t="shared" si="26"/>
        <v>EMP122</v>
      </c>
      <c r="B123" s="16" t="str" cm="1">
        <f t="array" ref="B123" ca="1">IF(D123="Male",INDEX(Lookup!$L$2:$L$13,RANDBETWEEN(1,12)),IF(D123="Female",INDEX(Lookup!$M$2:$M$13,RANDBETWEEN(1,12)),INDEX(Lookup!$N$2:$N$13,RANDBETWEEN(1,12))))</f>
        <v>Emily</v>
      </c>
      <c r="C123" s="16" t="str" cm="1">
        <f t="array" ref="C123" ca="1">INDEX(Lookup!$K$2:$K$31,RANDBETWEEN(1,30))</f>
        <v>Turner</v>
      </c>
      <c r="D123" s="16" t="str" cm="1">
        <f t="array" ref="D123" ca="1">INDEX(Lookup!$H$2:$H$4,RANDBETWEEN(1,3))</f>
        <v>Female</v>
      </c>
      <c r="E123" s="16">
        <f t="shared" ca="1" si="14"/>
        <v>21</v>
      </c>
      <c r="F123" s="16" t="str" cm="1">
        <f t="array" ref="F123" ca="1">INDEX(Lookup!$A$2:$A$10,RANDBETWEEN(1,9))</f>
        <v>HR</v>
      </c>
      <c r="G123" s="16" t="str" cm="1">
        <f t="array" ref="G123" ca="1">_xlfn.LET(_xlpm.Roles,_xlfn._xlws.FILTER(Lookup!$P$2:$P$28,Lookup!$O$2:$O$28=F123),INDEX(_xlpm.Roles,RANDBETWEEN(1,ROWS(_xlpm.Roles))))</f>
        <v>HR Executive</v>
      </c>
      <c r="H123" s="16" t="str" cm="1">
        <f t="array" ref="H123" ca="1">INDEX(Lookup!$B$2:$B$7,RANDBETWEEN(1,6))</f>
        <v>Limerick</v>
      </c>
      <c r="I123" s="22">
        <f t="shared" ca="1" si="15"/>
        <v>43509</v>
      </c>
      <c r="J123" s="22" t="str">
        <f t="shared" ca="1" si="16"/>
        <v/>
      </c>
      <c r="K123" s="16" t="str">
        <f t="shared" ca="1" si="17"/>
        <v>Active</v>
      </c>
      <c r="L123" s="26">
        <f ca="1">_xlfn.XLOOKUP(G123,Lookup!$P$2:$P$28,Lookup!$Q$2:$Q$28)*(1+MIN(X123*3%,30%))</f>
        <v>48300</v>
      </c>
      <c r="M123" s="24">
        <f t="shared" ca="1" si="27"/>
        <v>3</v>
      </c>
      <c r="N123" s="24">
        <f t="shared" ca="1" si="18"/>
        <v>17</v>
      </c>
      <c r="O123" s="24">
        <f t="shared" ca="1" si="19"/>
        <v>11</v>
      </c>
      <c r="P123" s="24">
        <f t="shared" ca="1" si="20"/>
        <v>30</v>
      </c>
      <c r="Q123" s="16" t="str">
        <f t="shared" ca="1" si="21"/>
        <v>Promoted</v>
      </c>
      <c r="R123" s="16" t="str" cm="1">
        <f t="array" ref="R123" ca="1">INDEX(Lookup!$E$2:$E$6,RANDBETWEEN(1,5))</f>
        <v>Bachelor's</v>
      </c>
      <c r="S123" s="16" t="str" cm="1">
        <f t="array" ref="S123" ca="1">INDEX(Lookup!$J$2:$J$11,RANDBETWEEN(1,10))</f>
        <v>Grace O'Connor</v>
      </c>
      <c r="T123" s="16" t="str">
        <f t="shared" ca="1" si="22"/>
        <v>emily.turner@hranalytics.com</v>
      </c>
      <c r="U123" s="16" t="str">
        <f t="shared" ca="1" si="23"/>
        <v>0831760151</v>
      </c>
      <c r="V123" s="16" t="str" cm="1">
        <f t="array" ref="V123" ca="1">_xlfn.LET(_xlpm.r,RANDBETWEEN(1,100),_xlfn.IFS(_xlpm.r&lt;=70,"Full-Time",_xlpm.r&lt;=85,"Part-Time",_xlpm.r&lt;=95,"Contract",TRUE,"Intern"))</f>
        <v>Full-Time</v>
      </c>
      <c r="W123" s="16" cm="1">
        <f t="array" ref="W123" ca="1">IF(K123&lt;&gt;"Active",0,_xlfn.IFS(M123=5,L123*15%,M123=4,L123*10%,M123=3,L123*5%,M123=2,L123*2%,TRUE,0))</f>
        <v>7245</v>
      </c>
      <c r="X123" s="24">
        <f t="shared" ca="1" si="24"/>
        <v>7</v>
      </c>
      <c r="Y123" s="24">
        <f t="shared" ca="1" si="25"/>
        <v>2</v>
      </c>
    </row>
    <row r="124" spans="1:25">
      <c r="A124" s="16" t="str">
        <f t="shared" si="26"/>
        <v>EMP123</v>
      </c>
      <c r="B124" s="16" t="str" cm="1">
        <f t="array" ref="B124" ca="1">IF(D124="Male",INDEX(Lookup!$L$2:$L$13,RANDBETWEEN(1,12)),IF(D124="Female",INDEX(Lookup!$M$2:$M$13,RANDBETWEEN(1,12)),INDEX(Lookup!$N$2:$N$13,RANDBETWEEN(1,12))))</f>
        <v>Hannah</v>
      </c>
      <c r="C124" s="16" t="str" cm="1">
        <f t="array" ref="C124" ca="1">INDEX(Lookup!$K$2:$K$31,RANDBETWEEN(1,30))</f>
        <v>Taylor</v>
      </c>
      <c r="D124" s="16" t="str" cm="1">
        <f t="array" ref="D124" ca="1">INDEX(Lookup!$H$2:$H$4,RANDBETWEEN(1,3))</f>
        <v>Female</v>
      </c>
      <c r="E124" s="16">
        <f t="shared" ca="1" si="14"/>
        <v>46</v>
      </c>
      <c r="F124" s="16" t="str" cm="1">
        <f t="array" ref="F124" ca="1">INDEX(Lookup!$A$2:$A$10,RANDBETWEEN(1,9))</f>
        <v>Legal</v>
      </c>
      <c r="G124" s="16" t="str" cm="1">
        <f t="array" ref="G124" ca="1">_xlfn.LET(_xlpm.Roles,_xlfn._xlws.FILTER(Lookup!$P$2:$P$28,Lookup!$O$2:$O$28=F124),INDEX(_xlpm.Roles,RANDBETWEEN(1,ROWS(_xlpm.Roles))))</f>
        <v>Compliance Officer</v>
      </c>
      <c r="H124" s="16" t="str" cm="1">
        <f t="array" ref="H124" ca="1">INDEX(Lookup!$B$2:$B$7,RANDBETWEEN(1,6))</f>
        <v>Waterford</v>
      </c>
      <c r="I124" s="22">
        <f t="shared" ca="1" si="15"/>
        <v>44818</v>
      </c>
      <c r="J124" s="22" t="str">
        <f t="shared" ca="1" si="16"/>
        <v/>
      </c>
      <c r="K124" s="16" t="str">
        <f t="shared" ca="1" si="17"/>
        <v>Active</v>
      </c>
      <c r="L124" s="26">
        <f ca="1">_xlfn.XLOOKUP(G124,Lookup!$P$2:$P$28,Lookup!$Q$2:$Q$28)*(1+MIN(X124*3%,30%))</f>
        <v>61800</v>
      </c>
      <c r="M124" s="24">
        <f t="shared" ca="1" si="27"/>
        <v>4</v>
      </c>
      <c r="N124" s="24">
        <f t="shared" ca="1" si="18"/>
        <v>34</v>
      </c>
      <c r="O124" s="24">
        <f t="shared" ca="1" si="19"/>
        <v>12</v>
      </c>
      <c r="P124" s="24">
        <f t="shared" ca="1" si="20"/>
        <v>56</v>
      </c>
      <c r="Q124" s="16" t="str">
        <f t="shared" ca="1" si="21"/>
        <v>Not Promoted</v>
      </c>
      <c r="R124" s="16" t="str" cm="1">
        <f t="array" ref="R124" ca="1">INDEX(Lookup!$E$2:$E$6,RANDBETWEEN(1,5))</f>
        <v>PhD</v>
      </c>
      <c r="S124" s="16" t="str" cm="1">
        <f t="array" ref="S124" ca="1">INDEX(Lookup!$J$2:$J$11,RANDBETWEEN(1,10))</f>
        <v>Michael Brown</v>
      </c>
      <c r="T124" s="16" t="str">
        <f t="shared" ca="1" si="22"/>
        <v>hannah.taylor@hranalytics.com</v>
      </c>
      <c r="U124" s="16" t="str">
        <f t="shared" ca="1" si="23"/>
        <v>0876793351</v>
      </c>
      <c r="V124" s="16" t="str" cm="1">
        <f t="array" ref="V124" ca="1">_xlfn.LET(_xlpm.r,RANDBETWEEN(1,100),_xlfn.IFS(_xlpm.r&lt;=70,"Full-Time",_xlpm.r&lt;=85,"Part-Time",_xlpm.r&lt;=95,"Contract",TRUE,"Intern"))</f>
        <v>Part-Time</v>
      </c>
      <c r="W124" s="16" cm="1">
        <f t="array" ref="W124" ca="1">IF(K124&lt;&gt;"Active",0,_xlfn.IFS(M124=5,L124*15%,M124=4,L124*10%,M124=3,L124*5%,M124=2,L124*2%,TRUE,0))</f>
        <v>0</v>
      </c>
      <c r="X124" s="24">
        <f t="shared" ca="1" si="24"/>
        <v>3</v>
      </c>
      <c r="Y124" s="24">
        <f t="shared" ca="1" si="25"/>
        <v>1</v>
      </c>
    </row>
    <row r="125" spans="1:25">
      <c r="A125" s="16" t="str">
        <f t="shared" si="26"/>
        <v>EMP124</v>
      </c>
      <c r="B125" s="16" t="str" cm="1">
        <f t="array" ref="B125" ca="1">IF(D125="Male",INDEX(Lookup!$L$2:$L$13,RANDBETWEEN(1,12)),IF(D125="Female",INDEX(Lookup!$M$2:$M$13,RANDBETWEEN(1,12)),INDEX(Lookup!$N$2:$N$13,RANDBETWEEN(1,12))))</f>
        <v>John</v>
      </c>
      <c r="C125" s="16" t="str" cm="1">
        <f t="array" ref="C125" ca="1">INDEX(Lookup!$K$2:$K$31,RANDBETWEEN(1,30))</f>
        <v>Baker</v>
      </c>
      <c r="D125" s="16" t="str" cm="1">
        <f t="array" ref="D125" ca="1">INDEX(Lookup!$H$2:$H$4,RANDBETWEEN(1,3))</f>
        <v>Male</v>
      </c>
      <c r="E125" s="16">
        <f t="shared" ca="1" si="14"/>
        <v>44</v>
      </c>
      <c r="F125" s="16" t="str" cm="1">
        <f t="array" ref="F125" ca="1">INDEX(Lookup!$A$2:$A$10,RANDBETWEEN(1,9))</f>
        <v>Customer Support</v>
      </c>
      <c r="G125" s="16" t="str" cm="1">
        <f t="array" ref="G125" ca="1">_xlfn.LET(_xlpm.Roles,_xlfn._xlws.FILTER(Lookup!$P$2:$P$28,Lookup!$O$2:$O$28=F125),INDEX(_xlpm.Roles,RANDBETWEEN(1,ROWS(_xlpm.Roles))))</f>
        <v>Technical Support Specialist</v>
      </c>
      <c r="H125" s="16" t="str" cm="1">
        <f t="array" ref="H125" ca="1">INDEX(Lookup!$B$2:$B$7,RANDBETWEEN(1,6))</f>
        <v>Waterford</v>
      </c>
      <c r="I125" s="22">
        <f t="shared" ca="1" si="15"/>
        <v>45026</v>
      </c>
      <c r="J125" s="22" t="str">
        <f t="shared" ca="1" si="16"/>
        <v/>
      </c>
      <c r="K125" s="16" t="str">
        <f t="shared" ca="1" si="17"/>
        <v>Active</v>
      </c>
      <c r="L125" s="26">
        <f ca="1">_xlfn.XLOOKUP(G125,Lookup!$P$2:$P$28,Lookup!$Q$2:$Q$28)*(1+MIN(X125*3%,30%))</f>
        <v>54450</v>
      </c>
      <c r="M125" s="24">
        <f t="shared" ca="1" si="27"/>
        <v>4</v>
      </c>
      <c r="N125" s="24">
        <f t="shared" ca="1" si="18"/>
        <v>34</v>
      </c>
      <c r="O125" s="24">
        <f t="shared" ca="1" si="19"/>
        <v>3</v>
      </c>
      <c r="P125" s="24">
        <f t="shared" ca="1" si="20"/>
        <v>36</v>
      </c>
      <c r="Q125" s="16" t="str">
        <f t="shared" ca="1" si="21"/>
        <v>Not Promoted</v>
      </c>
      <c r="R125" s="16" t="str" cm="1">
        <f t="array" ref="R125" ca="1">INDEX(Lookup!$E$2:$E$6,RANDBETWEEN(1,5))</f>
        <v>Bachelor's</v>
      </c>
      <c r="S125" s="16" t="str" cm="1">
        <f t="array" ref="S125" ca="1">INDEX(Lookup!$J$2:$J$11,RANDBETWEEN(1,10))</f>
        <v>Sophia Martin</v>
      </c>
      <c r="T125" s="16" t="str">
        <f t="shared" ca="1" si="22"/>
        <v>john.baker@hranalytics.com</v>
      </c>
      <c r="U125" s="16" t="str">
        <f t="shared" ca="1" si="23"/>
        <v>0887628553</v>
      </c>
      <c r="V125" s="16" t="str" cm="1">
        <f t="array" ref="V125" ca="1">_xlfn.LET(_xlpm.r,RANDBETWEEN(1,100),_xlfn.IFS(_xlpm.r&lt;=70,"Full-Time",_xlpm.r&lt;=85,"Part-Time",_xlpm.r&lt;=95,"Contract",TRUE,"Intern"))</f>
        <v>Full-Time</v>
      </c>
      <c r="W125" s="16" cm="1">
        <f t="array" ref="W125" ca="1">IF(K125&lt;&gt;"Active",0,_xlfn.IFS(M125=5,L125*15%,M125=4,L125*10%,M125=3,L125*5%,M125=2,L125*2%,TRUE,0))</f>
        <v>0</v>
      </c>
      <c r="X125" s="24">
        <f t="shared" ca="1" si="24"/>
        <v>3</v>
      </c>
      <c r="Y125" s="24">
        <f t="shared" ca="1" si="25"/>
        <v>2</v>
      </c>
    </row>
    <row r="126" spans="1:25">
      <c r="A126" s="16" t="str">
        <f t="shared" si="26"/>
        <v>EMP125</v>
      </c>
      <c r="B126" s="16" t="str" cm="1">
        <f t="array" ref="B126" ca="1">IF(D126="Male",INDEX(Lookup!$L$2:$L$13,RANDBETWEEN(1,12)),IF(D126="Female",INDEX(Lookup!$M$2:$M$13,RANDBETWEEN(1,12)),INDEX(Lookup!$N$2:$N$13,RANDBETWEEN(1,12))))</f>
        <v>John</v>
      </c>
      <c r="C126" s="16" t="str" cm="1">
        <f t="array" ref="C126" ca="1">INDEX(Lookup!$K$2:$K$31,RANDBETWEEN(1,30))</f>
        <v>Adams</v>
      </c>
      <c r="D126" s="16" t="str" cm="1">
        <f t="array" ref="D126" ca="1">INDEX(Lookup!$H$2:$H$4,RANDBETWEEN(1,3))</f>
        <v>Male</v>
      </c>
      <c r="E126" s="16">
        <f t="shared" ca="1" si="14"/>
        <v>41</v>
      </c>
      <c r="F126" s="16" t="str" cm="1">
        <f t="array" ref="F126" ca="1">INDEX(Lookup!$A$2:$A$10,RANDBETWEEN(1,9))</f>
        <v>Operations</v>
      </c>
      <c r="G126" s="16" t="str" cm="1">
        <f t="array" ref="G126" ca="1">_xlfn.LET(_xlpm.Roles,_xlfn._xlws.FILTER(Lookup!$P$2:$P$28,Lookup!$O$2:$O$28=F126),INDEX(_xlpm.Roles,RANDBETWEEN(1,ROWS(_xlpm.Roles))))</f>
        <v>Operations Manager</v>
      </c>
      <c r="H126" s="16" t="str" cm="1">
        <f t="array" ref="H126" ca="1">INDEX(Lookup!$B$2:$B$7,RANDBETWEEN(1,6))</f>
        <v>Galway</v>
      </c>
      <c r="I126" s="22">
        <f t="shared" ca="1" si="15"/>
        <v>43659</v>
      </c>
      <c r="J126" s="22" t="str">
        <f t="shared" ca="1" si="16"/>
        <v/>
      </c>
      <c r="K126" s="16" t="str">
        <f t="shared" ca="1" si="17"/>
        <v>Active</v>
      </c>
      <c r="L126" s="26">
        <f ca="1">_xlfn.XLOOKUP(G126,Lookup!$P$2:$P$28,Lookup!$Q$2:$Q$28)*(1+MIN(X126*3%,30%))</f>
        <v>67580</v>
      </c>
      <c r="M126" s="24">
        <f t="shared" ca="1" si="27"/>
        <v>2</v>
      </c>
      <c r="N126" s="24">
        <f t="shared" ca="1" si="18"/>
        <v>6</v>
      </c>
      <c r="O126" s="24">
        <f t="shared" ca="1" si="19"/>
        <v>1</v>
      </c>
      <c r="P126" s="24">
        <f t="shared" ca="1" si="20"/>
        <v>26</v>
      </c>
      <c r="Q126" s="16" t="str">
        <f t="shared" ca="1" si="21"/>
        <v>Promoted</v>
      </c>
      <c r="R126" s="16" t="str" cm="1">
        <f t="array" ref="R126" ca="1">INDEX(Lookup!$E$2:$E$6,RANDBETWEEN(1,5))</f>
        <v>High School</v>
      </c>
      <c r="S126" s="16" t="str" cm="1">
        <f t="array" ref="S126" ca="1">INDEX(Lookup!$J$2:$J$11,RANDBETWEEN(1,10))</f>
        <v>Liam Byrne</v>
      </c>
      <c r="T126" s="16" t="str">
        <f t="shared" ca="1" si="22"/>
        <v>john.adams@hranalytics.com</v>
      </c>
      <c r="U126" s="16" t="str">
        <f t="shared" ca="1" si="23"/>
        <v>0876558136</v>
      </c>
      <c r="V126" s="16" t="str" cm="1">
        <f t="array" ref="V126" ca="1">_xlfn.LET(_xlpm.r,RANDBETWEEN(1,100),_xlfn.IFS(_xlpm.r&lt;=70,"Full-Time",_xlpm.r&lt;=85,"Part-Time",_xlpm.r&lt;=95,"Contract",TRUE,"Intern"))</f>
        <v>Full-Time</v>
      </c>
      <c r="W126" s="16" cm="1">
        <f t="array" ref="W126" ca="1">IF(K126&lt;&gt;"Active",0,_xlfn.IFS(M126=5,L126*15%,M126=4,L126*10%,M126=3,L126*5%,M126=2,L126*2%,TRUE,0))</f>
        <v>0</v>
      </c>
      <c r="X126" s="24">
        <f t="shared" ca="1" si="24"/>
        <v>7</v>
      </c>
      <c r="Y126" s="24">
        <f t="shared" ca="1" si="25"/>
        <v>2</v>
      </c>
    </row>
    <row r="127" spans="1:25">
      <c r="A127" s="16" t="str">
        <f t="shared" si="26"/>
        <v>EMP126</v>
      </c>
      <c r="B127" s="16" t="str" cm="1">
        <f t="array" ref="B127" ca="1">IF(D127="Male",INDEX(Lookup!$L$2:$L$13,RANDBETWEEN(1,12)),IF(D127="Female",INDEX(Lookup!$M$2:$M$13,RANDBETWEEN(1,12)),INDEX(Lookup!$N$2:$N$13,RANDBETWEEN(1,12))))</f>
        <v>Sophia</v>
      </c>
      <c r="C127" s="16" t="str" cm="1">
        <f t="array" ref="C127" ca="1">INDEX(Lookup!$K$2:$K$31,RANDBETWEEN(1,30))</f>
        <v>Hall</v>
      </c>
      <c r="D127" s="16" t="str" cm="1">
        <f t="array" ref="D127" ca="1">INDEX(Lookup!$H$2:$H$4,RANDBETWEEN(1,3))</f>
        <v>Female</v>
      </c>
      <c r="E127" s="16">
        <f t="shared" ca="1" si="14"/>
        <v>48</v>
      </c>
      <c r="F127" s="16" t="str" cm="1">
        <f t="array" ref="F127" ca="1">INDEX(Lookup!$A$2:$A$10,RANDBETWEEN(1,9))</f>
        <v>Marketing</v>
      </c>
      <c r="G127" s="16" t="str" cm="1">
        <f t="array" ref="G127" ca="1">_xlfn.LET(_xlpm.Roles,_xlfn._xlws.FILTER(Lookup!$P$2:$P$28,Lookup!$O$2:$O$28=F127),INDEX(_xlpm.Roles,RANDBETWEEN(1,ROWS(_xlpm.Roles))))</f>
        <v>Marketing Executive</v>
      </c>
      <c r="H127" s="16" t="str" cm="1">
        <f t="array" ref="H127" ca="1">INDEX(Lookup!$B$2:$B$7,RANDBETWEEN(1,6))</f>
        <v>Cork</v>
      </c>
      <c r="I127" s="22">
        <f t="shared" ca="1" si="15"/>
        <v>45707</v>
      </c>
      <c r="J127" s="22" t="str">
        <f t="shared" ca="1" si="16"/>
        <v/>
      </c>
      <c r="K127" s="16" t="str">
        <f t="shared" ca="1" si="17"/>
        <v>Active</v>
      </c>
      <c r="L127" s="26">
        <f ca="1">_xlfn.XLOOKUP(G127,Lookup!$P$2:$P$28,Lookup!$Q$2:$Q$28)*(1+MIN(X127*3%,30%))</f>
        <v>48300</v>
      </c>
      <c r="M127" s="24">
        <f t="shared" ca="1" si="27"/>
        <v>3</v>
      </c>
      <c r="N127" s="24">
        <f t="shared" ca="1" si="18"/>
        <v>19</v>
      </c>
      <c r="O127" s="24">
        <f t="shared" ca="1" si="19"/>
        <v>7</v>
      </c>
      <c r="P127" s="24">
        <f t="shared" ca="1" si="20"/>
        <v>47</v>
      </c>
      <c r="Q127" s="16" t="str">
        <f t="shared" ca="1" si="21"/>
        <v>Not Promoted</v>
      </c>
      <c r="R127" s="16" t="str" cm="1">
        <f t="array" ref="R127" ca="1">INDEX(Lookup!$E$2:$E$6,RANDBETWEEN(1,5))</f>
        <v>PhD</v>
      </c>
      <c r="S127" s="16" t="str" cm="1">
        <f t="array" ref="S127" ca="1">INDEX(Lookup!$J$2:$J$11,RANDBETWEEN(1,10))</f>
        <v>Emma Wilson</v>
      </c>
      <c r="T127" s="16" t="str">
        <f t="shared" ca="1" si="22"/>
        <v>sophia.hall@hranalytics.com</v>
      </c>
      <c r="U127" s="16" t="str">
        <f t="shared" ca="1" si="23"/>
        <v>0877094669</v>
      </c>
      <c r="V127" s="16" t="str" cm="1">
        <f t="array" ref="V127" ca="1">_xlfn.LET(_xlpm.r,RANDBETWEEN(1,100),_xlfn.IFS(_xlpm.r&lt;=70,"Full-Time",_xlpm.r&lt;=85,"Part-Time",_xlpm.r&lt;=95,"Contract",TRUE,"Intern"))</f>
        <v>Full-Time</v>
      </c>
      <c r="W127" s="16" cm="1">
        <f t="array" ref="W127" ca="1">IF(K127&lt;&gt;"Active",0,_xlfn.IFS(M127=5,L127*15%,M127=4,L127*10%,M127=3,L127*5%,M127=2,L127*2%,TRUE,0))</f>
        <v>0</v>
      </c>
      <c r="X127" s="24">
        <f t="shared" ca="1" si="24"/>
        <v>1</v>
      </c>
      <c r="Y127" s="24">
        <f t="shared" ca="1" si="25"/>
        <v>1</v>
      </c>
    </row>
    <row r="128" spans="1:25">
      <c r="A128" s="16" t="str">
        <f t="shared" si="26"/>
        <v>EMP127</v>
      </c>
      <c r="B128" s="16" t="str" cm="1">
        <f t="array" ref="B128" ca="1">IF(D128="Male",INDEX(Lookup!$L$2:$L$13,RANDBETWEEN(1,12)),IF(D128="Female",INDEX(Lookup!$M$2:$M$13,RANDBETWEEN(1,12)),INDEX(Lookup!$N$2:$N$13,RANDBETWEEN(1,12))))</f>
        <v>Noah</v>
      </c>
      <c r="C128" s="16" t="str" cm="1">
        <f t="array" ref="C128" ca="1">INDEX(Lookup!$K$2:$K$31,RANDBETWEEN(1,30))</f>
        <v>Collins</v>
      </c>
      <c r="D128" s="16" t="str" cm="1">
        <f t="array" ref="D128" ca="1">INDEX(Lookup!$H$2:$H$4,RANDBETWEEN(1,3))</f>
        <v>Male</v>
      </c>
      <c r="E128" s="16">
        <f t="shared" ca="1" si="14"/>
        <v>54</v>
      </c>
      <c r="F128" s="16" t="str" cm="1">
        <f t="array" ref="F128" ca="1">INDEX(Lookup!$A$2:$A$10,RANDBETWEEN(1,9))</f>
        <v>Procurement</v>
      </c>
      <c r="G128" s="16" t="str" cm="1">
        <f t="array" ref="G128" ca="1">_xlfn.LET(_xlpm.Roles,_xlfn._xlws.FILTER(Lookup!$P$2:$P$28,Lookup!$O$2:$O$28=F128),INDEX(_xlpm.Roles,RANDBETWEEN(1,ROWS(_xlpm.Roles))))</f>
        <v>Purchasing Executive</v>
      </c>
      <c r="H128" s="16" t="str" cm="1">
        <f t="array" ref="H128" ca="1">INDEX(Lookup!$B$2:$B$7,RANDBETWEEN(1,6))</f>
        <v>Belfast</v>
      </c>
      <c r="I128" s="22">
        <f t="shared" ca="1" si="15"/>
        <v>45273</v>
      </c>
      <c r="J128" s="22" t="str">
        <f t="shared" ca="1" si="16"/>
        <v/>
      </c>
      <c r="K128" s="16" t="str">
        <f t="shared" ca="1" si="17"/>
        <v>Active</v>
      </c>
      <c r="L128" s="26">
        <f ca="1">_xlfn.XLOOKUP(G128,Lookup!$P$2:$P$28,Lookup!$Q$2:$Q$28)*(1+MIN(X128*3%,30%))</f>
        <v>52080</v>
      </c>
      <c r="M128" s="24">
        <f t="shared" ca="1" si="27"/>
        <v>4</v>
      </c>
      <c r="N128" s="24">
        <f t="shared" ca="1" si="18"/>
        <v>47</v>
      </c>
      <c r="O128" s="24">
        <f t="shared" ca="1" si="19"/>
        <v>15</v>
      </c>
      <c r="P128" s="24">
        <f t="shared" ca="1" si="20"/>
        <v>23</v>
      </c>
      <c r="Q128" s="16" t="str">
        <f t="shared" ca="1" si="21"/>
        <v>Promoted</v>
      </c>
      <c r="R128" s="16" t="str" cm="1">
        <f t="array" ref="R128" ca="1">INDEX(Lookup!$E$2:$E$6,RANDBETWEEN(1,5))</f>
        <v>PhD</v>
      </c>
      <c r="S128" s="16" t="str" cm="1">
        <f t="array" ref="S128" ca="1">INDEX(Lookup!$J$2:$J$11,RANDBETWEEN(1,10))</f>
        <v>David Murphy</v>
      </c>
      <c r="T128" s="16" t="str">
        <f t="shared" ca="1" si="22"/>
        <v>noah.collins@hranalytics.com</v>
      </c>
      <c r="U128" s="16" t="str">
        <f t="shared" ca="1" si="23"/>
        <v>0839954179</v>
      </c>
      <c r="V128" s="16" t="str" cm="1">
        <f t="array" ref="V128" ca="1">_xlfn.LET(_xlpm.r,RANDBETWEEN(1,100),_xlfn.IFS(_xlpm.r&lt;=70,"Full-Time",_xlpm.r&lt;=85,"Part-Time",_xlpm.r&lt;=95,"Contract",TRUE,"Intern"))</f>
        <v>Full-Time</v>
      </c>
      <c r="W128" s="16" cm="1">
        <f t="array" ref="W128" ca="1">IF(K128&lt;&gt;"Active",0,_xlfn.IFS(M128=5,L128*15%,M128=4,L128*10%,M128=3,L128*5%,M128=2,L128*2%,TRUE,0))</f>
        <v>0</v>
      </c>
      <c r="X128" s="24">
        <f t="shared" ca="1" si="24"/>
        <v>2</v>
      </c>
      <c r="Y128" s="24">
        <f t="shared" ca="1" si="25"/>
        <v>3</v>
      </c>
    </row>
    <row r="129" spans="1:25">
      <c r="A129" s="16" t="str">
        <f t="shared" si="26"/>
        <v>EMP128</v>
      </c>
      <c r="B129" s="16" t="str" cm="1">
        <f t="array" ref="B129" ca="1">IF(D129="Male",INDEX(Lookup!$L$2:$L$13,RANDBETWEEN(1,12)),IF(D129="Female",INDEX(Lookup!$M$2:$M$13,RANDBETWEEN(1,12)),INDEX(Lookup!$N$2:$N$13,RANDBETWEEN(1,12))))</f>
        <v>Olivia</v>
      </c>
      <c r="C129" s="16" t="str" cm="1">
        <f t="array" ref="C129" ca="1">INDEX(Lookup!$K$2:$K$31,RANDBETWEEN(1,30))</f>
        <v>Baker</v>
      </c>
      <c r="D129" s="16" t="str" cm="1">
        <f t="array" ref="D129" ca="1">INDEX(Lookup!$H$2:$H$4,RANDBETWEEN(1,3))</f>
        <v>Female</v>
      </c>
      <c r="E129" s="16">
        <f t="shared" ca="1" si="14"/>
        <v>56</v>
      </c>
      <c r="F129" s="16" t="str" cm="1">
        <f t="array" ref="F129" ca="1">INDEX(Lookup!$A$2:$A$10,RANDBETWEEN(1,9))</f>
        <v>Finance</v>
      </c>
      <c r="G129" s="16" t="str" cm="1">
        <f t="array" ref="G129" ca="1">_xlfn.LET(_xlpm.Roles,_xlfn._xlws.FILTER(Lookup!$P$2:$P$28,Lookup!$O$2:$O$28=F129),INDEX(_xlpm.Roles,RANDBETWEEN(1,ROWS(_xlpm.Roles))))</f>
        <v>Accountant</v>
      </c>
      <c r="H129" s="16" t="str" cm="1">
        <f t="array" ref="H129" ca="1">INDEX(Lookup!$B$2:$B$7,RANDBETWEEN(1,6))</f>
        <v>Dublin</v>
      </c>
      <c r="I129" s="22">
        <f t="shared" ca="1" si="15"/>
        <v>43156</v>
      </c>
      <c r="J129" s="22">
        <f t="shared" ca="1" si="16"/>
        <v>44013</v>
      </c>
      <c r="K129" s="16" t="str">
        <f t="shared" ca="1" si="17"/>
        <v>Resigned</v>
      </c>
      <c r="L129" s="26">
        <f ca="1">_xlfn.XLOOKUP(G129,Lookup!$P$2:$P$28,Lookup!$Q$2:$Q$28)*(1+MIN(X129*3%,30%))</f>
        <v>59000</v>
      </c>
      <c r="M129" s="24">
        <f t="shared" ca="1" si="27"/>
        <v>4</v>
      </c>
      <c r="N129" s="24">
        <f t="shared" ca="1" si="18"/>
        <v>16</v>
      </c>
      <c r="O129" s="24">
        <f t="shared" ca="1" si="19"/>
        <v>10</v>
      </c>
      <c r="P129" s="24">
        <f t="shared" ca="1" si="20"/>
        <v>50</v>
      </c>
      <c r="Q129" s="16" t="str">
        <f t="shared" ca="1" si="21"/>
        <v>Promoted</v>
      </c>
      <c r="R129" s="16" t="str" cm="1">
        <f t="array" ref="R129" ca="1">INDEX(Lookup!$E$2:$E$6,RANDBETWEEN(1,5))</f>
        <v>PhD</v>
      </c>
      <c r="S129" s="16" t="str" cm="1">
        <f t="array" ref="S129" ca="1">INDEX(Lookup!$J$2:$J$11,RANDBETWEEN(1,10))</f>
        <v>David Murphy</v>
      </c>
      <c r="T129" s="16" t="str">
        <f t="shared" ca="1" si="22"/>
        <v>olivia.baker@hranalytics.com</v>
      </c>
      <c r="U129" s="16" t="str">
        <f t="shared" ca="1" si="23"/>
        <v>0852355429</v>
      </c>
      <c r="V129" s="16" t="str" cm="1">
        <f t="array" ref="V129" ca="1">_xlfn.LET(_xlpm.r,RANDBETWEEN(1,100),_xlfn.IFS(_xlpm.r&lt;=70,"Full-Time",_xlpm.r&lt;=85,"Part-Time",_xlpm.r&lt;=95,"Contract",TRUE,"Intern"))</f>
        <v>Contract</v>
      </c>
      <c r="W129" s="16" cm="1">
        <f t="array" ref="W129" ca="1">IF(K129&lt;&gt;"Active",0,_xlfn.IFS(M129=5,L129*15%,M129=4,L129*10%,M129=3,L129*5%,M129=2,L129*2%,TRUE,0))</f>
        <v>5900</v>
      </c>
      <c r="X129" s="24">
        <f t="shared" ca="1" si="24"/>
        <v>8</v>
      </c>
      <c r="Y129" s="24">
        <f t="shared" ca="1" si="25"/>
        <v>2</v>
      </c>
    </row>
    <row r="130" spans="1:25">
      <c r="A130" s="16" t="str">
        <f t="shared" si="26"/>
        <v>EMP129</v>
      </c>
      <c r="B130" s="16" t="str" cm="1">
        <f t="array" ref="B130" ca="1">IF(D130="Male",INDEX(Lookup!$L$2:$L$13,RANDBETWEEN(1,12)),IF(D130="Female",INDEX(Lookup!$M$2:$M$13,RANDBETWEEN(1,12)),INDEX(Lookup!$N$2:$N$13,RANDBETWEEN(1,12))))</f>
        <v>Oliver</v>
      </c>
      <c r="C130" s="16" t="str" cm="1">
        <f t="array" ref="C130" ca="1">INDEX(Lookup!$K$2:$K$31,RANDBETWEEN(1,30))</f>
        <v>Wilson</v>
      </c>
      <c r="D130" s="16" t="str" cm="1">
        <f t="array" ref="D130" ca="1">INDEX(Lookup!$H$2:$H$4,RANDBETWEEN(1,3))</f>
        <v>Male</v>
      </c>
      <c r="E130" s="16">
        <f t="shared" ref="E130:E193" ca="1" si="28">RANDBETWEEN(21,60)</f>
        <v>31</v>
      </c>
      <c r="F130" s="16" t="str" cm="1">
        <f t="array" ref="F130" ca="1">INDEX(Lookup!$A$2:$A$10,RANDBETWEEN(1,9))</f>
        <v>Sales</v>
      </c>
      <c r="G130" s="16" t="str" cm="1">
        <f t="array" ref="G130" ca="1">_xlfn.LET(_xlpm.Roles,_xlfn._xlws.FILTER(Lookup!$P$2:$P$28,Lookup!$O$2:$O$28=F130),INDEX(_xlpm.Roles,RANDBETWEEN(1,ROWS(_xlpm.Roles))))</f>
        <v>Sales Executive</v>
      </c>
      <c r="H130" s="16" t="str" cm="1">
        <f t="array" ref="H130" ca="1">INDEX(Lookup!$B$2:$B$7,RANDBETWEEN(1,6))</f>
        <v>Galway</v>
      </c>
      <c r="I130" s="22">
        <f t="shared" ref="I130:I193" ca="1" si="29">DATE(RANDBETWEEN(2018,2025),RANDBETWEEN(1,12),RANDBETWEEN(1,28))</f>
        <v>44908</v>
      </c>
      <c r="J130" s="22" t="str">
        <f t="shared" ref="J130:J193" ca="1" si="30">IF(K130="Resigned",I130+RANDBETWEEN(180,2000),"")</f>
        <v/>
      </c>
      <c r="K130" s="16" t="str">
        <f t="shared" ref="K130:K193" ca="1" si="31">IF(RANDBETWEEN(1,10)&lt;=8,"Active","Resigned")</f>
        <v>Active</v>
      </c>
      <c r="L130" s="26">
        <f ca="1">_xlfn.XLOOKUP(G130,Lookup!$P$2:$P$28,Lookup!$Q$2:$Q$28)*(1+MIN(X130*3%,30%))</f>
        <v>41200</v>
      </c>
      <c r="M130" s="24">
        <f t="shared" ca="1" si="27"/>
        <v>5</v>
      </c>
      <c r="N130" s="24">
        <f t="shared" ref="N130:N193" ca="1" si="32">RANDBETWEEN(0,80)</f>
        <v>24</v>
      </c>
      <c r="O130" s="24">
        <f t="shared" ref="O130:O193" ca="1" si="33">RANDBETWEEN(0,20)</f>
        <v>17</v>
      </c>
      <c r="P130" s="24">
        <f t="shared" ref="P130:P193" ca="1" si="34">RANDBETWEEN(0,60)</f>
        <v>21</v>
      </c>
      <c r="Q130" s="16" t="str">
        <f t="shared" ref="Q130:Q193" ca="1" si="35">IF(AND(L130&gt;=4,X130&gt;=2,K130="Active"),"Promoted","Not Promoted")</f>
        <v>Not Promoted</v>
      </c>
      <c r="R130" s="16" t="str" cm="1">
        <f t="array" ref="R130" ca="1">INDEX(Lookup!$E$2:$E$6,RANDBETWEEN(1,5))</f>
        <v>Dipolma</v>
      </c>
      <c r="S130" s="16" t="str" cm="1">
        <f t="array" ref="S130" ca="1">INDEX(Lookup!$J$2:$J$11,RANDBETWEEN(1,10))</f>
        <v>David Murphy</v>
      </c>
      <c r="T130" s="16" t="str">
        <f t="shared" ref="T130:T193" ca="1" si="36">LOWER(B130&amp;"."&amp;C130&amp;"@hranalytics.com")</f>
        <v>oliver.wilson@hranalytics.com</v>
      </c>
      <c r="U130" s="16" t="str">
        <f t="shared" ref="U130:U193" ca="1" si="37">"08"&amp;RANDBETWEEN(3,9)&amp;TEXT(RANDBETWEEN(1000000,9999999),"0000000")</f>
        <v>0873385480</v>
      </c>
      <c r="V130" s="16" t="str" cm="1">
        <f t="array" ref="V130" ca="1">_xlfn.LET(_xlpm.r,RANDBETWEEN(1,100),_xlfn.IFS(_xlpm.r&lt;=70,"Full-Time",_xlpm.r&lt;=85,"Part-Time",_xlpm.r&lt;=95,"Contract",TRUE,"Intern"))</f>
        <v>Full-Time</v>
      </c>
      <c r="W130" s="16" cm="1">
        <f t="array" ref="W130" ca="1">IF(K130&lt;&gt;"Active",0,_xlfn.IFS(M130=5,L130*15%,M130=4,L130*10%,M130=3,L130*5%,M130=2,L130*2%,TRUE,0))</f>
        <v>824</v>
      </c>
      <c r="X130" s="24">
        <f t="shared" ref="X130:X193" ca="1" si="38">DATEDIF(I130,TODAY(),"Y")</f>
        <v>3</v>
      </c>
      <c r="Y130" s="24">
        <f t="shared" ref="Y130:Y193" ca="1" si="39">RANDBETWEEN(1,3)</f>
        <v>3</v>
      </c>
    </row>
    <row r="131" spans="1:25">
      <c r="A131" s="16" t="str">
        <f t="shared" ref="A131:A194" si="40">"EMP"&amp;TEXT(ROW()-1,"000")</f>
        <v>EMP130</v>
      </c>
      <c r="B131" s="16" t="str" cm="1">
        <f t="array" ref="B131" ca="1">IF(D131="Male",INDEX(Lookup!$L$2:$L$13,RANDBETWEEN(1,12)),IF(D131="Female",INDEX(Lookup!$M$2:$M$13,RANDBETWEEN(1,12)),INDEX(Lookup!$N$2:$N$13,RANDBETWEEN(1,12))))</f>
        <v>Emily</v>
      </c>
      <c r="C131" s="16" t="str" cm="1">
        <f t="array" ref="C131" ca="1">INDEX(Lookup!$K$2:$K$31,RANDBETWEEN(1,30))</f>
        <v>Taylor</v>
      </c>
      <c r="D131" s="16" t="str" cm="1">
        <f t="array" ref="D131" ca="1">INDEX(Lookup!$H$2:$H$4,RANDBETWEEN(1,3))</f>
        <v>Female</v>
      </c>
      <c r="E131" s="16">
        <f t="shared" ca="1" si="28"/>
        <v>52</v>
      </c>
      <c r="F131" s="16" t="str" cm="1">
        <f t="array" ref="F131" ca="1">INDEX(Lookup!$A$2:$A$10,RANDBETWEEN(1,9))</f>
        <v>HR</v>
      </c>
      <c r="G131" s="16" t="str" cm="1">
        <f t="array" ref="G131" ca="1">_xlfn.LET(_xlpm.Roles,_xlfn._xlws.FILTER(Lookup!$P$2:$P$28,Lookup!$O$2:$O$28=F131),INDEX(_xlpm.Roles,RANDBETWEEN(1,ROWS(_xlpm.Roles))))</f>
        <v>HR Assistant</v>
      </c>
      <c r="H131" s="16" t="str" cm="1">
        <f t="array" ref="H131" ca="1">INDEX(Lookup!$B$2:$B$7,RANDBETWEEN(1,6))</f>
        <v>Belfast</v>
      </c>
      <c r="I131" s="22">
        <f t="shared" ca="1" si="29"/>
        <v>43266</v>
      </c>
      <c r="J131" s="22" t="str">
        <f t="shared" ca="1" si="30"/>
        <v/>
      </c>
      <c r="K131" s="16" t="str">
        <f t="shared" ca="1" si="31"/>
        <v>Active</v>
      </c>
      <c r="L131" s="26">
        <f ca="1">_xlfn.XLOOKUP(G131,Lookup!$P$2:$P$28,Lookup!$Q$2:$Q$28)*(1+MIN(X131*3%,30%))</f>
        <v>38080</v>
      </c>
      <c r="M131" s="24">
        <f t="shared" ref="M131:M194" ca="1" si="41">RANDBETWEEN(1,5)</f>
        <v>4</v>
      </c>
      <c r="N131" s="24">
        <f t="shared" ca="1" si="32"/>
        <v>6</v>
      </c>
      <c r="O131" s="24">
        <f t="shared" ca="1" si="33"/>
        <v>0</v>
      </c>
      <c r="P131" s="24">
        <f t="shared" ca="1" si="34"/>
        <v>47</v>
      </c>
      <c r="Q131" s="16" t="str">
        <f t="shared" ca="1" si="35"/>
        <v>Not Promoted</v>
      </c>
      <c r="R131" s="16" t="str" cm="1">
        <f t="array" ref="R131" ca="1">INDEX(Lookup!$E$2:$E$6,RANDBETWEEN(1,5))</f>
        <v>PhD</v>
      </c>
      <c r="S131" s="16" t="str" cm="1">
        <f t="array" ref="S131" ca="1">INDEX(Lookup!$J$2:$J$11,RANDBETWEEN(1,10))</f>
        <v>Sarah Johnson</v>
      </c>
      <c r="T131" s="16" t="str">
        <f t="shared" ca="1" si="36"/>
        <v>emily.taylor@hranalytics.com</v>
      </c>
      <c r="U131" s="16" t="str">
        <f t="shared" ca="1" si="37"/>
        <v>0876960171</v>
      </c>
      <c r="V131" s="16" t="str" cm="1">
        <f t="array" ref="V131" ca="1">_xlfn.LET(_xlpm.r,RANDBETWEEN(1,100),_xlfn.IFS(_xlpm.r&lt;=70,"Full-Time",_xlpm.r&lt;=85,"Part-Time",_xlpm.r&lt;=95,"Contract",TRUE,"Intern"))</f>
        <v>Contract</v>
      </c>
      <c r="W131" s="16" cm="1">
        <f t="array" ref="W131" ca="1">IF(K131&lt;&gt;"Active",0,_xlfn.IFS(M131=5,L131*15%,M131=4,L131*10%,M131=3,L131*5%,M131=2,L131*2%,TRUE,0))</f>
        <v>0</v>
      </c>
      <c r="X131" s="24">
        <f t="shared" ca="1" si="38"/>
        <v>8</v>
      </c>
      <c r="Y131" s="24">
        <f t="shared" ca="1" si="39"/>
        <v>3</v>
      </c>
    </row>
    <row r="132" spans="1:25">
      <c r="A132" s="16" t="str">
        <f t="shared" si="40"/>
        <v>EMP131</v>
      </c>
      <c r="B132" s="16" t="str" cm="1">
        <f t="array" ref="B132" ca="1">IF(D132="Male",INDEX(Lookup!$L$2:$L$13,RANDBETWEEN(1,12)),IF(D132="Female",INDEX(Lookup!$M$2:$M$13,RANDBETWEEN(1,12)),INDEX(Lookup!$N$2:$N$13,RANDBETWEEN(1,12))))</f>
        <v>Riley</v>
      </c>
      <c r="C132" s="16" t="str" cm="1">
        <f t="array" ref="C132" ca="1">INDEX(Lookup!$K$2:$K$31,RANDBETWEEN(1,30))</f>
        <v>Martin</v>
      </c>
      <c r="D132" s="16" t="str" cm="1">
        <f t="array" ref="D132" ca="1">INDEX(Lookup!$H$2:$H$4,RANDBETWEEN(1,3))</f>
        <v>Other</v>
      </c>
      <c r="E132" s="16">
        <f t="shared" ca="1" si="28"/>
        <v>31</v>
      </c>
      <c r="F132" s="16" t="str" cm="1">
        <f t="array" ref="F132" ca="1">INDEX(Lookup!$A$2:$A$10,RANDBETWEEN(1,9))</f>
        <v>Customer Support</v>
      </c>
      <c r="G132" s="16" t="str" cm="1">
        <f t="array" ref="G132" ca="1">_xlfn.LET(_xlpm.Roles,_xlfn._xlws.FILTER(Lookup!$P$2:$P$28,Lookup!$O$2:$O$28=F132),INDEX(_xlpm.Roles,RANDBETWEEN(1,ROWS(_xlpm.Roles))))</f>
        <v>Customer Success Specialist</v>
      </c>
      <c r="H132" s="16" t="str" cm="1">
        <f t="array" ref="H132" ca="1">INDEX(Lookup!$B$2:$B$7,RANDBETWEEN(1,6))</f>
        <v>Waterford</v>
      </c>
      <c r="I132" s="22">
        <f t="shared" ca="1" si="29"/>
        <v>45729</v>
      </c>
      <c r="J132" s="22" t="str">
        <f t="shared" ca="1" si="30"/>
        <v/>
      </c>
      <c r="K132" s="16" t="str">
        <f t="shared" ca="1" si="31"/>
        <v>Active</v>
      </c>
      <c r="L132" s="26">
        <f ca="1">_xlfn.XLOOKUP(G132,Lookup!$P$2:$P$28,Lookup!$Q$2:$Q$28)*(1+MIN(X132*3%,30%))</f>
        <v>43260</v>
      </c>
      <c r="M132" s="24">
        <f t="shared" ca="1" si="41"/>
        <v>1</v>
      </c>
      <c r="N132" s="24">
        <f t="shared" ca="1" si="32"/>
        <v>27</v>
      </c>
      <c r="O132" s="24">
        <f t="shared" ca="1" si="33"/>
        <v>15</v>
      </c>
      <c r="P132" s="24">
        <f t="shared" ca="1" si="34"/>
        <v>49</v>
      </c>
      <c r="Q132" s="16" t="str">
        <f t="shared" ca="1" si="35"/>
        <v>Not Promoted</v>
      </c>
      <c r="R132" s="16" t="str" cm="1">
        <f t="array" ref="R132" ca="1">INDEX(Lookup!$E$2:$E$6,RANDBETWEEN(1,5))</f>
        <v>Bachelor's</v>
      </c>
      <c r="S132" s="16" t="str" cm="1">
        <f t="array" ref="S132" ca="1">INDEX(Lookup!$J$2:$J$11,RANDBETWEEN(1,10))</f>
        <v>Grace O'Connor</v>
      </c>
      <c r="T132" s="16" t="str">
        <f t="shared" ca="1" si="36"/>
        <v>riley.martin@hranalytics.com</v>
      </c>
      <c r="U132" s="16" t="str">
        <f t="shared" ca="1" si="37"/>
        <v>0834758792</v>
      </c>
      <c r="V132" s="16" t="str" cm="1">
        <f t="array" ref="V132" ca="1">_xlfn.LET(_xlpm.r,RANDBETWEEN(1,100),_xlfn.IFS(_xlpm.r&lt;=70,"Full-Time",_xlpm.r&lt;=85,"Part-Time",_xlpm.r&lt;=95,"Contract",TRUE,"Intern"))</f>
        <v>Full-Time</v>
      </c>
      <c r="W132" s="16" cm="1">
        <f t="array" ref="W132" ca="1">IF(K132&lt;&gt;"Active",0,_xlfn.IFS(M132=5,L132*15%,M132=4,L132*10%,M132=3,L132*5%,M132=2,L132*2%,TRUE,0))</f>
        <v>6489</v>
      </c>
      <c r="X132" s="24">
        <f t="shared" ca="1" si="38"/>
        <v>1</v>
      </c>
      <c r="Y132" s="24">
        <f t="shared" ca="1" si="39"/>
        <v>3</v>
      </c>
    </row>
    <row r="133" spans="1:25">
      <c r="A133" s="16" t="str">
        <f t="shared" si="40"/>
        <v>EMP132</v>
      </c>
      <c r="B133" s="16" t="str" cm="1">
        <f t="array" ref="B133" ca="1">IF(D133="Male",INDEX(Lookup!$L$2:$L$13,RANDBETWEEN(1,12)),IF(D133="Female",INDEX(Lookup!$M$2:$M$13,RANDBETWEEN(1,12)),INDEX(Lookup!$N$2:$N$13,RANDBETWEEN(1,12))))</f>
        <v>Jack</v>
      </c>
      <c r="C133" s="16" t="str" cm="1">
        <f t="array" ref="C133" ca="1">INDEX(Lookup!$K$2:$K$31,RANDBETWEEN(1,30))</f>
        <v>Murphy</v>
      </c>
      <c r="D133" s="16" t="str" cm="1">
        <f t="array" ref="D133" ca="1">INDEX(Lookup!$H$2:$H$4,RANDBETWEEN(1,3))</f>
        <v>Male</v>
      </c>
      <c r="E133" s="16">
        <f t="shared" ca="1" si="28"/>
        <v>55</v>
      </c>
      <c r="F133" s="16" t="str" cm="1">
        <f t="array" ref="F133" ca="1">INDEX(Lookup!$A$2:$A$10,RANDBETWEEN(1,9))</f>
        <v>IT</v>
      </c>
      <c r="G133" s="16" t="str" cm="1">
        <f t="array" ref="G133" ca="1">_xlfn.LET(_xlpm.Roles,_xlfn._xlws.FILTER(Lookup!$P$2:$P$28,Lookup!$O$2:$O$28=F133),INDEX(_xlpm.Roles,RANDBETWEEN(1,ROWS(_xlpm.Roles))))</f>
        <v>IT Support Specialist</v>
      </c>
      <c r="H133" s="16" t="str" cm="1">
        <f t="array" ref="H133" ca="1">INDEX(Lookup!$B$2:$B$7,RANDBETWEEN(1,6))</f>
        <v>Galway</v>
      </c>
      <c r="I133" s="22">
        <f t="shared" ca="1" si="29"/>
        <v>43292</v>
      </c>
      <c r="J133" s="22" t="str">
        <f t="shared" ca="1" si="30"/>
        <v/>
      </c>
      <c r="K133" s="16" t="str">
        <f t="shared" ca="1" si="31"/>
        <v>Active</v>
      </c>
      <c r="L133" s="26">
        <f ca="1">_xlfn.XLOOKUP(G133,Lookup!$P$2:$P$28,Lookup!$Q$2:$Q$28)*(1+MIN(X133*3%,30%))</f>
        <v>56640</v>
      </c>
      <c r="M133" s="24">
        <f t="shared" ca="1" si="41"/>
        <v>1</v>
      </c>
      <c r="N133" s="24">
        <f t="shared" ca="1" si="32"/>
        <v>2</v>
      </c>
      <c r="O133" s="24">
        <f t="shared" ca="1" si="33"/>
        <v>14</v>
      </c>
      <c r="P133" s="24">
        <f t="shared" ca="1" si="34"/>
        <v>21</v>
      </c>
      <c r="Q133" s="16" t="str">
        <f t="shared" ca="1" si="35"/>
        <v>Promoted</v>
      </c>
      <c r="R133" s="16" t="str" cm="1">
        <f t="array" ref="R133" ca="1">INDEX(Lookup!$E$2:$E$6,RANDBETWEEN(1,5))</f>
        <v>PhD</v>
      </c>
      <c r="S133" s="16" t="str" cm="1">
        <f t="array" ref="S133" ca="1">INDEX(Lookup!$J$2:$J$11,RANDBETWEEN(1,10))</f>
        <v>David Murphy</v>
      </c>
      <c r="T133" s="16" t="str">
        <f t="shared" ca="1" si="36"/>
        <v>jack.murphy@hranalytics.com</v>
      </c>
      <c r="U133" s="16" t="str">
        <f t="shared" ca="1" si="37"/>
        <v>0894309679</v>
      </c>
      <c r="V133" s="16" t="str" cm="1">
        <f t="array" ref="V133" ca="1">_xlfn.LET(_xlpm.r,RANDBETWEEN(1,100),_xlfn.IFS(_xlpm.r&lt;=70,"Full-Time",_xlpm.r&lt;=85,"Part-Time",_xlpm.r&lt;=95,"Contract",TRUE,"Intern"))</f>
        <v>Full-Time</v>
      </c>
      <c r="W133" s="16" cm="1">
        <f t="array" ref="W133" ca="1">IF(K133&lt;&gt;"Active",0,_xlfn.IFS(M133=5,L133*15%,M133=4,L133*10%,M133=3,L133*5%,M133=2,L133*2%,TRUE,0))</f>
        <v>1132.8</v>
      </c>
      <c r="X133" s="24">
        <f t="shared" ca="1" si="38"/>
        <v>8</v>
      </c>
      <c r="Y133" s="24">
        <f t="shared" ca="1" si="39"/>
        <v>2</v>
      </c>
    </row>
    <row r="134" spans="1:25">
      <c r="A134" s="16" t="str">
        <f t="shared" si="40"/>
        <v>EMP133</v>
      </c>
      <c r="B134" s="16" t="str" cm="1">
        <f t="array" ref="B134" ca="1">IF(D134="Male",INDEX(Lookup!$L$2:$L$13,RANDBETWEEN(1,12)),IF(D134="Female",INDEX(Lookup!$M$2:$M$13,RANDBETWEEN(1,12)),INDEX(Lookup!$N$2:$N$13,RANDBETWEEN(1,12))))</f>
        <v>John</v>
      </c>
      <c r="C134" s="16" t="str" cm="1">
        <f t="array" ref="C134" ca="1">INDEX(Lookup!$K$2:$K$31,RANDBETWEEN(1,30))</f>
        <v>Adams</v>
      </c>
      <c r="D134" s="16" t="str" cm="1">
        <f t="array" ref="D134" ca="1">INDEX(Lookup!$H$2:$H$4,RANDBETWEEN(1,3))</f>
        <v>Male</v>
      </c>
      <c r="E134" s="16">
        <f t="shared" ca="1" si="28"/>
        <v>38</v>
      </c>
      <c r="F134" s="16" t="str" cm="1">
        <f t="array" ref="F134" ca="1">INDEX(Lookup!$A$2:$A$10,RANDBETWEEN(1,9))</f>
        <v>HR</v>
      </c>
      <c r="G134" s="16" t="str" cm="1">
        <f t="array" ref="G134" ca="1">_xlfn.LET(_xlpm.Roles,_xlfn._xlws.FILTER(Lookup!$P$2:$P$28,Lookup!$O$2:$O$28=F134),INDEX(_xlpm.Roles,RANDBETWEEN(1,ROWS(_xlpm.Roles))))</f>
        <v>HR Executive</v>
      </c>
      <c r="H134" s="16" t="str" cm="1">
        <f t="array" ref="H134" ca="1">INDEX(Lookup!$B$2:$B$7,RANDBETWEEN(1,6))</f>
        <v>Belfast</v>
      </c>
      <c r="I134" s="22">
        <f t="shared" ca="1" si="29"/>
        <v>45551</v>
      </c>
      <c r="J134" s="22" t="str">
        <f t="shared" ca="1" si="30"/>
        <v/>
      </c>
      <c r="K134" s="16" t="str">
        <f t="shared" ca="1" si="31"/>
        <v>Active</v>
      </c>
      <c r="L134" s="26">
        <f ca="1">_xlfn.XLOOKUP(G134,Lookup!$P$2:$P$28,Lookup!$Q$2:$Q$28)*(1+MIN(X134*3%,30%))</f>
        <v>50820</v>
      </c>
      <c r="M134" s="24">
        <f t="shared" ca="1" si="41"/>
        <v>4</v>
      </c>
      <c r="N134" s="24">
        <f t="shared" ca="1" si="32"/>
        <v>42</v>
      </c>
      <c r="O134" s="24">
        <f t="shared" ca="1" si="33"/>
        <v>4</v>
      </c>
      <c r="P134" s="24">
        <f t="shared" ca="1" si="34"/>
        <v>34</v>
      </c>
      <c r="Q134" s="16" t="str">
        <f t="shared" ca="1" si="35"/>
        <v>Promoted</v>
      </c>
      <c r="R134" s="16" t="str" cm="1">
        <f t="array" ref="R134" ca="1">INDEX(Lookup!$E$2:$E$6,RANDBETWEEN(1,5))</f>
        <v>Dipolma</v>
      </c>
      <c r="S134" s="16" t="str" cm="1">
        <f t="array" ref="S134" ca="1">INDEX(Lookup!$J$2:$J$11,RANDBETWEEN(1,10))</f>
        <v>James Taylor</v>
      </c>
      <c r="T134" s="16" t="str">
        <f t="shared" ca="1" si="36"/>
        <v>john.adams@hranalytics.com</v>
      </c>
      <c r="U134" s="16" t="str">
        <f t="shared" ca="1" si="37"/>
        <v>0865225803</v>
      </c>
      <c r="V134" s="16" t="str" cm="1">
        <f t="array" ref="V134" ca="1">_xlfn.LET(_xlpm.r,RANDBETWEEN(1,100),_xlfn.IFS(_xlpm.r&lt;=70,"Full-Time",_xlpm.r&lt;=85,"Part-Time",_xlpm.r&lt;=95,"Contract",TRUE,"Intern"))</f>
        <v>Full-Time</v>
      </c>
      <c r="W134" s="16" cm="1">
        <f t="array" ref="W134" ca="1">IF(K134&lt;&gt;"Active",0,_xlfn.IFS(M134=5,L134*15%,M134=4,L134*10%,M134=3,L134*5%,M134=2,L134*2%,TRUE,0))</f>
        <v>7623</v>
      </c>
      <c r="X134" s="24">
        <f t="shared" ca="1" si="38"/>
        <v>1</v>
      </c>
      <c r="Y134" s="24">
        <f t="shared" ca="1" si="39"/>
        <v>3</v>
      </c>
    </row>
    <row r="135" spans="1:25">
      <c r="A135" s="16" t="str">
        <f t="shared" si="40"/>
        <v>EMP134</v>
      </c>
      <c r="B135" s="16" t="str" cm="1">
        <f t="array" ref="B135" ca="1">IF(D135="Male",INDEX(Lookup!$L$2:$L$13,RANDBETWEEN(1,12)),IF(D135="Female",INDEX(Lookup!$M$2:$M$13,RANDBETWEEN(1,12)),INDEX(Lookup!$N$2:$N$13,RANDBETWEEN(1,12))))</f>
        <v>Morgan</v>
      </c>
      <c r="C135" s="16" t="str" cm="1">
        <f t="array" ref="C135" ca="1">INDEX(Lookup!$K$2:$K$31,RANDBETWEEN(1,30))</f>
        <v>Kelly</v>
      </c>
      <c r="D135" s="16" t="str" cm="1">
        <f t="array" ref="D135" ca="1">INDEX(Lookup!$H$2:$H$4,RANDBETWEEN(1,3))</f>
        <v>Other</v>
      </c>
      <c r="E135" s="16">
        <f t="shared" ca="1" si="28"/>
        <v>45</v>
      </c>
      <c r="F135" s="16" t="str" cm="1">
        <f t="array" ref="F135" ca="1">INDEX(Lookup!$A$2:$A$10,RANDBETWEEN(1,9))</f>
        <v>Procurement</v>
      </c>
      <c r="G135" s="16" t="str" cm="1">
        <f t="array" ref="G135" ca="1">_xlfn.LET(_xlpm.Roles,_xlfn._xlws.FILTER(Lookup!$P$2:$P$28,Lookup!$O$2:$O$28=F135),INDEX(_xlpm.Roles,RANDBETWEEN(1,ROWS(_xlpm.Roles))))</f>
        <v>Procurement Officer</v>
      </c>
      <c r="H135" s="16" t="str" cm="1">
        <f t="array" ref="H135" ca="1">INDEX(Lookup!$B$2:$B$7,RANDBETWEEN(1,6))</f>
        <v>Belfast</v>
      </c>
      <c r="I135" s="22">
        <f t="shared" ca="1" si="29"/>
        <v>44979</v>
      </c>
      <c r="J135" s="22" t="str">
        <f t="shared" ca="1" si="30"/>
        <v/>
      </c>
      <c r="K135" s="16" t="str">
        <f t="shared" ca="1" si="31"/>
        <v>Active</v>
      </c>
      <c r="L135" s="26">
        <f ca="1">_xlfn.XLOOKUP(G135,Lookup!$P$2:$P$28,Lookup!$Q$2:$Q$28)*(1+MIN(X135*3%,30%))</f>
        <v>53100</v>
      </c>
      <c r="M135" s="24">
        <f t="shared" ca="1" si="41"/>
        <v>3</v>
      </c>
      <c r="N135" s="24">
        <f t="shared" ca="1" si="32"/>
        <v>25</v>
      </c>
      <c r="O135" s="24">
        <f t="shared" ca="1" si="33"/>
        <v>0</v>
      </c>
      <c r="P135" s="24">
        <f t="shared" ca="1" si="34"/>
        <v>7</v>
      </c>
      <c r="Q135" s="16" t="str">
        <f t="shared" ca="1" si="35"/>
        <v>Promoted</v>
      </c>
      <c r="R135" s="16" t="str" cm="1">
        <f t="array" ref="R135" ca="1">INDEX(Lookup!$E$2:$E$6,RANDBETWEEN(1,5))</f>
        <v>PhD</v>
      </c>
      <c r="S135" s="16" t="str" cm="1">
        <f t="array" ref="S135" ca="1">INDEX(Lookup!$J$2:$J$11,RANDBETWEEN(1,10))</f>
        <v>James Taylor</v>
      </c>
      <c r="T135" s="16" t="str">
        <f t="shared" ca="1" si="36"/>
        <v>morgan.kelly@hranalytics.com</v>
      </c>
      <c r="U135" s="16" t="str">
        <f t="shared" ca="1" si="37"/>
        <v>0832485788</v>
      </c>
      <c r="V135" s="16" t="str" cm="1">
        <f t="array" ref="V135" ca="1">_xlfn.LET(_xlpm.r,RANDBETWEEN(1,100),_xlfn.IFS(_xlpm.r&lt;=70,"Full-Time",_xlpm.r&lt;=85,"Part-Time",_xlpm.r&lt;=95,"Contract",TRUE,"Intern"))</f>
        <v>Part-Time</v>
      </c>
      <c r="W135" s="16" cm="1">
        <f t="array" ref="W135" ca="1">IF(K135&lt;&gt;"Active",0,_xlfn.IFS(M135=5,L135*15%,M135=4,L135*10%,M135=3,L135*5%,M135=2,L135*2%,TRUE,0))</f>
        <v>5310</v>
      </c>
      <c r="X135" s="24">
        <f t="shared" ca="1" si="38"/>
        <v>3</v>
      </c>
      <c r="Y135" s="24">
        <f t="shared" ca="1" si="39"/>
        <v>1</v>
      </c>
    </row>
    <row r="136" spans="1:25">
      <c r="A136" s="16" t="str">
        <f t="shared" si="40"/>
        <v>EMP135</v>
      </c>
      <c r="B136" s="16" t="str" cm="1">
        <f t="array" ref="B136" ca="1">IF(D136="Male",INDEX(Lookup!$L$2:$L$13,RANDBETWEEN(1,12)),IF(D136="Female",INDEX(Lookup!$M$2:$M$13,RANDBETWEEN(1,12)),INDEX(Lookup!$N$2:$N$13,RANDBETWEEN(1,12))))</f>
        <v>Emma</v>
      </c>
      <c r="C136" s="16" t="str" cm="1">
        <f t="array" ref="C136" ca="1">INDEX(Lookup!$K$2:$K$31,RANDBETWEEN(1,30))</f>
        <v>Allen</v>
      </c>
      <c r="D136" s="16" t="str" cm="1">
        <f t="array" ref="D136" ca="1">INDEX(Lookup!$H$2:$H$4,RANDBETWEEN(1,3))</f>
        <v>Female</v>
      </c>
      <c r="E136" s="16">
        <f t="shared" ca="1" si="28"/>
        <v>32</v>
      </c>
      <c r="F136" s="16" t="str" cm="1">
        <f t="array" ref="F136" ca="1">INDEX(Lookup!$A$2:$A$10,RANDBETWEEN(1,9))</f>
        <v>IT</v>
      </c>
      <c r="G136" s="16" t="str" cm="1">
        <f t="array" ref="G136" ca="1">_xlfn.LET(_xlpm.Roles,_xlfn._xlws.FILTER(Lookup!$P$2:$P$28,Lookup!$O$2:$O$28=F136),INDEX(_xlpm.Roles,RANDBETWEEN(1,ROWS(_xlpm.Roles))))</f>
        <v>IT Support Specialist</v>
      </c>
      <c r="H136" s="16" t="str" cm="1">
        <f t="array" ref="H136" ca="1">INDEX(Lookup!$B$2:$B$7,RANDBETWEEN(1,6))</f>
        <v>Belfast</v>
      </c>
      <c r="I136" s="22">
        <f t="shared" ca="1" si="29"/>
        <v>43218</v>
      </c>
      <c r="J136" s="22" t="str">
        <f t="shared" ca="1" si="30"/>
        <v/>
      </c>
      <c r="K136" s="16" t="str">
        <f t="shared" ca="1" si="31"/>
        <v>Active</v>
      </c>
      <c r="L136" s="26">
        <f ca="1">_xlfn.XLOOKUP(G136,Lookup!$P$2:$P$28,Lookup!$Q$2:$Q$28)*(1+MIN(X136*3%,30%))</f>
        <v>50880</v>
      </c>
      <c r="M136" s="24">
        <f t="shared" ca="1" si="41"/>
        <v>4</v>
      </c>
      <c r="N136" s="24">
        <f t="shared" ca="1" si="32"/>
        <v>45</v>
      </c>
      <c r="O136" s="24">
        <f t="shared" ca="1" si="33"/>
        <v>20</v>
      </c>
      <c r="P136" s="24">
        <f t="shared" ca="1" si="34"/>
        <v>15</v>
      </c>
      <c r="Q136" s="16" t="str">
        <f t="shared" ca="1" si="35"/>
        <v>Promoted</v>
      </c>
      <c r="R136" s="16" t="str" cm="1">
        <f t="array" ref="R136" ca="1">INDEX(Lookup!$E$2:$E$6,RANDBETWEEN(1,5))</f>
        <v>Dipolma</v>
      </c>
      <c r="S136" s="16" t="str" cm="1">
        <f t="array" ref="S136" ca="1">INDEX(Lookup!$J$2:$J$11,RANDBETWEEN(1,10))</f>
        <v>Grace O'Connor</v>
      </c>
      <c r="T136" s="16" t="str">
        <f t="shared" ca="1" si="36"/>
        <v>emma.allen@hranalytics.com</v>
      </c>
      <c r="U136" s="16" t="str">
        <f t="shared" ca="1" si="37"/>
        <v>0884390410</v>
      </c>
      <c r="V136" s="16" t="str" cm="1">
        <f t="array" ref="V136" ca="1">_xlfn.LET(_xlpm.r,RANDBETWEEN(1,100),_xlfn.IFS(_xlpm.r&lt;=70,"Full-Time",_xlpm.r&lt;=85,"Part-Time",_xlpm.r&lt;=95,"Contract",TRUE,"Intern"))</f>
        <v>Full-Time</v>
      </c>
      <c r="W136" s="16" cm="1">
        <f t="array" ref="W136" ca="1">IF(K136&lt;&gt;"Active",0,_xlfn.IFS(M136=5,L136*15%,M136=4,L136*10%,M136=3,L136*5%,M136=2,L136*2%,TRUE,0))</f>
        <v>7632</v>
      </c>
      <c r="X136" s="24">
        <f t="shared" ca="1" si="38"/>
        <v>8</v>
      </c>
      <c r="Y136" s="24">
        <f t="shared" ca="1" si="39"/>
        <v>3</v>
      </c>
    </row>
    <row r="137" spans="1:25">
      <c r="A137" s="16" t="str">
        <f t="shared" si="40"/>
        <v>EMP136</v>
      </c>
      <c r="B137" s="16" t="str" cm="1">
        <f t="array" ref="B137" ca="1">IF(D137="Male",INDEX(Lookup!$L$2:$L$13,RANDBETWEEN(1,12)),IF(D137="Female",INDEX(Lookup!$M$2:$M$13,RANDBETWEEN(1,12)),INDEX(Lookup!$N$2:$N$13,RANDBETWEEN(1,12))))</f>
        <v>Morgan</v>
      </c>
      <c r="C137" s="16" t="str" cm="1">
        <f t="array" ref="C137" ca="1">INDEX(Lookup!$K$2:$K$31,RANDBETWEEN(1,30))</f>
        <v>Taylor</v>
      </c>
      <c r="D137" s="16" t="str" cm="1">
        <f t="array" ref="D137" ca="1">INDEX(Lookup!$H$2:$H$4,RANDBETWEEN(1,3))</f>
        <v>Other</v>
      </c>
      <c r="E137" s="16">
        <f t="shared" ca="1" si="28"/>
        <v>58</v>
      </c>
      <c r="F137" s="16" t="str" cm="1">
        <f t="array" ref="F137" ca="1">INDEX(Lookup!$A$2:$A$10,RANDBETWEEN(1,9))</f>
        <v>Sales</v>
      </c>
      <c r="G137" s="16" t="str" cm="1">
        <f t="array" ref="G137" ca="1">_xlfn.LET(_xlpm.Roles,_xlfn._xlws.FILTER(Lookup!$P$2:$P$28,Lookup!$O$2:$O$28=F137),INDEX(_xlpm.Roles,RANDBETWEEN(1,ROWS(_xlpm.Roles))))</f>
        <v>Sales Executive</v>
      </c>
      <c r="H137" s="16" t="str" cm="1">
        <f t="array" ref="H137" ca="1">INDEX(Lookup!$B$2:$B$7,RANDBETWEEN(1,6))</f>
        <v>Belfast</v>
      </c>
      <c r="I137" s="22">
        <f t="shared" ca="1" si="29"/>
        <v>43483</v>
      </c>
      <c r="J137" s="22">
        <f t="shared" ca="1" si="30"/>
        <v>44215</v>
      </c>
      <c r="K137" s="16" t="str">
        <f t="shared" ca="1" si="31"/>
        <v>Resigned</v>
      </c>
      <c r="L137" s="26">
        <f ca="1">_xlfn.XLOOKUP(G137,Lookup!$P$2:$P$28,Lookup!$Q$2:$Q$28)*(1+MIN(X137*3%,30%))</f>
        <v>46000</v>
      </c>
      <c r="M137" s="24">
        <f t="shared" ca="1" si="41"/>
        <v>2</v>
      </c>
      <c r="N137" s="24">
        <f t="shared" ca="1" si="32"/>
        <v>40</v>
      </c>
      <c r="O137" s="24">
        <f t="shared" ca="1" si="33"/>
        <v>4</v>
      </c>
      <c r="P137" s="24">
        <f t="shared" ca="1" si="34"/>
        <v>37</v>
      </c>
      <c r="Q137" s="16" t="str">
        <f t="shared" ca="1" si="35"/>
        <v>Promoted</v>
      </c>
      <c r="R137" s="16" t="str" cm="1">
        <f t="array" ref="R137" ca="1">INDEX(Lookup!$E$2:$E$6,RANDBETWEEN(1,5))</f>
        <v>High School</v>
      </c>
      <c r="S137" s="16" t="str" cm="1">
        <f t="array" ref="S137" ca="1">INDEX(Lookup!$J$2:$J$11,RANDBETWEEN(1,10))</f>
        <v>Michael Brown</v>
      </c>
      <c r="T137" s="16" t="str">
        <f t="shared" ca="1" si="36"/>
        <v>morgan.taylor@hranalytics.com</v>
      </c>
      <c r="U137" s="16" t="str">
        <f t="shared" ca="1" si="37"/>
        <v>0863217474</v>
      </c>
      <c r="V137" s="16" t="str" cm="1">
        <f t="array" ref="V137" ca="1">_xlfn.LET(_xlpm.r,RANDBETWEEN(1,100),_xlfn.IFS(_xlpm.r&lt;=70,"Full-Time",_xlpm.r&lt;=85,"Part-Time",_xlpm.r&lt;=95,"Contract",TRUE,"Intern"))</f>
        <v>Full-Time</v>
      </c>
      <c r="W137" s="16" cm="1">
        <f t="array" ref="W137" ca="1">IF(K137&lt;&gt;"Active",0,_xlfn.IFS(M137=5,L137*15%,M137=4,L137*10%,M137=3,L137*5%,M137=2,L137*2%,TRUE,0))</f>
        <v>6900</v>
      </c>
      <c r="X137" s="24">
        <f t="shared" ca="1" si="38"/>
        <v>7</v>
      </c>
      <c r="Y137" s="24">
        <f t="shared" ca="1" si="39"/>
        <v>2</v>
      </c>
    </row>
    <row r="138" spans="1:25">
      <c r="A138" s="16" t="str">
        <f t="shared" si="40"/>
        <v>EMP137</v>
      </c>
      <c r="B138" s="16" t="str" cm="1">
        <f t="array" ref="B138" ca="1">IF(D138="Male",INDEX(Lookup!$L$2:$L$13,RANDBETWEEN(1,12)),IF(D138="Female",INDEX(Lookup!$M$2:$M$13,RANDBETWEEN(1,12)),INDEX(Lookup!$N$2:$N$13,RANDBETWEEN(1,12))))</f>
        <v>Taylor</v>
      </c>
      <c r="C138" s="16" t="str" cm="1">
        <f t="array" ref="C138" ca="1">INDEX(Lookup!$K$2:$K$31,RANDBETWEEN(1,30))</f>
        <v>Johnson</v>
      </c>
      <c r="D138" s="16" t="str" cm="1">
        <f t="array" ref="D138" ca="1">INDEX(Lookup!$H$2:$H$4,RANDBETWEEN(1,3))</f>
        <v>Other</v>
      </c>
      <c r="E138" s="16">
        <f t="shared" ca="1" si="28"/>
        <v>32</v>
      </c>
      <c r="F138" s="16" t="str" cm="1">
        <f t="array" ref="F138" ca="1">INDEX(Lookup!$A$2:$A$10,RANDBETWEEN(1,9))</f>
        <v>Customer Support</v>
      </c>
      <c r="G138" s="16" t="str" cm="1">
        <f t="array" ref="G138" ca="1">_xlfn.LET(_xlpm.Roles,_xlfn._xlws.FILTER(Lookup!$P$2:$P$28,Lookup!$O$2:$O$28=F138),INDEX(_xlpm.Roles,RANDBETWEEN(1,ROWS(_xlpm.Roles))))</f>
        <v>Technical Support Specialist</v>
      </c>
      <c r="H138" s="16" t="str" cm="1">
        <f t="array" ref="H138" ca="1">INDEX(Lookup!$B$2:$B$7,RANDBETWEEN(1,6))</f>
        <v>Belfast</v>
      </c>
      <c r="I138" s="22">
        <f t="shared" ca="1" si="29"/>
        <v>45720</v>
      </c>
      <c r="J138" s="22" t="str">
        <f t="shared" ca="1" si="30"/>
        <v/>
      </c>
      <c r="K138" s="16" t="str">
        <f t="shared" ca="1" si="31"/>
        <v>Active</v>
      </c>
      <c r="L138" s="26">
        <f ca="1">_xlfn.XLOOKUP(G138,Lookup!$P$2:$P$28,Lookup!$Q$2:$Q$28)*(1+MIN(X138*3%,30%))</f>
        <v>49050</v>
      </c>
      <c r="M138" s="24">
        <f t="shared" ca="1" si="41"/>
        <v>1</v>
      </c>
      <c r="N138" s="24">
        <f t="shared" ca="1" si="32"/>
        <v>64</v>
      </c>
      <c r="O138" s="24">
        <f t="shared" ca="1" si="33"/>
        <v>1</v>
      </c>
      <c r="P138" s="24">
        <f t="shared" ca="1" si="34"/>
        <v>43</v>
      </c>
      <c r="Q138" s="16" t="str">
        <f t="shared" ca="1" si="35"/>
        <v>Promoted</v>
      </c>
      <c r="R138" s="16" t="str" cm="1">
        <f t="array" ref="R138" ca="1">INDEX(Lookup!$E$2:$E$6,RANDBETWEEN(1,5))</f>
        <v>Master's</v>
      </c>
      <c r="S138" s="16" t="str" cm="1">
        <f t="array" ref="S138" ca="1">INDEX(Lookup!$J$2:$J$11,RANDBETWEEN(1,10))</f>
        <v>James Taylor</v>
      </c>
      <c r="T138" s="16" t="str">
        <f t="shared" ca="1" si="36"/>
        <v>taylor.johnson@hranalytics.com</v>
      </c>
      <c r="U138" s="16" t="str">
        <f t="shared" ca="1" si="37"/>
        <v>0837168446</v>
      </c>
      <c r="V138" s="16" t="str" cm="1">
        <f t="array" ref="V138" ca="1">_xlfn.LET(_xlpm.r,RANDBETWEEN(1,100),_xlfn.IFS(_xlpm.r&lt;=70,"Full-Time",_xlpm.r&lt;=85,"Part-Time",_xlpm.r&lt;=95,"Contract",TRUE,"Intern"))</f>
        <v>Part-Time</v>
      </c>
      <c r="W138" s="16" cm="1">
        <f t="array" ref="W138" ca="1">IF(K138&lt;&gt;"Active",0,_xlfn.IFS(M138=5,L138*15%,M138=4,L138*10%,M138=3,L138*5%,M138=2,L138*2%,TRUE,0))</f>
        <v>4905</v>
      </c>
      <c r="X138" s="24">
        <f t="shared" ca="1" si="38"/>
        <v>1</v>
      </c>
      <c r="Y138" s="24">
        <f t="shared" ca="1" si="39"/>
        <v>3</v>
      </c>
    </row>
    <row r="139" spans="1:25">
      <c r="A139" s="16" t="str">
        <f t="shared" si="40"/>
        <v>EMP138</v>
      </c>
      <c r="B139" s="16" t="str" cm="1">
        <f t="array" ref="B139" ca="1">IF(D139="Male",INDEX(Lookup!$L$2:$L$13,RANDBETWEEN(1,12)),IF(D139="Female",INDEX(Lookup!$M$2:$M$13,RANDBETWEEN(1,12)),INDEX(Lookup!$N$2:$N$13,RANDBETWEEN(1,12))))</f>
        <v>Jack</v>
      </c>
      <c r="C139" s="16" t="str" cm="1">
        <f t="array" ref="C139" ca="1">INDEX(Lookup!$K$2:$K$31,RANDBETWEEN(1,30))</f>
        <v>White</v>
      </c>
      <c r="D139" s="16" t="str" cm="1">
        <f t="array" ref="D139" ca="1">INDEX(Lookup!$H$2:$H$4,RANDBETWEEN(1,3))</f>
        <v>Male</v>
      </c>
      <c r="E139" s="16">
        <f t="shared" ca="1" si="28"/>
        <v>21</v>
      </c>
      <c r="F139" s="16" t="str" cm="1">
        <f t="array" ref="F139" ca="1">INDEX(Lookup!$A$2:$A$10,RANDBETWEEN(1,9))</f>
        <v>IT</v>
      </c>
      <c r="G139" s="16" t="str" cm="1">
        <f t="array" ref="G139" ca="1">_xlfn.LET(_xlpm.Roles,_xlfn._xlws.FILTER(Lookup!$P$2:$P$28,Lookup!$O$2:$O$28=F139),INDEX(_xlpm.Roles,RANDBETWEEN(1,ROWS(_xlpm.Roles))))</f>
        <v>Business Analyst</v>
      </c>
      <c r="H139" s="16" t="str" cm="1">
        <f t="array" ref="H139" ca="1">INDEX(Lookup!$B$2:$B$7,RANDBETWEEN(1,6))</f>
        <v>Dublin</v>
      </c>
      <c r="I139" s="22">
        <f t="shared" ca="1" si="29"/>
        <v>45710</v>
      </c>
      <c r="J139" s="22">
        <f t="shared" ca="1" si="30"/>
        <v>46964</v>
      </c>
      <c r="K139" s="16" t="str">
        <f t="shared" ca="1" si="31"/>
        <v>Resigned</v>
      </c>
      <c r="L139" s="26">
        <f ca="1">_xlfn.XLOOKUP(G139,Lookup!$P$2:$P$28,Lookup!$Q$2:$Q$28)*(1+MIN(X139*3%,30%))</f>
        <v>72600</v>
      </c>
      <c r="M139" s="24">
        <f t="shared" ca="1" si="41"/>
        <v>4</v>
      </c>
      <c r="N139" s="24">
        <f t="shared" ca="1" si="32"/>
        <v>28</v>
      </c>
      <c r="O139" s="24">
        <f t="shared" ca="1" si="33"/>
        <v>20</v>
      </c>
      <c r="P139" s="24">
        <f t="shared" ca="1" si="34"/>
        <v>10</v>
      </c>
      <c r="Q139" s="16" t="str">
        <f t="shared" ca="1" si="35"/>
        <v>Promoted</v>
      </c>
      <c r="R139" s="16" t="str" cm="1">
        <f t="array" ref="R139" ca="1">INDEX(Lookup!$E$2:$E$6,RANDBETWEEN(1,5))</f>
        <v>Master's</v>
      </c>
      <c r="S139" s="16" t="str" cm="1">
        <f t="array" ref="S139" ca="1">INDEX(Lookup!$J$2:$J$11,RANDBETWEEN(1,10))</f>
        <v>David Murphy</v>
      </c>
      <c r="T139" s="16" t="str">
        <f t="shared" ca="1" si="36"/>
        <v>jack.white@hranalytics.com</v>
      </c>
      <c r="U139" s="16" t="str">
        <f t="shared" ca="1" si="37"/>
        <v>0892762756</v>
      </c>
      <c r="V139" s="16" t="str" cm="1">
        <f t="array" ref="V139" ca="1">_xlfn.LET(_xlpm.r,RANDBETWEEN(1,100),_xlfn.IFS(_xlpm.r&lt;=70,"Full-Time",_xlpm.r&lt;=85,"Part-Time",_xlpm.r&lt;=95,"Contract",TRUE,"Intern"))</f>
        <v>Full-Time</v>
      </c>
      <c r="W139" s="16" cm="1">
        <f t="array" ref="W139" ca="1">IF(K139&lt;&gt;"Active",0,_xlfn.IFS(M139=5,L139*15%,M139=4,L139*10%,M139=3,L139*5%,M139=2,L139*2%,TRUE,0))</f>
        <v>1452</v>
      </c>
      <c r="X139" s="24">
        <f t="shared" ca="1" si="38"/>
        <v>1</v>
      </c>
      <c r="Y139" s="24">
        <f t="shared" ca="1" si="39"/>
        <v>1</v>
      </c>
    </row>
    <row r="140" spans="1:25">
      <c r="A140" s="16" t="str">
        <f t="shared" si="40"/>
        <v>EMP139</v>
      </c>
      <c r="B140" s="16" t="str" cm="1">
        <f t="array" ref="B140" ca="1">IF(D140="Male",INDEX(Lookup!$L$2:$L$13,RANDBETWEEN(1,12)),IF(D140="Female",INDEX(Lookup!$M$2:$M$13,RANDBETWEEN(1,12)),INDEX(Lookup!$N$2:$N$13,RANDBETWEEN(1,12))))</f>
        <v>Emily</v>
      </c>
      <c r="C140" s="16" t="str" cm="1">
        <f t="array" ref="C140" ca="1">INDEX(Lookup!$K$2:$K$31,RANDBETWEEN(1,30))</f>
        <v>Edwards</v>
      </c>
      <c r="D140" s="16" t="str" cm="1">
        <f t="array" ref="D140" ca="1">INDEX(Lookup!$H$2:$H$4,RANDBETWEEN(1,3))</f>
        <v>Female</v>
      </c>
      <c r="E140" s="16">
        <f t="shared" ca="1" si="28"/>
        <v>32</v>
      </c>
      <c r="F140" s="16" t="str" cm="1">
        <f t="array" ref="F140" ca="1">INDEX(Lookup!$A$2:$A$10,RANDBETWEEN(1,9))</f>
        <v>HR</v>
      </c>
      <c r="G140" s="16" t="str" cm="1">
        <f t="array" ref="G140" ca="1">_xlfn.LET(_xlpm.Roles,_xlfn._xlws.FILTER(Lookup!$P$2:$P$28,Lookup!$O$2:$O$28=F140),INDEX(_xlpm.Roles,RANDBETWEEN(1,ROWS(_xlpm.Roles))))</f>
        <v>HR Executive</v>
      </c>
      <c r="H140" s="16" t="str" cm="1">
        <f t="array" ref="H140" ca="1">INDEX(Lookup!$B$2:$B$7,RANDBETWEEN(1,6))</f>
        <v>Dublin</v>
      </c>
      <c r="I140" s="22">
        <f t="shared" ca="1" si="29"/>
        <v>43887</v>
      </c>
      <c r="J140" s="22">
        <f t="shared" ca="1" si="30"/>
        <v>45758</v>
      </c>
      <c r="K140" s="16" t="str">
        <f t="shared" ca="1" si="31"/>
        <v>Resigned</v>
      </c>
      <c r="L140" s="26">
        <f ca="1">_xlfn.XLOOKUP(G140,Lookup!$P$2:$P$28,Lookup!$Q$2:$Q$28)*(1+MIN(X140*3%,30%))</f>
        <v>49560</v>
      </c>
      <c r="M140" s="24">
        <f t="shared" ca="1" si="41"/>
        <v>2</v>
      </c>
      <c r="N140" s="24">
        <f t="shared" ca="1" si="32"/>
        <v>52</v>
      </c>
      <c r="O140" s="24">
        <f t="shared" ca="1" si="33"/>
        <v>17</v>
      </c>
      <c r="P140" s="24">
        <f t="shared" ca="1" si="34"/>
        <v>36</v>
      </c>
      <c r="Q140" s="16" t="str">
        <f t="shared" ca="1" si="35"/>
        <v>Promoted</v>
      </c>
      <c r="R140" s="16" t="str" cm="1">
        <f t="array" ref="R140" ca="1">INDEX(Lookup!$E$2:$E$6,RANDBETWEEN(1,5))</f>
        <v>Dipolma</v>
      </c>
      <c r="S140" s="16" t="str" cm="1">
        <f t="array" ref="S140" ca="1">INDEX(Lookup!$J$2:$J$11,RANDBETWEEN(1,10))</f>
        <v>Sophia Martin</v>
      </c>
      <c r="T140" s="16" t="str">
        <f t="shared" ca="1" si="36"/>
        <v>emily.edwards@hranalytics.com</v>
      </c>
      <c r="U140" s="16" t="str">
        <f t="shared" ca="1" si="37"/>
        <v>0863116497</v>
      </c>
      <c r="V140" s="16" t="str" cm="1">
        <f t="array" ref="V140" ca="1">_xlfn.LET(_xlpm.r,RANDBETWEEN(1,100),_xlfn.IFS(_xlpm.r&lt;=70,"Full-Time",_xlpm.r&lt;=85,"Part-Time",_xlpm.r&lt;=95,"Contract",TRUE,"Intern"))</f>
        <v>Full-Time</v>
      </c>
      <c r="W140" s="16" cm="1">
        <f t="array" ref="W140" ca="1">IF(K140&lt;&gt;"Active",0,_xlfn.IFS(M140=5,L140*15%,M140=4,L140*10%,M140=3,L140*5%,M140=2,L140*2%,TRUE,0))</f>
        <v>991.2</v>
      </c>
      <c r="X140" s="24">
        <f t="shared" ca="1" si="38"/>
        <v>6</v>
      </c>
      <c r="Y140" s="24">
        <f t="shared" ca="1" si="39"/>
        <v>3</v>
      </c>
    </row>
    <row r="141" spans="1:25">
      <c r="A141" s="16" t="str">
        <f t="shared" si="40"/>
        <v>EMP140</v>
      </c>
      <c r="B141" s="16" t="str" cm="1">
        <f t="array" ref="B141" ca="1">IF(D141="Male",INDEX(Lookup!$L$2:$L$13,RANDBETWEEN(1,12)),IF(D141="Female",INDEX(Lookup!$M$2:$M$13,RANDBETWEEN(1,12)),INDEX(Lookup!$N$2:$N$13,RANDBETWEEN(1,12))))</f>
        <v>Ryan</v>
      </c>
      <c r="C141" s="16" t="str" cm="1">
        <f t="array" ref="C141" ca="1">INDEX(Lookup!$K$2:$K$31,RANDBETWEEN(1,30))</f>
        <v>Baker</v>
      </c>
      <c r="D141" s="16" t="str" cm="1">
        <f t="array" ref="D141" ca="1">INDEX(Lookup!$H$2:$H$4,RANDBETWEEN(1,3))</f>
        <v>Male</v>
      </c>
      <c r="E141" s="16">
        <f t="shared" ca="1" si="28"/>
        <v>28</v>
      </c>
      <c r="F141" s="16" t="str" cm="1">
        <f t="array" ref="F141" ca="1">INDEX(Lookup!$A$2:$A$10,RANDBETWEEN(1,9))</f>
        <v>Marketing</v>
      </c>
      <c r="G141" s="16" t="str" cm="1">
        <f t="array" ref="G141" ca="1">_xlfn.LET(_xlpm.Roles,_xlfn._xlws.FILTER(Lookup!$P$2:$P$28,Lookup!$O$2:$O$28=F141),INDEX(_xlpm.Roles,RANDBETWEEN(1,ROWS(_xlpm.Roles))))</f>
        <v>Brand Executive</v>
      </c>
      <c r="H141" s="16" t="str" cm="1">
        <f t="array" ref="H141" ca="1">INDEX(Lookup!$B$2:$B$7,RANDBETWEEN(1,6))</f>
        <v>Galway</v>
      </c>
      <c r="I141" s="22">
        <f t="shared" ca="1" si="29"/>
        <v>43104</v>
      </c>
      <c r="J141" s="22" t="str">
        <f t="shared" ca="1" si="30"/>
        <v/>
      </c>
      <c r="K141" s="16" t="str">
        <f t="shared" ca="1" si="31"/>
        <v>Active</v>
      </c>
      <c r="L141" s="26">
        <f ca="1">_xlfn.XLOOKUP(G141,Lookup!$P$2:$P$28,Lookup!$Q$2:$Q$28)*(1+MIN(X141*3%,30%))</f>
        <v>57040</v>
      </c>
      <c r="M141" s="24">
        <f t="shared" ca="1" si="41"/>
        <v>2</v>
      </c>
      <c r="N141" s="24">
        <f t="shared" ca="1" si="32"/>
        <v>53</v>
      </c>
      <c r="O141" s="24">
        <f t="shared" ca="1" si="33"/>
        <v>14</v>
      </c>
      <c r="P141" s="24">
        <f t="shared" ca="1" si="34"/>
        <v>53</v>
      </c>
      <c r="Q141" s="16" t="str">
        <f t="shared" ca="1" si="35"/>
        <v>Promoted</v>
      </c>
      <c r="R141" s="16" t="str" cm="1">
        <f t="array" ref="R141" ca="1">INDEX(Lookup!$E$2:$E$6,RANDBETWEEN(1,5))</f>
        <v>Dipolma</v>
      </c>
      <c r="S141" s="16" t="str" cm="1">
        <f t="array" ref="S141" ca="1">INDEX(Lookup!$J$2:$J$11,RANDBETWEEN(1,10))</f>
        <v>Michael Brown</v>
      </c>
      <c r="T141" s="16" t="str">
        <f t="shared" ca="1" si="36"/>
        <v>ryan.baker@hranalytics.com</v>
      </c>
      <c r="U141" s="16" t="str">
        <f t="shared" ca="1" si="37"/>
        <v>0851451166</v>
      </c>
      <c r="V141" s="16" t="str" cm="1">
        <f t="array" ref="V141" ca="1">_xlfn.LET(_xlpm.r,RANDBETWEEN(1,100),_xlfn.IFS(_xlpm.r&lt;=70,"Full-Time",_xlpm.r&lt;=85,"Part-Time",_xlpm.r&lt;=95,"Contract",TRUE,"Intern"))</f>
        <v>Full-Time</v>
      </c>
      <c r="W141" s="16" cm="1">
        <f t="array" ref="W141" ca="1">IF(K141&lt;&gt;"Active",0,_xlfn.IFS(M141=5,L141*15%,M141=4,L141*10%,M141=3,L141*5%,M141=2,L141*2%,TRUE,0))</f>
        <v>2852</v>
      </c>
      <c r="X141" s="24">
        <f t="shared" ca="1" si="38"/>
        <v>8</v>
      </c>
      <c r="Y141" s="24">
        <f t="shared" ca="1" si="39"/>
        <v>2</v>
      </c>
    </row>
    <row r="142" spans="1:25">
      <c r="A142" s="16" t="str">
        <f t="shared" si="40"/>
        <v>EMP141</v>
      </c>
      <c r="B142" s="16" t="str" cm="1">
        <f t="array" ref="B142" ca="1">IF(D142="Male",INDEX(Lookup!$L$2:$L$13,RANDBETWEEN(1,12)),IF(D142="Female",INDEX(Lookup!$M$2:$M$13,RANDBETWEEN(1,12)),INDEX(Lookup!$N$2:$N$13,RANDBETWEEN(1,12))))</f>
        <v>Sophia</v>
      </c>
      <c r="C142" s="16" t="str" cm="1">
        <f t="array" ref="C142" ca="1">INDEX(Lookup!$K$2:$K$31,RANDBETWEEN(1,30))</f>
        <v>Parker</v>
      </c>
      <c r="D142" s="16" t="str" cm="1">
        <f t="array" ref="D142" ca="1">INDEX(Lookup!$H$2:$H$4,RANDBETWEEN(1,3))</f>
        <v>Female</v>
      </c>
      <c r="E142" s="16">
        <f t="shared" ca="1" si="28"/>
        <v>60</v>
      </c>
      <c r="F142" s="16" t="str" cm="1">
        <f t="array" ref="F142" ca="1">INDEX(Lookup!$A$2:$A$10,RANDBETWEEN(1,9))</f>
        <v>Finance</v>
      </c>
      <c r="G142" s="16" t="str" cm="1">
        <f t="array" ref="G142" ca="1">_xlfn.LET(_xlpm.Roles,_xlfn._xlws.FILTER(Lookup!$P$2:$P$28,Lookup!$O$2:$O$28=F142),INDEX(_xlpm.Roles,RANDBETWEEN(1,ROWS(_xlpm.Roles))))</f>
        <v>Accountant</v>
      </c>
      <c r="H142" s="16" t="str" cm="1">
        <f t="array" ref="H142" ca="1">INDEX(Lookup!$B$2:$B$7,RANDBETWEEN(1,6))</f>
        <v>Belfast</v>
      </c>
      <c r="I142" s="22">
        <f t="shared" ca="1" si="29"/>
        <v>45186</v>
      </c>
      <c r="J142" s="22" t="str">
        <f t="shared" ca="1" si="30"/>
        <v/>
      </c>
      <c r="K142" s="16" t="str">
        <f t="shared" ca="1" si="31"/>
        <v>Active</v>
      </c>
      <c r="L142" s="26">
        <f ca="1">_xlfn.XLOOKUP(G142,Lookup!$P$2:$P$28,Lookup!$Q$2:$Q$28)*(1+MIN(X142*3%,30%))</f>
        <v>53000</v>
      </c>
      <c r="M142" s="24">
        <f t="shared" ca="1" si="41"/>
        <v>5</v>
      </c>
      <c r="N142" s="24">
        <f t="shared" ca="1" si="32"/>
        <v>74</v>
      </c>
      <c r="O142" s="24">
        <f t="shared" ca="1" si="33"/>
        <v>7</v>
      </c>
      <c r="P142" s="24">
        <f t="shared" ca="1" si="34"/>
        <v>33</v>
      </c>
      <c r="Q142" s="16" t="str">
        <f t="shared" ca="1" si="35"/>
        <v>Promoted</v>
      </c>
      <c r="R142" s="16" t="str" cm="1">
        <f t="array" ref="R142" ca="1">INDEX(Lookup!$E$2:$E$6,RANDBETWEEN(1,5))</f>
        <v>Bachelor's</v>
      </c>
      <c r="S142" s="16" t="str" cm="1">
        <f t="array" ref="S142" ca="1">INDEX(Lookup!$J$2:$J$11,RANDBETWEEN(1,10))</f>
        <v>Michael Brown</v>
      </c>
      <c r="T142" s="16" t="str">
        <f t="shared" ca="1" si="36"/>
        <v>sophia.parker@hranalytics.com</v>
      </c>
      <c r="U142" s="16" t="str">
        <f t="shared" ca="1" si="37"/>
        <v>0892540083</v>
      </c>
      <c r="V142" s="16" t="str" cm="1">
        <f t="array" ref="V142" ca="1">_xlfn.LET(_xlpm.r,RANDBETWEEN(1,100),_xlfn.IFS(_xlpm.r&lt;=70,"Full-Time",_xlpm.r&lt;=85,"Part-Time",_xlpm.r&lt;=95,"Contract",TRUE,"Intern"))</f>
        <v>Full-Time</v>
      </c>
      <c r="W142" s="16" cm="1">
        <f t="array" ref="W142" ca="1">IF(K142&lt;&gt;"Active",0,_xlfn.IFS(M142=5,L142*15%,M142=4,L142*10%,M142=3,L142*5%,M142=2,L142*2%,TRUE,0))</f>
        <v>0</v>
      </c>
      <c r="X142" s="24">
        <f t="shared" ca="1" si="38"/>
        <v>2</v>
      </c>
      <c r="Y142" s="24">
        <f t="shared" ca="1" si="39"/>
        <v>2</v>
      </c>
    </row>
    <row r="143" spans="1:25">
      <c r="A143" s="16" t="str">
        <f t="shared" si="40"/>
        <v>EMP142</v>
      </c>
      <c r="B143" s="16" t="str" cm="1">
        <f t="array" ref="B143" ca="1">IF(D143="Male",INDEX(Lookup!$L$2:$L$13,RANDBETWEEN(1,12)),IF(D143="Female",INDEX(Lookup!$M$2:$M$13,RANDBETWEEN(1,12)),INDEX(Lookup!$N$2:$N$13,RANDBETWEEN(1,12))))</f>
        <v>Cameron</v>
      </c>
      <c r="C143" s="16" t="str" cm="1">
        <f t="array" ref="C143" ca="1">INDEX(Lookup!$K$2:$K$31,RANDBETWEEN(1,30))</f>
        <v>Adams</v>
      </c>
      <c r="D143" s="16" t="str" cm="1">
        <f t="array" ref="D143" ca="1">INDEX(Lookup!$H$2:$H$4,RANDBETWEEN(1,3))</f>
        <v>Other</v>
      </c>
      <c r="E143" s="16">
        <f t="shared" ca="1" si="28"/>
        <v>28</v>
      </c>
      <c r="F143" s="16" t="str" cm="1">
        <f t="array" ref="F143" ca="1">INDEX(Lookup!$A$2:$A$10,RANDBETWEEN(1,9))</f>
        <v>IT</v>
      </c>
      <c r="G143" s="16" t="str" cm="1">
        <f t="array" ref="G143" ca="1">_xlfn.LET(_xlpm.Roles,_xlfn._xlws.FILTER(Lookup!$P$2:$P$28,Lookup!$O$2:$O$28=F143),INDEX(_xlpm.Roles,RANDBETWEEN(1,ROWS(_xlpm.Roles))))</f>
        <v>Business Analyst</v>
      </c>
      <c r="H143" s="16" t="str" cm="1">
        <f t="array" ref="H143" ca="1">INDEX(Lookup!$B$2:$B$7,RANDBETWEEN(1,6))</f>
        <v>Dublin</v>
      </c>
      <c r="I143" s="22">
        <f t="shared" ca="1" si="29"/>
        <v>43238</v>
      </c>
      <c r="J143" s="22" t="str">
        <f t="shared" ca="1" si="30"/>
        <v/>
      </c>
      <c r="K143" s="16" t="str">
        <f t="shared" ca="1" si="31"/>
        <v>Active</v>
      </c>
      <c r="L143" s="26">
        <f ca="1">_xlfn.XLOOKUP(G143,Lookup!$P$2:$P$28,Lookup!$Q$2:$Q$28)*(1+MIN(X143*3%,30%))</f>
        <v>69000</v>
      </c>
      <c r="M143" s="24">
        <f t="shared" ca="1" si="41"/>
        <v>3</v>
      </c>
      <c r="N143" s="24">
        <f t="shared" ca="1" si="32"/>
        <v>4</v>
      </c>
      <c r="O143" s="24">
        <f t="shared" ca="1" si="33"/>
        <v>8</v>
      </c>
      <c r="P143" s="24">
        <f t="shared" ca="1" si="34"/>
        <v>54</v>
      </c>
      <c r="Q143" s="16" t="str">
        <f t="shared" ca="1" si="35"/>
        <v>Promoted</v>
      </c>
      <c r="R143" s="16" t="str" cm="1">
        <f t="array" ref="R143" ca="1">INDEX(Lookup!$E$2:$E$6,RANDBETWEEN(1,5))</f>
        <v>Dipolma</v>
      </c>
      <c r="S143" s="16" t="str" cm="1">
        <f t="array" ref="S143" ca="1">INDEX(Lookup!$J$2:$J$11,RANDBETWEEN(1,10))</f>
        <v>David Murphy</v>
      </c>
      <c r="T143" s="16" t="str">
        <f t="shared" ca="1" si="36"/>
        <v>cameron.adams@hranalytics.com</v>
      </c>
      <c r="U143" s="16" t="str">
        <f t="shared" ca="1" si="37"/>
        <v>0878459949</v>
      </c>
      <c r="V143" s="16" t="str" cm="1">
        <f t="array" ref="V143" ca="1">_xlfn.LET(_xlpm.r,RANDBETWEEN(1,100),_xlfn.IFS(_xlpm.r&lt;=70,"Full-Time",_xlpm.r&lt;=85,"Part-Time",_xlpm.r&lt;=95,"Contract",TRUE,"Intern"))</f>
        <v>Full-Time</v>
      </c>
      <c r="W143" s="16" cm="1">
        <f t="array" ref="W143" ca="1">IF(K143&lt;&gt;"Active",0,_xlfn.IFS(M143=5,L143*15%,M143=4,L143*10%,M143=3,L143*5%,M143=2,L143*2%,TRUE,0))</f>
        <v>6900</v>
      </c>
      <c r="X143" s="24">
        <f t="shared" ca="1" si="38"/>
        <v>8</v>
      </c>
      <c r="Y143" s="24">
        <f t="shared" ca="1" si="39"/>
        <v>3</v>
      </c>
    </row>
    <row r="144" spans="1:25">
      <c r="A144" s="16" t="str">
        <f t="shared" si="40"/>
        <v>EMP143</v>
      </c>
      <c r="B144" s="16" t="str" cm="1">
        <f t="array" ref="B144" ca="1">IF(D144="Male",INDEX(Lookup!$L$2:$L$13,RANDBETWEEN(1,12)),IF(D144="Female",INDEX(Lookup!$M$2:$M$13,RANDBETWEEN(1,12)),INDEX(Lookup!$N$2:$N$13,RANDBETWEEN(1,12))))</f>
        <v>Alex</v>
      </c>
      <c r="C144" s="16" t="str" cm="1">
        <f t="array" ref="C144" ca="1">INDEX(Lookup!$K$2:$K$31,RANDBETWEEN(1,30))</f>
        <v>Murphy</v>
      </c>
      <c r="D144" s="16" t="str" cm="1">
        <f t="array" ref="D144" ca="1">INDEX(Lookup!$H$2:$H$4,RANDBETWEEN(1,3))</f>
        <v>Other</v>
      </c>
      <c r="E144" s="16">
        <f t="shared" ca="1" si="28"/>
        <v>40</v>
      </c>
      <c r="F144" s="16" t="str" cm="1">
        <f t="array" ref="F144" ca="1">INDEX(Lookup!$A$2:$A$10,RANDBETWEEN(1,9))</f>
        <v>Operations</v>
      </c>
      <c r="G144" s="16" t="str" cm="1">
        <f t="array" ref="G144" ca="1">_xlfn.LET(_xlpm.Roles,_xlfn._xlws.FILTER(Lookup!$P$2:$P$28,Lookup!$O$2:$O$28=F144),INDEX(_xlpm.Roles,RANDBETWEEN(1,ROWS(_xlpm.Roles))))</f>
        <v>Operations Coordinator</v>
      </c>
      <c r="H144" s="16" t="str" cm="1">
        <f t="array" ref="H144" ca="1">INDEX(Lookup!$B$2:$B$7,RANDBETWEEN(1,6))</f>
        <v>Limerick</v>
      </c>
      <c r="I144" s="22">
        <f t="shared" ca="1" si="29"/>
        <v>43103</v>
      </c>
      <c r="J144" s="22" t="str">
        <f t="shared" ca="1" si="30"/>
        <v/>
      </c>
      <c r="K144" s="16" t="str">
        <f t="shared" ca="1" si="31"/>
        <v>Active</v>
      </c>
      <c r="L144" s="26">
        <f ca="1">_xlfn.XLOOKUP(G144,Lookup!$P$2:$P$28,Lookup!$Q$2:$Q$28)*(1+MIN(X144*3%,30%))</f>
        <v>46350</v>
      </c>
      <c r="M144" s="24">
        <f t="shared" ca="1" si="41"/>
        <v>3</v>
      </c>
      <c r="N144" s="24">
        <f t="shared" ca="1" si="32"/>
        <v>1</v>
      </c>
      <c r="O144" s="24">
        <f t="shared" ca="1" si="33"/>
        <v>5</v>
      </c>
      <c r="P144" s="24">
        <f t="shared" ca="1" si="34"/>
        <v>32</v>
      </c>
      <c r="Q144" s="16" t="str">
        <f t="shared" ca="1" si="35"/>
        <v>Not Promoted</v>
      </c>
      <c r="R144" s="16" t="str" cm="1">
        <f t="array" ref="R144" ca="1">INDEX(Lookup!$E$2:$E$6,RANDBETWEEN(1,5))</f>
        <v>PhD</v>
      </c>
      <c r="S144" s="16" t="str" cm="1">
        <f t="array" ref="S144" ca="1">INDEX(Lookup!$J$2:$J$11,RANDBETWEEN(1,10))</f>
        <v>Daniel Kelly</v>
      </c>
      <c r="T144" s="16" t="str">
        <f t="shared" ca="1" si="36"/>
        <v>alex.murphy@hranalytics.com</v>
      </c>
      <c r="U144" s="16" t="str">
        <f t="shared" ca="1" si="37"/>
        <v>0866495952</v>
      </c>
      <c r="V144" s="16" t="str" cm="1">
        <f t="array" ref="V144" ca="1">_xlfn.LET(_xlpm.r,RANDBETWEEN(1,100),_xlfn.IFS(_xlpm.r&lt;=70,"Full-Time",_xlpm.r&lt;=85,"Part-Time",_xlpm.r&lt;=95,"Contract",TRUE,"Intern"))</f>
        <v>Full-Time</v>
      </c>
      <c r="W144" s="16" cm="1">
        <f t="array" ref="W144" ca="1">IF(K144&lt;&gt;"Active",0,_xlfn.IFS(M144=5,L144*15%,M144=4,L144*10%,M144=3,L144*5%,M144=2,L144*2%,TRUE,0))</f>
        <v>4635</v>
      </c>
      <c r="X144" s="24">
        <f t="shared" ca="1" si="38"/>
        <v>8</v>
      </c>
      <c r="Y144" s="24">
        <f t="shared" ca="1" si="39"/>
        <v>2</v>
      </c>
    </row>
    <row r="145" spans="1:25">
      <c r="A145" s="16" t="str">
        <f t="shared" si="40"/>
        <v>EMP144</v>
      </c>
      <c r="B145" s="16" t="str" cm="1">
        <f t="array" ref="B145" ca="1">IF(D145="Male",INDEX(Lookup!$L$2:$L$13,RANDBETWEEN(1,12)),IF(D145="Female",INDEX(Lookup!$M$2:$M$13,RANDBETWEEN(1,12)),INDEX(Lookup!$N$2:$N$13,RANDBETWEEN(1,12))))</f>
        <v>Casey</v>
      </c>
      <c r="C145" s="16" t="str" cm="1">
        <f t="array" ref="C145" ca="1">INDEX(Lookup!$K$2:$K$31,RANDBETWEEN(1,30))</f>
        <v>Thomas</v>
      </c>
      <c r="D145" s="16" t="str" cm="1">
        <f t="array" ref="D145" ca="1">INDEX(Lookup!$H$2:$H$4,RANDBETWEEN(1,3))</f>
        <v>Other</v>
      </c>
      <c r="E145" s="16">
        <f t="shared" ca="1" si="28"/>
        <v>58</v>
      </c>
      <c r="F145" s="16" t="str" cm="1">
        <f t="array" ref="F145" ca="1">INDEX(Lookup!$A$2:$A$10,RANDBETWEEN(1,9))</f>
        <v>Operations</v>
      </c>
      <c r="G145" s="16" t="str" cm="1">
        <f t="array" ref="G145" ca="1">_xlfn.LET(_xlpm.Roles,_xlfn._xlws.FILTER(Lookup!$P$2:$P$28,Lookup!$O$2:$O$28=F145),INDEX(_xlpm.Roles,RANDBETWEEN(1,ROWS(_xlpm.Roles))))</f>
        <v>Operations Coordinator</v>
      </c>
      <c r="H145" s="16" t="str" cm="1">
        <f t="array" ref="H145" ca="1">INDEX(Lookup!$B$2:$B$7,RANDBETWEEN(1,6))</f>
        <v>Dublin</v>
      </c>
      <c r="I145" s="22">
        <f t="shared" ca="1" si="29"/>
        <v>44116</v>
      </c>
      <c r="J145" s="22" t="str">
        <f t="shared" ca="1" si="30"/>
        <v/>
      </c>
      <c r="K145" s="16" t="str">
        <f t="shared" ca="1" si="31"/>
        <v>Active</v>
      </c>
      <c r="L145" s="26">
        <f ca="1">_xlfn.XLOOKUP(G145,Lookup!$P$2:$P$28,Lookup!$Q$2:$Q$28)*(1+MIN(X145*3%,30%))</f>
        <v>47700</v>
      </c>
      <c r="M145" s="24">
        <f t="shared" ca="1" si="41"/>
        <v>5</v>
      </c>
      <c r="N145" s="24">
        <f t="shared" ca="1" si="32"/>
        <v>71</v>
      </c>
      <c r="O145" s="24">
        <f t="shared" ca="1" si="33"/>
        <v>0</v>
      </c>
      <c r="P145" s="24">
        <f t="shared" ca="1" si="34"/>
        <v>13</v>
      </c>
      <c r="Q145" s="16" t="str">
        <f t="shared" ca="1" si="35"/>
        <v>Promoted</v>
      </c>
      <c r="R145" s="16" t="str" cm="1">
        <f t="array" ref="R145" ca="1">INDEX(Lookup!$E$2:$E$6,RANDBETWEEN(1,5))</f>
        <v>Master's</v>
      </c>
      <c r="S145" s="16" t="str" cm="1">
        <f t="array" ref="S145" ca="1">INDEX(Lookup!$J$2:$J$11,RANDBETWEEN(1,10))</f>
        <v>David Murphy</v>
      </c>
      <c r="T145" s="16" t="str">
        <f t="shared" ca="1" si="36"/>
        <v>casey.thomas@hranalytics.com</v>
      </c>
      <c r="U145" s="16" t="str">
        <f t="shared" ca="1" si="37"/>
        <v>0896888895</v>
      </c>
      <c r="V145" s="16" t="str" cm="1">
        <f t="array" ref="V145" ca="1">_xlfn.LET(_xlpm.r,RANDBETWEEN(1,100),_xlfn.IFS(_xlpm.r&lt;=70,"Full-Time",_xlpm.r&lt;=85,"Part-Time",_xlpm.r&lt;=95,"Contract",TRUE,"Intern"))</f>
        <v>Full-Time</v>
      </c>
      <c r="W145" s="16" cm="1">
        <f t="array" ref="W145" ca="1">IF(K145&lt;&gt;"Active",0,_xlfn.IFS(M145=5,L145*15%,M145=4,L145*10%,M145=3,L145*5%,M145=2,L145*2%,TRUE,0))</f>
        <v>2385</v>
      </c>
      <c r="X145" s="24">
        <f t="shared" ca="1" si="38"/>
        <v>5</v>
      </c>
      <c r="Y145" s="24">
        <f t="shared" ca="1" si="39"/>
        <v>3</v>
      </c>
    </row>
    <row r="146" spans="1:25">
      <c r="A146" s="16" t="str">
        <f t="shared" si="40"/>
        <v>EMP145</v>
      </c>
      <c r="B146" s="16" t="str" cm="1">
        <f t="array" ref="B146" ca="1">IF(D146="Male",INDEX(Lookup!$L$2:$L$13,RANDBETWEEN(1,12)),IF(D146="Female",INDEX(Lookup!$M$2:$M$13,RANDBETWEEN(1,12)),INDEX(Lookup!$N$2:$N$13,RANDBETWEEN(1,12))))</f>
        <v>Cameron</v>
      </c>
      <c r="C146" s="16" t="str" cm="1">
        <f t="array" ref="C146" ca="1">INDEX(Lookup!$K$2:$K$31,RANDBETWEEN(1,30))</f>
        <v>Turner</v>
      </c>
      <c r="D146" s="16" t="str" cm="1">
        <f t="array" ref="D146" ca="1">INDEX(Lookup!$H$2:$H$4,RANDBETWEEN(1,3))</f>
        <v>Other</v>
      </c>
      <c r="E146" s="16">
        <f t="shared" ca="1" si="28"/>
        <v>39</v>
      </c>
      <c r="F146" s="16" t="str" cm="1">
        <f t="array" ref="F146" ca="1">INDEX(Lookup!$A$2:$A$10,RANDBETWEEN(1,9))</f>
        <v>Procurement</v>
      </c>
      <c r="G146" s="16" t="str" cm="1">
        <f t="array" ref="G146" ca="1">_xlfn.LET(_xlpm.Roles,_xlfn._xlws.FILTER(Lookup!$P$2:$P$28,Lookup!$O$2:$O$28=F146),INDEX(_xlpm.Roles,RANDBETWEEN(1,ROWS(_xlpm.Roles))))</f>
        <v>Procurement Analyst</v>
      </c>
      <c r="H146" s="16" t="str" cm="1">
        <f t="array" ref="H146" ca="1">INDEX(Lookup!$B$2:$B$7,RANDBETWEEN(1,6))</f>
        <v>Galway</v>
      </c>
      <c r="I146" s="22">
        <f t="shared" ca="1" si="29"/>
        <v>45455</v>
      </c>
      <c r="J146" s="22">
        <f t="shared" ca="1" si="30"/>
        <v>45974</v>
      </c>
      <c r="K146" s="16" t="str">
        <f t="shared" ca="1" si="31"/>
        <v>Resigned</v>
      </c>
      <c r="L146" s="26">
        <f ca="1">_xlfn.XLOOKUP(G146,Lookup!$P$2:$P$28,Lookup!$Q$2:$Q$28)*(1+MIN(X146*3%,30%))</f>
        <v>56000</v>
      </c>
      <c r="M146" s="24">
        <f t="shared" ca="1" si="41"/>
        <v>1</v>
      </c>
      <c r="N146" s="24">
        <f t="shared" ca="1" si="32"/>
        <v>66</v>
      </c>
      <c r="O146" s="24">
        <f t="shared" ca="1" si="33"/>
        <v>7</v>
      </c>
      <c r="P146" s="24">
        <f t="shared" ca="1" si="34"/>
        <v>25</v>
      </c>
      <c r="Q146" s="16" t="str">
        <f t="shared" ca="1" si="35"/>
        <v>Promoted</v>
      </c>
      <c r="R146" s="16" t="str" cm="1">
        <f t="array" ref="R146" ca="1">INDEX(Lookup!$E$2:$E$6,RANDBETWEEN(1,5))</f>
        <v>High School</v>
      </c>
      <c r="S146" s="16" t="str" cm="1">
        <f t="array" ref="S146" ca="1">INDEX(Lookup!$J$2:$J$11,RANDBETWEEN(1,10))</f>
        <v>Daniel Kelly</v>
      </c>
      <c r="T146" s="16" t="str">
        <f t="shared" ca="1" si="36"/>
        <v>cameron.turner@hranalytics.com</v>
      </c>
      <c r="U146" s="16" t="str">
        <f t="shared" ca="1" si="37"/>
        <v>0887667370</v>
      </c>
      <c r="V146" s="16" t="str" cm="1">
        <f t="array" ref="V146" ca="1">_xlfn.LET(_xlpm.r,RANDBETWEEN(1,100),_xlfn.IFS(_xlpm.r&lt;=70,"Full-Time",_xlpm.r&lt;=85,"Part-Time",_xlpm.r&lt;=95,"Contract",TRUE,"Intern"))</f>
        <v>Full-Time</v>
      </c>
      <c r="W146" s="16" cm="1">
        <f t="array" ref="W146" ca="1">IF(K146&lt;&gt;"Active",0,_xlfn.IFS(M146=5,L146*15%,M146=4,L146*10%,M146=3,L146*5%,M146=2,L146*2%,TRUE,0))</f>
        <v>2800</v>
      </c>
      <c r="X146" s="24">
        <f t="shared" ca="1" si="38"/>
        <v>2</v>
      </c>
      <c r="Y146" s="24">
        <f t="shared" ca="1" si="39"/>
        <v>3</v>
      </c>
    </row>
    <row r="147" spans="1:25">
      <c r="A147" s="16" t="str">
        <f t="shared" si="40"/>
        <v>EMP146</v>
      </c>
      <c r="B147" s="16" t="str" cm="1">
        <f t="array" ref="B147" ca="1">IF(D147="Male",INDEX(Lookup!$L$2:$L$13,RANDBETWEEN(1,12)),IF(D147="Female",INDEX(Lookup!$M$2:$M$13,RANDBETWEEN(1,12)),INDEX(Lookup!$N$2:$N$13,RANDBETWEEN(1,12))))</f>
        <v>Riley</v>
      </c>
      <c r="C147" s="16" t="str" cm="1">
        <f t="array" ref="C147" ca="1">INDEX(Lookup!$K$2:$K$31,RANDBETWEEN(1,30))</f>
        <v>Parker</v>
      </c>
      <c r="D147" s="16" t="str" cm="1">
        <f t="array" ref="D147" ca="1">INDEX(Lookup!$H$2:$H$4,RANDBETWEEN(1,3))</f>
        <v>Other</v>
      </c>
      <c r="E147" s="16">
        <f t="shared" ca="1" si="28"/>
        <v>58</v>
      </c>
      <c r="F147" s="16" t="str" cm="1">
        <f t="array" ref="F147" ca="1">INDEX(Lookup!$A$2:$A$10,RANDBETWEEN(1,9))</f>
        <v>Legal</v>
      </c>
      <c r="G147" s="16" t="str" cm="1">
        <f t="array" ref="G147" ca="1">_xlfn.LET(_xlpm.Roles,_xlfn._xlws.FILTER(Lookup!$P$2:$P$28,Lookup!$O$2:$O$28=F147),INDEX(_xlpm.Roles,RANDBETWEEN(1,ROWS(_xlpm.Roles))))</f>
        <v>Legal Executive</v>
      </c>
      <c r="H147" s="16" t="str" cm="1">
        <f t="array" ref="H147" ca="1">INDEX(Lookup!$B$2:$B$7,RANDBETWEEN(1,6))</f>
        <v>Belfast</v>
      </c>
      <c r="I147" s="22">
        <f t="shared" ca="1" si="29"/>
        <v>43396</v>
      </c>
      <c r="J147" s="22" t="str">
        <f t="shared" ca="1" si="30"/>
        <v/>
      </c>
      <c r="K147" s="16" t="str">
        <f t="shared" ca="1" si="31"/>
        <v>Active</v>
      </c>
      <c r="L147" s="26">
        <f ca="1">_xlfn.XLOOKUP(G147,Lookup!$P$2:$P$28,Lookup!$Q$2:$Q$28)*(1+MIN(X147*3%,30%))</f>
        <v>56680</v>
      </c>
      <c r="M147" s="24">
        <f t="shared" ca="1" si="41"/>
        <v>3</v>
      </c>
      <c r="N147" s="24">
        <f t="shared" ca="1" si="32"/>
        <v>48</v>
      </c>
      <c r="O147" s="24">
        <f t="shared" ca="1" si="33"/>
        <v>17</v>
      </c>
      <c r="P147" s="24">
        <f t="shared" ca="1" si="34"/>
        <v>13</v>
      </c>
      <c r="Q147" s="16" t="str">
        <f t="shared" ca="1" si="35"/>
        <v>Promoted</v>
      </c>
      <c r="R147" s="16" t="str" cm="1">
        <f t="array" ref="R147" ca="1">INDEX(Lookup!$E$2:$E$6,RANDBETWEEN(1,5))</f>
        <v>PhD</v>
      </c>
      <c r="S147" s="16" t="str" cm="1">
        <f t="array" ref="S147" ca="1">INDEX(Lookup!$J$2:$J$11,RANDBETWEEN(1,10))</f>
        <v>James Taylor</v>
      </c>
      <c r="T147" s="16" t="str">
        <f t="shared" ca="1" si="36"/>
        <v>riley.parker@hranalytics.com</v>
      </c>
      <c r="U147" s="16" t="str">
        <f t="shared" ca="1" si="37"/>
        <v>0874320791</v>
      </c>
      <c r="V147" s="16" t="str" cm="1">
        <f t="array" ref="V147" ca="1">_xlfn.LET(_xlpm.r,RANDBETWEEN(1,100),_xlfn.IFS(_xlpm.r&lt;=70,"Full-Time",_xlpm.r&lt;=85,"Part-Time",_xlpm.r&lt;=95,"Contract",TRUE,"Intern"))</f>
        <v>Full-Time</v>
      </c>
      <c r="W147" s="16" cm="1">
        <f t="array" ref="W147" ca="1">IF(K147&lt;&gt;"Active",0,_xlfn.IFS(M147=5,L147*15%,M147=4,L147*10%,M147=3,L147*5%,M147=2,L147*2%,TRUE,0))</f>
        <v>8502</v>
      </c>
      <c r="X147" s="24">
        <f t="shared" ca="1" si="38"/>
        <v>7</v>
      </c>
      <c r="Y147" s="24">
        <f t="shared" ca="1" si="39"/>
        <v>3</v>
      </c>
    </row>
    <row r="148" spans="1:25">
      <c r="A148" s="16" t="str">
        <f t="shared" si="40"/>
        <v>EMP147</v>
      </c>
      <c r="B148" s="16" t="str" cm="1">
        <f t="array" ref="B148" ca="1">IF(D148="Male",INDEX(Lookup!$L$2:$L$13,RANDBETWEEN(1,12)),IF(D148="Female",INDEX(Lookup!$M$2:$M$13,RANDBETWEEN(1,12)),INDEX(Lookup!$N$2:$N$13,RANDBETWEEN(1,12))))</f>
        <v>Charlotte</v>
      </c>
      <c r="C148" s="16" t="str" cm="1">
        <f t="array" ref="C148" ca="1">INDEX(Lookup!$K$2:$K$31,RANDBETWEEN(1,30))</f>
        <v>Green</v>
      </c>
      <c r="D148" s="16" t="str" cm="1">
        <f t="array" ref="D148" ca="1">INDEX(Lookup!$H$2:$H$4,RANDBETWEEN(1,3))</f>
        <v>Female</v>
      </c>
      <c r="E148" s="16">
        <f t="shared" ca="1" si="28"/>
        <v>47</v>
      </c>
      <c r="F148" s="16" t="str" cm="1">
        <f t="array" ref="F148" ca="1">INDEX(Lookup!$A$2:$A$10,RANDBETWEEN(1,9))</f>
        <v>Finance</v>
      </c>
      <c r="G148" s="16" t="str" cm="1">
        <f t="array" ref="G148" ca="1">_xlfn.LET(_xlpm.Roles,_xlfn._xlws.FILTER(Lookup!$P$2:$P$28,Lookup!$O$2:$O$28=F148),INDEX(_xlpm.Roles,RANDBETWEEN(1,ROWS(_xlpm.Roles))))</f>
        <v>Financial Analyst</v>
      </c>
      <c r="H148" s="16" t="str" cm="1">
        <f t="array" ref="H148" ca="1">INDEX(Lookup!$B$2:$B$7,RANDBETWEEN(1,6))</f>
        <v>Galway</v>
      </c>
      <c r="I148" s="22">
        <f t="shared" ca="1" si="29"/>
        <v>44888</v>
      </c>
      <c r="J148" s="22">
        <f t="shared" ca="1" si="30"/>
        <v>45118</v>
      </c>
      <c r="K148" s="16" t="str">
        <f t="shared" ca="1" si="31"/>
        <v>Resigned</v>
      </c>
      <c r="L148" s="26">
        <f ca="1">_xlfn.XLOOKUP(G148,Lookup!$P$2:$P$28,Lookup!$Q$2:$Q$28)*(1+MIN(X148*3%,30%))</f>
        <v>68440</v>
      </c>
      <c r="M148" s="24">
        <f t="shared" ca="1" si="41"/>
        <v>2</v>
      </c>
      <c r="N148" s="24">
        <f t="shared" ca="1" si="32"/>
        <v>71</v>
      </c>
      <c r="O148" s="24">
        <f t="shared" ca="1" si="33"/>
        <v>8</v>
      </c>
      <c r="P148" s="24">
        <f t="shared" ca="1" si="34"/>
        <v>39</v>
      </c>
      <c r="Q148" s="16" t="str">
        <f t="shared" ca="1" si="35"/>
        <v>Not Promoted</v>
      </c>
      <c r="R148" s="16" t="str" cm="1">
        <f t="array" ref="R148" ca="1">INDEX(Lookup!$E$2:$E$6,RANDBETWEEN(1,5))</f>
        <v>Bachelor's</v>
      </c>
      <c r="S148" s="16" t="str" cm="1">
        <f t="array" ref="S148" ca="1">INDEX(Lookup!$J$2:$J$11,RANDBETWEEN(1,10))</f>
        <v>Daniel Kelly</v>
      </c>
      <c r="T148" s="16" t="str">
        <f t="shared" ca="1" si="36"/>
        <v>charlotte.green@hranalytics.com</v>
      </c>
      <c r="U148" s="16" t="str">
        <f t="shared" ca="1" si="37"/>
        <v>0895582963</v>
      </c>
      <c r="V148" s="16" t="str" cm="1">
        <f t="array" ref="V148" ca="1">_xlfn.LET(_xlpm.r,RANDBETWEEN(1,100),_xlfn.IFS(_xlpm.r&lt;=70,"Full-Time",_xlpm.r&lt;=85,"Part-Time",_xlpm.r&lt;=95,"Contract",TRUE,"Intern"))</f>
        <v>Full-Time</v>
      </c>
      <c r="W148" s="16" cm="1">
        <f t="array" ref="W148" ca="1">IF(K148&lt;&gt;"Active",0,_xlfn.IFS(M148=5,L148*15%,M148=4,L148*10%,M148=3,L148*5%,M148=2,L148*2%,TRUE,0))</f>
        <v>0</v>
      </c>
      <c r="X148" s="24">
        <f t="shared" ca="1" si="38"/>
        <v>3</v>
      </c>
      <c r="Y148" s="24">
        <f t="shared" ca="1" si="39"/>
        <v>1</v>
      </c>
    </row>
    <row r="149" spans="1:25">
      <c r="A149" s="16" t="str">
        <f t="shared" si="40"/>
        <v>EMP148</v>
      </c>
      <c r="B149" s="16" t="str" cm="1">
        <f t="array" ref="B149" ca="1">IF(D149="Male",INDEX(Lookup!$L$2:$L$13,RANDBETWEEN(1,12)),IF(D149="Female",INDEX(Lookup!$M$2:$M$13,RANDBETWEEN(1,12)),INDEX(Lookup!$N$2:$N$13,RANDBETWEEN(1,12))))</f>
        <v>Ava</v>
      </c>
      <c r="C149" s="16" t="str" cm="1">
        <f t="array" ref="C149" ca="1">INDEX(Lookup!$K$2:$K$31,RANDBETWEEN(1,30))</f>
        <v>Allen</v>
      </c>
      <c r="D149" s="16" t="str" cm="1">
        <f t="array" ref="D149" ca="1">INDEX(Lookup!$H$2:$H$4,RANDBETWEEN(1,3))</f>
        <v>Female</v>
      </c>
      <c r="E149" s="16">
        <f t="shared" ca="1" si="28"/>
        <v>54</v>
      </c>
      <c r="F149" s="16" t="str" cm="1">
        <f t="array" ref="F149" ca="1">INDEX(Lookup!$A$2:$A$10,RANDBETWEEN(1,9))</f>
        <v>Legal</v>
      </c>
      <c r="G149" s="16" t="str" cm="1">
        <f t="array" ref="G149" ca="1">_xlfn.LET(_xlpm.Roles,_xlfn._xlws.FILTER(Lookup!$P$2:$P$28,Lookup!$O$2:$O$28=F149),INDEX(_xlpm.Roles,RANDBETWEEN(1,ROWS(_xlpm.Roles))))</f>
        <v>Legal Executive</v>
      </c>
      <c r="H149" s="16" t="str" cm="1">
        <f t="array" ref="H149" ca="1">INDEX(Lookup!$B$2:$B$7,RANDBETWEEN(1,6))</f>
        <v>Limerick</v>
      </c>
      <c r="I149" s="22">
        <f t="shared" ca="1" si="29"/>
        <v>43701</v>
      </c>
      <c r="J149" s="22" t="str">
        <f t="shared" ca="1" si="30"/>
        <v/>
      </c>
      <c r="K149" s="16" t="str">
        <f t="shared" ca="1" si="31"/>
        <v>Active</v>
      </c>
      <c r="L149" s="26">
        <f ca="1">_xlfn.XLOOKUP(G149,Lookup!$P$2:$P$28,Lookup!$Q$2:$Q$28)*(1+MIN(X149*3%,30%))</f>
        <v>64480</v>
      </c>
      <c r="M149" s="24">
        <f t="shared" ca="1" si="41"/>
        <v>3</v>
      </c>
      <c r="N149" s="24">
        <f t="shared" ca="1" si="32"/>
        <v>34</v>
      </c>
      <c r="O149" s="24">
        <f t="shared" ca="1" si="33"/>
        <v>6</v>
      </c>
      <c r="P149" s="24">
        <f t="shared" ca="1" si="34"/>
        <v>54</v>
      </c>
      <c r="Q149" s="16" t="str">
        <f t="shared" ca="1" si="35"/>
        <v>Promoted</v>
      </c>
      <c r="R149" s="16" t="str" cm="1">
        <f t="array" ref="R149" ca="1">INDEX(Lookup!$E$2:$E$6,RANDBETWEEN(1,5))</f>
        <v>Bachelor's</v>
      </c>
      <c r="S149" s="16" t="str" cm="1">
        <f t="array" ref="S149" ca="1">INDEX(Lookup!$J$2:$J$11,RANDBETWEEN(1,10))</f>
        <v>Grace O'Connor</v>
      </c>
      <c r="T149" s="16" t="str">
        <f t="shared" ca="1" si="36"/>
        <v>ava.allen@hranalytics.com</v>
      </c>
      <c r="U149" s="16" t="str">
        <f t="shared" ca="1" si="37"/>
        <v>0875109336</v>
      </c>
      <c r="V149" s="16" t="str" cm="1">
        <f t="array" ref="V149" ca="1">_xlfn.LET(_xlpm.r,RANDBETWEEN(1,100),_xlfn.IFS(_xlpm.r&lt;=70,"Full-Time",_xlpm.r&lt;=85,"Part-Time",_xlpm.r&lt;=95,"Contract",TRUE,"Intern"))</f>
        <v>Full-Time</v>
      </c>
      <c r="W149" s="16" cm="1">
        <f t="array" ref="W149" ca="1">IF(K149&lt;&gt;"Active",0,_xlfn.IFS(M149=5,L149*15%,M149=4,L149*10%,M149=3,L149*5%,M149=2,L149*2%,TRUE,0))</f>
        <v>6448</v>
      </c>
      <c r="X149" s="24">
        <f t="shared" ca="1" si="38"/>
        <v>7</v>
      </c>
      <c r="Y149" s="24">
        <f t="shared" ca="1" si="39"/>
        <v>3</v>
      </c>
    </row>
    <row r="150" spans="1:25">
      <c r="A150" s="16" t="str">
        <f t="shared" si="40"/>
        <v>EMP149</v>
      </c>
      <c r="B150" s="16" t="str" cm="1">
        <f t="array" ref="B150" ca="1">IF(D150="Male",INDEX(Lookup!$L$2:$L$13,RANDBETWEEN(1,12)),IF(D150="Female",INDEX(Lookup!$M$2:$M$13,RANDBETWEEN(1,12)),INDEX(Lookup!$N$2:$N$13,RANDBETWEEN(1,12))))</f>
        <v>Morgan</v>
      </c>
      <c r="C150" s="16" t="str" cm="1">
        <f t="array" ref="C150" ca="1">INDEX(Lookup!$K$2:$K$31,RANDBETWEEN(1,30))</f>
        <v>Green</v>
      </c>
      <c r="D150" s="16" t="str" cm="1">
        <f t="array" ref="D150" ca="1">INDEX(Lookup!$H$2:$H$4,RANDBETWEEN(1,3))</f>
        <v>Other</v>
      </c>
      <c r="E150" s="16">
        <f t="shared" ca="1" si="28"/>
        <v>49</v>
      </c>
      <c r="F150" s="16" t="str" cm="1">
        <f t="array" ref="F150" ca="1">INDEX(Lookup!$A$2:$A$10,RANDBETWEEN(1,9))</f>
        <v>Sales</v>
      </c>
      <c r="G150" s="16" t="str" cm="1">
        <f t="array" ref="G150" ca="1">_xlfn.LET(_xlpm.Roles,_xlfn._xlws.FILTER(Lookup!$P$2:$P$28,Lookup!$O$2:$O$28=F150),INDEX(_xlpm.Roles,RANDBETWEEN(1,ROWS(_xlpm.Roles))))</f>
        <v>Sales Executive</v>
      </c>
      <c r="H150" s="16" t="str" cm="1">
        <f t="array" ref="H150" ca="1">INDEX(Lookup!$B$2:$B$7,RANDBETWEEN(1,6))</f>
        <v>Belfast</v>
      </c>
      <c r="I150" s="22">
        <f t="shared" ca="1" si="29"/>
        <v>45369</v>
      </c>
      <c r="J150" s="22" t="str">
        <f t="shared" ca="1" si="30"/>
        <v/>
      </c>
      <c r="K150" s="16" t="str">
        <f t="shared" ca="1" si="31"/>
        <v>Active</v>
      </c>
      <c r="L150" s="26">
        <f ca="1">_xlfn.XLOOKUP(G150,Lookup!$P$2:$P$28,Lookup!$Q$2:$Q$28)*(1+MIN(X150*3%,30%))</f>
        <v>43600</v>
      </c>
      <c r="M150" s="24">
        <f t="shared" ca="1" si="41"/>
        <v>3</v>
      </c>
      <c r="N150" s="24">
        <f t="shared" ca="1" si="32"/>
        <v>60</v>
      </c>
      <c r="O150" s="24">
        <f t="shared" ca="1" si="33"/>
        <v>13</v>
      </c>
      <c r="P150" s="24">
        <f t="shared" ca="1" si="34"/>
        <v>24</v>
      </c>
      <c r="Q150" s="16" t="str">
        <f t="shared" ca="1" si="35"/>
        <v>Not Promoted</v>
      </c>
      <c r="R150" s="16" t="str" cm="1">
        <f t="array" ref="R150" ca="1">INDEX(Lookup!$E$2:$E$6,RANDBETWEEN(1,5))</f>
        <v>Bachelor's</v>
      </c>
      <c r="S150" s="16" t="str" cm="1">
        <f t="array" ref="S150" ca="1">INDEX(Lookup!$J$2:$J$11,RANDBETWEEN(1,10))</f>
        <v>Emma Wilson</v>
      </c>
      <c r="T150" s="16" t="str">
        <f t="shared" ca="1" si="36"/>
        <v>morgan.green@hranalytics.com</v>
      </c>
      <c r="U150" s="16" t="str">
        <f t="shared" ca="1" si="37"/>
        <v>0869927098</v>
      </c>
      <c r="V150" s="16" t="str" cm="1">
        <f t="array" ref="V150" ca="1">_xlfn.LET(_xlpm.r,RANDBETWEEN(1,100),_xlfn.IFS(_xlpm.r&lt;=70,"Full-Time",_xlpm.r&lt;=85,"Part-Time",_xlpm.r&lt;=95,"Contract",TRUE,"Intern"))</f>
        <v>Full-Time</v>
      </c>
      <c r="W150" s="16" cm="1">
        <f t="array" ref="W150" ca="1">IF(K150&lt;&gt;"Active",0,_xlfn.IFS(M150=5,L150*15%,M150=4,L150*10%,M150=3,L150*5%,M150=2,L150*2%,TRUE,0))</f>
        <v>0</v>
      </c>
      <c r="X150" s="24">
        <f t="shared" ca="1" si="38"/>
        <v>2</v>
      </c>
      <c r="Y150" s="24">
        <f t="shared" ca="1" si="39"/>
        <v>3</v>
      </c>
    </row>
    <row r="151" spans="1:25">
      <c r="A151" s="16" t="str">
        <f t="shared" si="40"/>
        <v>EMP150</v>
      </c>
      <c r="B151" s="16" t="str" cm="1">
        <f t="array" ref="B151" ca="1">IF(D151="Male",INDEX(Lookup!$L$2:$L$13,RANDBETWEEN(1,12)),IF(D151="Female",INDEX(Lookup!$M$2:$M$13,RANDBETWEEN(1,12)),INDEX(Lookup!$N$2:$N$13,RANDBETWEEN(1,12))))</f>
        <v>Charlotte</v>
      </c>
      <c r="C151" s="16" t="str" cm="1">
        <f t="array" ref="C151" ca="1">INDEX(Lookup!$K$2:$K$31,RANDBETWEEN(1,30))</f>
        <v>Young</v>
      </c>
      <c r="D151" s="16" t="str" cm="1">
        <f t="array" ref="D151" ca="1">INDEX(Lookup!$H$2:$H$4,RANDBETWEEN(1,3))</f>
        <v>Female</v>
      </c>
      <c r="E151" s="16">
        <f t="shared" ca="1" si="28"/>
        <v>29</v>
      </c>
      <c r="F151" s="16" t="str" cm="1">
        <f t="array" ref="F151" ca="1">INDEX(Lookup!$A$2:$A$10,RANDBETWEEN(1,9))</f>
        <v>Customer Support</v>
      </c>
      <c r="G151" s="16" t="str" cm="1">
        <f t="array" ref="G151" ca="1">_xlfn.LET(_xlpm.Roles,_xlfn._xlws.FILTER(Lookup!$P$2:$P$28,Lookup!$O$2:$O$28=F151),INDEX(_xlpm.Roles,RANDBETWEEN(1,ROWS(_xlpm.Roles))))</f>
        <v>Customer Success Specialist</v>
      </c>
      <c r="H151" s="16" t="str" cm="1">
        <f t="array" ref="H151" ca="1">INDEX(Lookup!$B$2:$B$7,RANDBETWEEN(1,6))</f>
        <v>Galway</v>
      </c>
      <c r="I151" s="22">
        <f t="shared" ca="1" si="29"/>
        <v>45552</v>
      </c>
      <c r="J151" s="22" t="str">
        <f t="shared" ca="1" si="30"/>
        <v/>
      </c>
      <c r="K151" s="16" t="str">
        <f t="shared" ca="1" si="31"/>
        <v>Active</v>
      </c>
      <c r="L151" s="26">
        <f ca="1">_xlfn.XLOOKUP(G151,Lookup!$P$2:$P$28,Lookup!$Q$2:$Q$28)*(1+MIN(X151*3%,30%))</f>
        <v>49560</v>
      </c>
      <c r="M151" s="24">
        <f t="shared" ca="1" si="41"/>
        <v>3</v>
      </c>
      <c r="N151" s="24">
        <f t="shared" ca="1" si="32"/>
        <v>61</v>
      </c>
      <c r="O151" s="24">
        <f t="shared" ca="1" si="33"/>
        <v>8</v>
      </c>
      <c r="P151" s="24">
        <f t="shared" ca="1" si="34"/>
        <v>2</v>
      </c>
      <c r="Q151" s="16" t="str">
        <f t="shared" ca="1" si="35"/>
        <v>Promoted</v>
      </c>
      <c r="R151" s="16" t="str" cm="1">
        <f t="array" ref="R151" ca="1">INDEX(Lookup!$E$2:$E$6,RANDBETWEEN(1,5))</f>
        <v>Master's</v>
      </c>
      <c r="S151" s="16" t="str" cm="1">
        <f t="array" ref="S151" ca="1">INDEX(Lookup!$J$2:$J$11,RANDBETWEEN(1,10))</f>
        <v>Michael Brown</v>
      </c>
      <c r="T151" s="16" t="str">
        <f t="shared" ca="1" si="36"/>
        <v>charlotte.young@hranalytics.com</v>
      </c>
      <c r="U151" s="16" t="str">
        <f t="shared" ca="1" si="37"/>
        <v>0854531215</v>
      </c>
      <c r="V151" s="16" t="str" cm="1">
        <f t="array" ref="V151" ca="1">_xlfn.LET(_xlpm.r,RANDBETWEEN(1,100),_xlfn.IFS(_xlpm.r&lt;=70,"Full-Time",_xlpm.r&lt;=85,"Part-Time",_xlpm.r&lt;=95,"Contract",TRUE,"Intern"))</f>
        <v>Full-Time</v>
      </c>
      <c r="W151" s="16" cm="1">
        <f t="array" ref="W151" ca="1">IF(K151&lt;&gt;"Active",0,_xlfn.IFS(M151=5,L151*15%,M151=4,L151*10%,M151=3,L151*5%,M151=2,L151*2%,TRUE,0))</f>
        <v>991.2</v>
      </c>
      <c r="X151" s="24">
        <f t="shared" ca="1" si="38"/>
        <v>1</v>
      </c>
      <c r="Y151" s="24">
        <f t="shared" ca="1" si="39"/>
        <v>3</v>
      </c>
    </row>
    <row r="152" spans="1:25">
      <c r="A152" s="16" t="str">
        <f t="shared" si="40"/>
        <v>EMP151</v>
      </c>
      <c r="B152" s="16" t="str" cm="1">
        <f t="array" ref="B152" ca="1">IF(D152="Male",INDEX(Lookup!$L$2:$L$13,RANDBETWEEN(1,12)),IF(D152="Female",INDEX(Lookup!$M$2:$M$13,RANDBETWEEN(1,12)),INDEX(Lookup!$N$2:$N$13,RANDBETWEEN(1,12))))</f>
        <v>Mia</v>
      </c>
      <c r="C152" s="16" t="str" cm="1">
        <f t="array" ref="C152" ca="1">INDEX(Lookup!$K$2:$K$31,RANDBETWEEN(1,30))</f>
        <v>Turner</v>
      </c>
      <c r="D152" s="16" t="str" cm="1">
        <f t="array" ref="D152" ca="1">INDEX(Lookup!$H$2:$H$4,RANDBETWEEN(1,3))</f>
        <v>Female</v>
      </c>
      <c r="E152" s="16">
        <f t="shared" ca="1" si="28"/>
        <v>45</v>
      </c>
      <c r="F152" s="16" t="str" cm="1">
        <f t="array" ref="F152" ca="1">INDEX(Lookup!$A$2:$A$10,RANDBETWEEN(1,9))</f>
        <v>Sales</v>
      </c>
      <c r="G152" s="16" t="str" cm="1">
        <f t="array" ref="G152" ca="1">_xlfn.LET(_xlpm.Roles,_xlfn._xlws.FILTER(Lookup!$P$2:$P$28,Lookup!$O$2:$O$28=F152),INDEX(_xlpm.Roles,RANDBETWEEN(1,ROWS(_xlpm.Roles))))</f>
        <v>Business Development Executive</v>
      </c>
      <c r="H152" s="16" t="str" cm="1">
        <f t="array" ref="H152" ca="1">INDEX(Lookup!$B$2:$B$7,RANDBETWEEN(1,6))</f>
        <v>Dublin</v>
      </c>
      <c r="I152" s="22">
        <f t="shared" ca="1" si="29"/>
        <v>44642</v>
      </c>
      <c r="J152" s="22" t="str">
        <f t="shared" ca="1" si="30"/>
        <v/>
      </c>
      <c r="K152" s="16" t="str">
        <f t="shared" ca="1" si="31"/>
        <v>Active</v>
      </c>
      <c r="L152" s="26">
        <f ca="1">_xlfn.XLOOKUP(G152,Lookup!$P$2:$P$28,Lookup!$Q$2:$Q$28)*(1+MIN(X152*3%,30%))</f>
        <v>50880</v>
      </c>
      <c r="M152" s="24">
        <f t="shared" ca="1" si="41"/>
        <v>2</v>
      </c>
      <c r="N152" s="24">
        <f t="shared" ca="1" si="32"/>
        <v>25</v>
      </c>
      <c r="O152" s="24">
        <f t="shared" ca="1" si="33"/>
        <v>12</v>
      </c>
      <c r="P152" s="24">
        <f t="shared" ca="1" si="34"/>
        <v>34</v>
      </c>
      <c r="Q152" s="16" t="str">
        <f t="shared" ca="1" si="35"/>
        <v>Promoted</v>
      </c>
      <c r="R152" s="16" t="str" cm="1">
        <f t="array" ref="R152" ca="1">INDEX(Lookup!$E$2:$E$6,RANDBETWEEN(1,5))</f>
        <v>PhD</v>
      </c>
      <c r="S152" s="16" t="str" cm="1">
        <f t="array" ref="S152" ca="1">INDEX(Lookup!$J$2:$J$11,RANDBETWEEN(1,10))</f>
        <v>Michael Brown</v>
      </c>
      <c r="T152" s="16" t="str">
        <f t="shared" ca="1" si="36"/>
        <v>mia.turner@hranalytics.com</v>
      </c>
      <c r="U152" s="16" t="str">
        <f t="shared" ca="1" si="37"/>
        <v>0847409250</v>
      </c>
      <c r="V152" s="16" t="str" cm="1">
        <f t="array" ref="V152" ca="1">_xlfn.LET(_xlpm.r,RANDBETWEEN(1,100),_xlfn.IFS(_xlpm.r&lt;=70,"Full-Time",_xlpm.r&lt;=85,"Part-Time",_xlpm.r&lt;=95,"Contract",TRUE,"Intern"))</f>
        <v>Full-Time</v>
      </c>
      <c r="W152" s="16" cm="1">
        <f t="array" ref="W152" ca="1">IF(K152&lt;&gt;"Active",0,_xlfn.IFS(M152=5,L152*15%,M152=4,L152*10%,M152=3,L152*5%,M152=2,L152*2%,TRUE,0))</f>
        <v>5088</v>
      </c>
      <c r="X152" s="24">
        <f t="shared" ca="1" si="38"/>
        <v>4</v>
      </c>
      <c r="Y152" s="24">
        <f t="shared" ca="1" si="39"/>
        <v>3</v>
      </c>
    </row>
    <row r="153" spans="1:25">
      <c r="A153" s="16" t="str">
        <f t="shared" si="40"/>
        <v>EMP152</v>
      </c>
      <c r="B153" s="16" t="str" cm="1">
        <f t="array" ref="B153" ca="1">IF(D153="Male",INDEX(Lookup!$L$2:$L$13,RANDBETWEEN(1,12)),IF(D153="Female",INDEX(Lookup!$M$2:$M$13,RANDBETWEEN(1,12)),INDEX(Lookup!$N$2:$N$13,RANDBETWEEN(1,12))))</f>
        <v>Noah</v>
      </c>
      <c r="C153" s="16" t="str" cm="1">
        <f t="array" ref="C153" ca="1">INDEX(Lookup!$K$2:$K$31,RANDBETWEEN(1,30))</f>
        <v>Collins</v>
      </c>
      <c r="D153" s="16" t="str" cm="1">
        <f t="array" ref="D153" ca="1">INDEX(Lookup!$H$2:$H$4,RANDBETWEEN(1,3))</f>
        <v>Male</v>
      </c>
      <c r="E153" s="16">
        <f t="shared" ca="1" si="28"/>
        <v>42</v>
      </c>
      <c r="F153" s="16" t="str" cm="1">
        <f t="array" ref="F153" ca="1">INDEX(Lookup!$A$2:$A$10,RANDBETWEEN(1,9))</f>
        <v>Sales</v>
      </c>
      <c r="G153" s="16" t="str" cm="1">
        <f t="array" ref="G153" ca="1">_xlfn.LET(_xlpm.Roles,_xlfn._xlws.FILTER(Lookup!$P$2:$P$28,Lookup!$O$2:$O$28=F153),INDEX(_xlpm.Roles,RANDBETWEEN(1,ROWS(_xlpm.Roles))))</f>
        <v>Account Manager</v>
      </c>
      <c r="H153" s="16" t="str" cm="1">
        <f t="array" ref="H153" ca="1">INDEX(Lookup!$B$2:$B$7,RANDBETWEEN(1,6))</f>
        <v>Waterford</v>
      </c>
      <c r="I153" s="22">
        <f t="shared" ca="1" si="29"/>
        <v>43847</v>
      </c>
      <c r="J153" s="22" t="str">
        <f t="shared" ca="1" si="30"/>
        <v/>
      </c>
      <c r="K153" s="16" t="str">
        <f t="shared" ca="1" si="31"/>
        <v>Active</v>
      </c>
      <c r="L153" s="26">
        <f ca="1">_xlfn.XLOOKUP(G153,Lookup!$P$2:$P$28,Lookup!$Q$2:$Q$28)*(1+MIN(X153*3%,30%))</f>
        <v>59950</v>
      </c>
      <c r="M153" s="24">
        <f t="shared" ca="1" si="41"/>
        <v>1</v>
      </c>
      <c r="N153" s="24">
        <f t="shared" ca="1" si="32"/>
        <v>32</v>
      </c>
      <c r="O153" s="24">
        <f t="shared" ca="1" si="33"/>
        <v>5</v>
      </c>
      <c r="P153" s="24">
        <f t="shared" ca="1" si="34"/>
        <v>42</v>
      </c>
      <c r="Q153" s="16" t="str">
        <f t="shared" ca="1" si="35"/>
        <v>Not Promoted</v>
      </c>
      <c r="R153" s="16" t="str" cm="1">
        <f t="array" ref="R153" ca="1">INDEX(Lookup!$E$2:$E$6,RANDBETWEEN(1,5))</f>
        <v>PhD</v>
      </c>
      <c r="S153" s="16" t="str" cm="1">
        <f t="array" ref="S153" ca="1">INDEX(Lookup!$J$2:$J$11,RANDBETWEEN(1,10))</f>
        <v>Michael Brown</v>
      </c>
      <c r="T153" s="16" t="str">
        <f t="shared" ca="1" si="36"/>
        <v>noah.collins@hranalytics.com</v>
      </c>
      <c r="U153" s="16" t="str">
        <f t="shared" ca="1" si="37"/>
        <v>0898757391</v>
      </c>
      <c r="V153" s="16" t="str" cm="1">
        <f t="array" ref="V153" ca="1">_xlfn.LET(_xlpm.r,RANDBETWEEN(1,100),_xlfn.IFS(_xlpm.r&lt;=70,"Full-Time",_xlpm.r&lt;=85,"Part-Time",_xlpm.r&lt;=95,"Contract",TRUE,"Intern"))</f>
        <v>Full-Time</v>
      </c>
      <c r="W153" s="16" cm="1">
        <f t="array" ref="W153" ca="1">IF(K153&lt;&gt;"Active",0,_xlfn.IFS(M153=5,L153*15%,M153=4,L153*10%,M153=3,L153*5%,M153=2,L153*2%,TRUE,0))</f>
        <v>0</v>
      </c>
      <c r="X153" s="24">
        <f t="shared" ca="1" si="38"/>
        <v>6</v>
      </c>
      <c r="Y153" s="24">
        <f t="shared" ca="1" si="39"/>
        <v>3</v>
      </c>
    </row>
    <row r="154" spans="1:25">
      <c r="A154" s="16" t="str">
        <f t="shared" si="40"/>
        <v>EMP153</v>
      </c>
      <c r="B154" s="16" t="str" cm="1">
        <f t="array" ref="B154" ca="1">IF(D154="Male",INDEX(Lookup!$L$2:$L$13,RANDBETWEEN(1,12)),IF(D154="Female",INDEX(Lookup!$M$2:$M$13,RANDBETWEEN(1,12)),INDEX(Lookup!$N$2:$N$13,RANDBETWEEN(1,12))))</f>
        <v>Sophia</v>
      </c>
      <c r="C154" s="16" t="str" cm="1">
        <f t="array" ref="C154" ca="1">INDEX(Lookup!$K$2:$K$31,RANDBETWEEN(1,30))</f>
        <v>Collins</v>
      </c>
      <c r="D154" s="16" t="str" cm="1">
        <f t="array" ref="D154" ca="1">INDEX(Lookup!$H$2:$H$4,RANDBETWEEN(1,3))</f>
        <v>Female</v>
      </c>
      <c r="E154" s="16">
        <f t="shared" ca="1" si="28"/>
        <v>57</v>
      </c>
      <c r="F154" s="16" t="str" cm="1">
        <f t="array" ref="F154" ca="1">INDEX(Lookup!$A$2:$A$10,RANDBETWEEN(1,9))</f>
        <v>IT</v>
      </c>
      <c r="G154" s="16" t="str" cm="1">
        <f t="array" ref="G154" ca="1">_xlfn.LET(_xlpm.Roles,_xlfn._xlws.FILTER(Lookup!$P$2:$P$28,Lookup!$O$2:$O$28=F154),INDEX(_xlpm.Roles,RANDBETWEEN(1,ROWS(_xlpm.Roles))))</f>
        <v>Data Analyst</v>
      </c>
      <c r="H154" s="16" t="str" cm="1">
        <f t="array" ref="H154" ca="1">INDEX(Lookup!$B$2:$B$7,RANDBETWEEN(1,6))</f>
        <v>Limerick</v>
      </c>
      <c r="I154" s="22">
        <f t="shared" ca="1" si="29"/>
        <v>43118</v>
      </c>
      <c r="J154" s="22">
        <f t="shared" ca="1" si="30"/>
        <v>44624</v>
      </c>
      <c r="K154" s="16" t="str">
        <f t="shared" ca="1" si="31"/>
        <v>Resigned</v>
      </c>
      <c r="L154" s="26">
        <f ca="1">_xlfn.XLOOKUP(G154,Lookup!$P$2:$P$28,Lookup!$Q$2:$Q$28)*(1+MIN(X154*3%,30%))</f>
        <v>55000</v>
      </c>
      <c r="M154" s="24">
        <f t="shared" ca="1" si="41"/>
        <v>2</v>
      </c>
      <c r="N154" s="24">
        <f t="shared" ca="1" si="32"/>
        <v>37</v>
      </c>
      <c r="O154" s="24">
        <f t="shared" ca="1" si="33"/>
        <v>2</v>
      </c>
      <c r="P154" s="24">
        <f t="shared" ca="1" si="34"/>
        <v>18</v>
      </c>
      <c r="Q154" s="16" t="str">
        <f t="shared" ca="1" si="35"/>
        <v>Not Promoted</v>
      </c>
      <c r="R154" s="16" t="str" cm="1">
        <f t="array" ref="R154" ca="1">INDEX(Lookup!$E$2:$E$6,RANDBETWEEN(1,5))</f>
        <v>Master's</v>
      </c>
      <c r="S154" s="16" t="str" cm="1">
        <f t="array" ref="S154" ca="1">INDEX(Lookup!$J$2:$J$11,RANDBETWEEN(1,10))</f>
        <v>Liam Byrne</v>
      </c>
      <c r="T154" s="16" t="str">
        <f t="shared" ca="1" si="36"/>
        <v>sophia.collins@hranalytics.com</v>
      </c>
      <c r="U154" s="16" t="str">
        <f t="shared" ca="1" si="37"/>
        <v>0847526031</v>
      </c>
      <c r="V154" s="16" t="str" cm="1">
        <f t="array" ref="V154" ca="1">_xlfn.LET(_xlpm.r,RANDBETWEEN(1,100),_xlfn.IFS(_xlpm.r&lt;=70,"Full-Time",_xlpm.r&lt;=85,"Part-Time",_xlpm.r&lt;=95,"Contract",TRUE,"Intern"))</f>
        <v>Full-Time</v>
      </c>
      <c r="W154" s="16" cm="1">
        <f t="array" ref="W154" ca="1">IF(K154&lt;&gt;"Active",0,_xlfn.IFS(M154=5,L154*15%,M154=4,L154*10%,M154=3,L154*5%,M154=2,L154*2%,TRUE,0))</f>
        <v>0</v>
      </c>
      <c r="X154" s="24">
        <f t="shared" ca="1" si="38"/>
        <v>8</v>
      </c>
      <c r="Y154" s="24">
        <f t="shared" ca="1" si="39"/>
        <v>3</v>
      </c>
    </row>
    <row r="155" spans="1:25">
      <c r="A155" s="16" t="str">
        <f t="shared" si="40"/>
        <v>EMP154</v>
      </c>
      <c r="B155" s="16" t="str" cm="1">
        <f t="array" ref="B155" ca="1">IF(D155="Male",INDEX(Lookup!$L$2:$L$13,RANDBETWEEN(1,12)),IF(D155="Female",INDEX(Lookup!$M$2:$M$13,RANDBETWEEN(1,12)),INDEX(Lookup!$N$2:$N$13,RANDBETWEEN(1,12))))</f>
        <v>Ella</v>
      </c>
      <c r="C155" s="16" t="str" cm="1">
        <f t="array" ref="C155" ca="1">INDEX(Lookup!$K$2:$K$31,RANDBETWEEN(1,30))</f>
        <v>Nelson</v>
      </c>
      <c r="D155" s="16" t="str" cm="1">
        <f t="array" ref="D155" ca="1">INDEX(Lookup!$H$2:$H$4,RANDBETWEEN(1,3))</f>
        <v>Female</v>
      </c>
      <c r="E155" s="16">
        <f t="shared" ca="1" si="28"/>
        <v>35</v>
      </c>
      <c r="F155" s="16" t="str" cm="1">
        <f t="array" ref="F155" ca="1">INDEX(Lookup!$A$2:$A$10,RANDBETWEEN(1,9))</f>
        <v>Customer Support</v>
      </c>
      <c r="G155" s="16" t="str" cm="1">
        <f t="array" ref="G155" ca="1">_xlfn.LET(_xlpm.Roles,_xlfn._xlws.FILTER(Lookup!$P$2:$P$28,Lookup!$O$2:$O$28=F155),INDEX(_xlpm.Roles,RANDBETWEEN(1,ROWS(_xlpm.Roles))))</f>
        <v>Customer Success Specialist</v>
      </c>
      <c r="H155" s="16" t="str" cm="1">
        <f t="array" ref="H155" ca="1">INDEX(Lookup!$B$2:$B$7,RANDBETWEEN(1,6))</f>
        <v>Limerick</v>
      </c>
      <c r="I155" s="22">
        <f t="shared" ca="1" si="29"/>
        <v>43232</v>
      </c>
      <c r="J155" s="22" t="str">
        <f t="shared" ca="1" si="30"/>
        <v/>
      </c>
      <c r="K155" s="16" t="str">
        <f t="shared" ca="1" si="31"/>
        <v>Active</v>
      </c>
      <c r="L155" s="26">
        <f ca="1">_xlfn.XLOOKUP(G155,Lookup!$P$2:$P$28,Lookup!$Q$2:$Q$28)*(1+MIN(X155*3%,30%))</f>
        <v>45780</v>
      </c>
      <c r="M155" s="24">
        <f t="shared" ca="1" si="41"/>
        <v>1</v>
      </c>
      <c r="N155" s="24">
        <f t="shared" ca="1" si="32"/>
        <v>44</v>
      </c>
      <c r="O155" s="24">
        <f t="shared" ca="1" si="33"/>
        <v>16</v>
      </c>
      <c r="P155" s="24">
        <f t="shared" ca="1" si="34"/>
        <v>42</v>
      </c>
      <c r="Q155" s="16" t="str">
        <f t="shared" ca="1" si="35"/>
        <v>Promoted</v>
      </c>
      <c r="R155" s="16" t="str" cm="1">
        <f t="array" ref="R155" ca="1">INDEX(Lookup!$E$2:$E$6,RANDBETWEEN(1,5))</f>
        <v>Master's</v>
      </c>
      <c r="S155" s="16" t="str" cm="1">
        <f t="array" ref="S155" ca="1">INDEX(Lookup!$J$2:$J$11,RANDBETWEEN(1,10))</f>
        <v>David Murphy</v>
      </c>
      <c r="T155" s="16" t="str">
        <f t="shared" ca="1" si="36"/>
        <v>ella.nelson@hranalytics.com</v>
      </c>
      <c r="U155" s="16" t="str">
        <f t="shared" ca="1" si="37"/>
        <v>0858235337</v>
      </c>
      <c r="V155" s="16" t="str" cm="1">
        <f t="array" ref="V155" ca="1">_xlfn.LET(_xlpm.r,RANDBETWEEN(1,100),_xlfn.IFS(_xlpm.r&lt;=70,"Full-Time",_xlpm.r&lt;=85,"Part-Time",_xlpm.r&lt;=95,"Contract",TRUE,"Intern"))</f>
        <v>Full-Time</v>
      </c>
      <c r="W155" s="16" cm="1">
        <f t="array" ref="W155" ca="1">IF(K155&lt;&gt;"Active",0,_xlfn.IFS(M155=5,L155*15%,M155=4,L155*10%,M155=3,L155*5%,M155=2,L155*2%,TRUE,0))</f>
        <v>915.6</v>
      </c>
      <c r="X155" s="24">
        <f t="shared" ca="1" si="38"/>
        <v>8</v>
      </c>
      <c r="Y155" s="24">
        <f t="shared" ca="1" si="39"/>
        <v>2</v>
      </c>
    </row>
    <row r="156" spans="1:25">
      <c r="A156" s="16" t="str">
        <f t="shared" si="40"/>
        <v>EMP155</v>
      </c>
      <c r="B156" s="16" t="str" cm="1">
        <f t="array" ref="B156" ca="1">IF(D156="Male",INDEX(Lookup!$L$2:$L$13,RANDBETWEEN(1,12)),IF(D156="Female",INDEX(Lookup!$M$2:$M$13,RANDBETWEEN(1,12)),INDEX(Lookup!$N$2:$N$13,RANDBETWEEN(1,12))))</f>
        <v>Olivia</v>
      </c>
      <c r="C156" s="16" t="str" cm="1">
        <f t="array" ref="C156" ca="1">INDEX(Lookup!$K$2:$K$31,RANDBETWEEN(1,30))</f>
        <v>Collins</v>
      </c>
      <c r="D156" s="16" t="str" cm="1">
        <f t="array" ref="D156" ca="1">INDEX(Lookup!$H$2:$H$4,RANDBETWEEN(1,3))</f>
        <v>Female</v>
      </c>
      <c r="E156" s="16">
        <f t="shared" ca="1" si="28"/>
        <v>44</v>
      </c>
      <c r="F156" s="16" t="str" cm="1">
        <f t="array" ref="F156" ca="1">INDEX(Lookup!$A$2:$A$10,RANDBETWEEN(1,9))</f>
        <v>Finance</v>
      </c>
      <c r="G156" s="16" t="str" cm="1">
        <f t="array" ref="G156" ca="1">_xlfn.LET(_xlpm.Roles,_xlfn._xlws.FILTER(Lookup!$P$2:$P$28,Lookup!$O$2:$O$28=F156),INDEX(_xlpm.Roles,RANDBETWEEN(1,ROWS(_xlpm.Roles))))</f>
        <v>Payroll Officer</v>
      </c>
      <c r="H156" s="16" t="str" cm="1">
        <f t="array" ref="H156" ca="1">INDEX(Lookup!$B$2:$B$7,RANDBETWEEN(1,6))</f>
        <v>Belfast</v>
      </c>
      <c r="I156" s="22">
        <f t="shared" ca="1" si="29"/>
        <v>45336</v>
      </c>
      <c r="J156" s="22" t="str">
        <f t="shared" ca="1" si="30"/>
        <v/>
      </c>
      <c r="K156" s="16" t="str">
        <f t="shared" ca="1" si="31"/>
        <v>Active</v>
      </c>
      <c r="L156" s="26">
        <f ca="1">_xlfn.XLOOKUP(G156,Lookup!$P$2:$P$28,Lookup!$Q$2:$Q$28)*(1+MIN(X156*3%,30%))</f>
        <v>54450</v>
      </c>
      <c r="M156" s="24">
        <f t="shared" ca="1" si="41"/>
        <v>4</v>
      </c>
      <c r="N156" s="24">
        <f t="shared" ca="1" si="32"/>
        <v>43</v>
      </c>
      <c r="O156" s="24">
        <f t="shared" ca="1" si="33"/>
        <v>16</v>
      </c>
      <c r="P156" s="24">
        <f t="shared" ca="1" si="34"/>
        <v>55</v>
      </c>
      <c r="Q156" s="16" t="str">
        <f t="shared" ca="1" si="35"/>
        <v>Promoted</v>
      </c>
      <c r="R156" s="16" t="str" cm="1">
        <f t="array" ref="R156" ca="1">INDEX(Lookup!$E$2:$E$6,RANDBETWEEN(1,5))</f>
        <v>Dipolma</v>
      </c>
      <c r="S156" s="16" t="str" cm="1">
        <f t="array" ref="S156" ca="1">INDEX(Lookup!$J$2:$J$11,RANDBETWEEN(1,10))</f>
        <v>Sarah Johnson</v>
      </c>
      <c r="T156" s="16" t="str">
        <f t="shared" ca="1" si="36"/>
        <v>olivia.collins@hranalytics.com</v>
      </c>
      <c r="U156" s="16" t="str">
        <f t="shared" ca="1" si="37"/>
        <v>0894379828</v>
      </c>
      <c r="V156" s="16" t="str" cm="1">
        <f t="array" ref="V156" ca="1">_xlfn.LET(_xlpm.r,RANDBETWEEN(1,100),_xlfn.IFS(_xlpm.r&lt;=70,"Full-Time",_xlpm.r&lt;=85,"Part-Time",_xlpm.r&lt;=95,"Contract",TRUE,"Intern"))</f>
        <v>Full-Time</v>
      </c>
      <c r="W156" s="16" cm="1">
        <f t="array" ref="W156" ca="1">IF(K156&lt;&gt;"Active",0,_xlfn.IFS(M156=5,L156*15%,M156=4,L156*10%,M156=3,L156*5%,M156=2,L156*2%,TRUE,0))</f>
        <v>0</v>
      </c>
      <c r="X156" s="24">
        <f t="shared" ca="1" si="38"/>
        <v>2</v>
      </c>
      <c r="Y156" s="24">
        <f t="shared" ca="1" si="39"/>
        <v>2</v>
      </c>
    </row>
    <row r="157" spans="1:25">
      <c r="A157" s="16" t="str">
        <f t="shared" si="40"/>
        <v>EMP156</v>
      </c>
      <c r="B157" s="16" t="str" cm="1">
        <f t="array" ref="B157" ca="1">IF(D157="Male",INDEX(Lookup!$L$2:$L$13,RANDBETWEEN(1,12)),IF(D157="Female",INDEX(Lookup!$M$2:$M$13,RANDBETWEEN(1,12)),INDEX(Lookup!$N$2:$N$13,RANDBETWEEN(1,12))))</f>
        <v>Hannah</v>
      </c>
      <c r="C157" s="16" t="str" cm="1">
        <f t="array" ref="C157" ca="1">INDEX(Lookup!$K$2:$K$31,RANDBETWEEN(1,30))</f>
        <v>Scott</v>
      </c>
      <c r="D157" s="16" t="str" cm="1">
        <f t="array" ref="D157" ca="1">INDEX(Lookup!$H$2:$H$4,RANDBETWEEN(1,3))</f>
        <v>Female</v>
      </c>
      <c r="E157" s="16">
        <f t="shared" ca="1" si="28"/>
        <v>33</v>
      </c>
      <c r="F157" s="16" t="str" cm="1">
        <f t="array" ref="F157" ca="1">INDEX(Lookup!$A$2:$A$10,RANDBETWEEN(1,9))</f>
        <v>IT</v>
      </c>
      <c r="G157" s="16" t="str" cm="1">
        <f t="array" ref="G157" ca="1">_xlfn.LET(_xlpm.Roles,_xlfn._xlws.FILTER(Lookup!$P$2:$P$28,Lookup!$O$2:$O$28=F157),INDEX(_xlpm.Roles,RANDBETWEEN(1,ROWS(_xlpm.Roles))))</f>
        <v>Data Analyst</v>
      </c>
      <c r="H157" s="16" t="str" cm="1">
        <f t="array" ref="H157" ca="1">INDEX(Lookup!$B$2:$B$7,RANDBETWEEN(1,6))</f>
        <v>Belfast</v>
      </c>
      <c r="I157" s="22">
        <f t="shared" ca="1" si="29"/>
        <v>45398</v>
      </c>
      <c r="J157" s="22" t="str">
        <f t="shared" ca="1" si="30"/>
        <v/>
      </c>
      <c r="K157" s="16" t="str">
        <f t="shared" ca="1" si="31"/>
        <v>Active</v>
      </c>
      <c r="L157" s="26">
        <f ca="1">_xlfn.XLOOKUP(G157,Lookup!$P$2:$P$28,Lookup!$Q$2:$Q$28)*(1+MIN(X157*3%,30%))</f>
        <v>58300</v>
      </c>
      <c r="M157" s="24">
        <f t="shared" ca="1" si="41"/>
        <v>1</v>
      </c>
      <c r="N157" s="24">
        <f t="shared" ca="1" si="32"/>
        <v>29</v>
      </c>
      <c r="O157" s="24">
        <f t="shared" ca="1" si="33"/>
        <v>19</v>
      </c>
      <c r="P157" s="24">
        <f t="shared" ca="1" si="34"/>
        <v>37</v>
      </c>
      <c r="Q157" s="16" t="str">
        <f t="shared" ca="1" si="35"/>
        <v>Promoted</v>
      </c>
      <c r="R157" s="16" t="str" cm="1">
        <f t="array" ref="R157" ca="1">INDEX(Lookup!$E$2:$E$6,RANDBETWEEN(1,5))</f>
        <v>Master's</v>
      </c>
      <c r="S157" s="16" t="str" cm="1">
        <f t="array" ref="S157" ca="1">INDEX(Lookup!$J$2:$J$11,RANDBETWEEN(1,10))</f>
        <v>Liam Byrne</v>
      </c>
      <c r="T157" s="16" t="str">
        <f t="shared" ca="1" si="36"/>
        <v>hannah.scott@hranalytics.com</v>
      </c>
      <c r="U157" s="16" t="str">
        <f t="shared" ca="1" si="37"/>
        <v>0848405886</v>
      </c>
      <c r="V157" s="16" t="str" cm="1">
        <f t="array" ref="V157" ca="1">_xlfn.LET(_xlpm.r,RANDBETWEEN(1,100),_xlfn.IFS(_xlpm.r&lt;=70,"Full-Time",_xlpm.r&lt;=85,"Part-Time",_xlpm.r&lt;=95,"Contract",TRUE,"Intern"))</f>
        <v>Intern</v>
      </c>
      <c r="W157" s="16" cm="1">
        <f t="array" ref="W157" ca="1">IF(K157&lt;&gt;"Active",0,_xlfn.IFS(M157=5,L157*15%,M157=4,L157*10%,M157=3,L157*5%,M157=2,L157*2%,TRUE,0))</f>
        <v>5830</v>
      </c>
      <c r="X157" s="24">
        <f t="shared" ca="1" si="38"/>
        <v>2</v>
      </c>
      <c r="Y157" s="24">
        <f t="shared" ca="1" si="39"/>
        <v>2</v>
      </c>
    </row>
    <row r="158" spans="1:25">
      <c r="A158" s="16" t="str">
        <f t="shared" si="40"/>
        <v>EMP157</v>
      </c>
      <c r="B158" s="16" t="str" cm="1">
        <f t="array" ref="B158" ca="1">IF(D158="Male",INDEX(Lookup!$L$2:$L$13,RANDBETWEEN(1,12)),IF(D158="Female",INDEX(Lookup!$M$2:$M$13,RANDBETWEEN(1,12)),INDEX(Lookup!$N$2:$N$13,RANDBETWEEN(1,12))))</f>
        <v>John</v>
      </c>
      <c r="C158" s="16" t="str" cm="1">
        <f t="array" ref="C158" ca="1">INDEX(Lookup!$K$2:$K$31,RANDBETWEEN(1,30))</f>
        <v>Scott</v>
      </c>
      <c r="D158" s="16" t="str" cm="1">
        <f t="array" ref="D158" ca="1">INDEX(Lookup!$H$2:$H$4,RANDBETWEEN(1,3))</f>
        <v>Male</v>
      </c>
      <c r="E158" s="16">
        <f t="shared" ca="1" si="28"/>
        <v>46</v>
      </c>
      <c r="F158" s="16" t="str" cm="1">
        <f t="array" ref="F158" ca="1">INDEX(Lookup!$A$2:$A$10,RANDBETWEEN(1,9))</f>
        <v>Procurement</v>
      </c>
      <c r="G158" s="16" t="str" cm="1">
        <f t="array" ref="G158" ca="1">_xlfn.LET(_xlpm.Roles,_xlfn._xlws.FILTER(Lookup!$P$2:$P$28,Lookup!$O$2:$O$28=F158),INDEX(_xlpm.Roles,RANDBETWEEN(1,ROWS(_xlpm.Roles))))</f>
        <v>Purchasing Executive</v>
      </c>
      <c r="H158" s="16" t="str" cm="1">
        <f t="array" ref="H158" ca="1">INDEX(Lookup!$B$2:$B$7,RANDBETWEEN(1,6))</f>
        <v>Belfast</v>
      </c>
      <c r="I158" s="22">
        <f t="shared" ca="1" si="29"/>
        <v>44118</v>
      </c>
      <c r="J158" s="22" t="str">
        <f t="shared" ca="1" si="30"/>
        <v/>
      </c>
      <c r="K158" s="16" t="str">
        <f t="shared" ca="1" si="31"/>
        <v>Active</v>
      </c>
      <c r="L158" s="26">
        <f ca="1">_xlfn.XLOOKUP(G158,Lookup!$P$2:$P$28,Lookup!$Q$2:$Q$28)*(1+MIN(X158*3%,30%))</f>
        <v>48300</v>
      </c>
      <c r="M158" s="24">
        <f t="shared" ca="1" si="41"/>
        <v>1</v>
      </c>
      <c r="N158" s="24">
        <f t="shared" ca="1" si="32"/>
        <v>41</v>
      </c>
      <c r="O158" s="24">
        <f t="shared" ca="1" si="33"/>
        <v>19</v>
      </c>
      <c r="P158" s="24">
        <f t="shared" ca="1" si="34"/>
        <v>3</v>
      </c>
      <c r="Q158" s="16" t="str">
        <f t="shared" ca="1" si="35"/>
        <v>Not Promoted</v>
      </c>
      <c r="R158" s="16" t="str" cm="1">
        <f t="array" ref="R158" ca="1">INDEX(Lookup!$E$2:$E$6,RANDBETWEEN(1,5))</f>
        <v>PhD</v>
      </c>
      <c r="S158" s="16" t="str" cm="1">
        <f t="array" ref="S158" ca="1">INDEX(Lookup!$J$2:$J$11,RANDBETWEEN(1,10))</f>
        <v>Daniel Kelly</v>
      </c>
      <c r="T158" s="16" t="str">
        <f t="shared" ca="1" si="36"/>
        <v>john.scott@hranalytics.com</v>
      </c>
      <c r="U158" s="16" t="str">
        <f t="shared" ca="1" si="37"/>
        <v>0898648879</v>
      </c>
      <c r="V158" s="16" t="str" cm="1">
        <f t="array" ref="V158" ca="1">_xlfn.LET(_xlpm.r,RANDBETWEEN(1,100),_xlfn.IFS(_xlpm.r&lt;=70,"Full-Time",_xlpm.r&lt;=85,"Part-Time",_xlpm.r&lt;=95,"Contract",TRUE,"Intern"))</f>
        <v>Part-Time</v>
      </c>
      <c r="W158" s="16" cm="1">
        <f t="array" ref="W158" ca="1">IF(K158&lt;&gt;"Active",0,_xlfn.IFS(M158=5,L158*15%,M158=4,L158*10%,M158=3,L158*5%,M158=2,L158*2%,TRUE,0))</f>
        <v>0</v>
      </c>
      <c r="X158" s="24">
        <f t="shared" ca="1" si="38"/>
        <v>5</v>
      </c>
      <c r="Y158" s="24">
        <f t="shared" ca="1" si="39"/>
        <v>2</v>
      </c>
    </row>
    <row r="159" spans="1:25">
      <c r="A159" s="16" t="str">
        <f t="shared" si="40"/>
        <v>EMP158</v>
      </c>
      <c r="B159" s="16" t="str" cm="1">
        <f t="array" ref="B159" ca="1">IF(D159="Male",INDEX(Lookup!$L$2:$L$13,RANDBETWEEN(1,12)),IF(D159="Female",INDEX(Lookup!$M$2:$M$13,RANDBETWEEN(1,12)),INDEX(Lookup!$N$2:$N$13,RANDBETWEEN(1,12))))</f>
        <v>David</v>
      </c>
      <c r="C159" s="16" t="str" cm="1">
        <f t="array" ref="C159" ca="1">INDEX(Lookup!$K$2:$K$31,RANDBETWEEN(1,30))</f>
        <v>Nelson</v>
      </c>
      <c r="D159" s="16" t="str" cm="1">
        <f t="array" ref="D159" ca="1">INDEX(Lookup!$H$2:$H$4,RANDBETWEEN(1,3))</f>
        <v>Male</v>
      </c>
      <c r="E159" s="16">
        <f t="shared" ca="1" si="28"/>
        <v>49</v>
      </c>
      <c r="F159" s="16" t="str" cm="1">
        <f t="array" ref="F159" ca="1">INDEX(Lookup!$A$2:$A$10,RANDBETWEEN(1,9))</f>
        <v>Procurement</v>
      </c>
      <c r="G159" s="16" t="str" cm="1">
        <f t="array" ref="G159" ca="1">_xlfn.LET(_xlpm.Roles,_xlfn._xlws.FILTER(Lookup!$P$2:$P$28,Lookup!$O$2:$O$28=F159),INDEX(_xlpm.Roles,RANDBETWEEN(1,ROWS(_xlpm.Roles))))</f>
        <v>Procurement Officer</v>
      </c>
      <c r="H159" s="16" t="str" cm="1">
        <f t="array" ref="H159" ca="1">INDEX(Lookup!$B$2:$B$7,RANDBETWEEN(1,6))</f>
        <v>Galway</v>
      </c>
      <c r="I159" s="22">
        <f t="shared" ca="1" si="29"/>
        <v>44538</v>
      </c>
      <c r="J159" s="22" t="str">
        <f t="shared" ca="1" si="30"/>
        <v/>
      </c>
      <c r="K159" s="16" t="str">
        <f t="shared" ca="1" si="31"/>
        <v>Active</v>
      </c>
      <c r="L159" s="26">
        <f ca="1">_xlfn.XLOOKUP(G159,Lookup!$P$2:$P$28,Lookup!$Q$2:$Q$28)*(1+MIN(X159*3%,30%))</f>
        <v>47700</v>
      </c>
      <c r="M159" s="24">
        <f t="shared" ca="1" si="41"/>
        <v>4</v>
      </c>
      <c r="N159" s="24">
        <f t="shared" ca="1" si="32"/>
        <v>15</v>
      </c>
      <c r="O159" s="24">
        <f t="shared" ca="1" si="33"/>
        <v>5</v>
      </c>
      <c r="P159" s="24">
        <f t="shared" ca="1" si="34"/>
        <v>9</v>
      </c>
      <c r="Q159" s="16" t="str">
        <f t="shared" ca="1" si="35"/>
        <v>Promoted</v>
      </c>
      <c r="R159" s="16" t="str" cm="1">
        <f t="array" ref="R159" ca="1">INDEX(Lookup!$E$2:$E$6,RANDBETWEEN(1,5))</f>
        <v>Master's</v>
      </c>
      <c r="S159" s="16" t="str" cm="1">
        <f t="array" ref="S159" ca="1">INDEX(Lookup!$J$2:$J$11,RANDBETWEEN(1,10))</f>
        <v>Grace O'Connor</v>
      </c>
      <c r="T159" s="16" t="str">
        <f t="shared" ca="1" si="36"/>
        <v>david.nelson@hranalytics.com</v>
      </c>
      <c r="U159" s="16" t="str">
        <f t="shared" ca="1" si="37"/>
        <v>0887854657</v>
      </c>
      <c r="V159" s="16" t="str" cm="1">
        <f t="array" ref="V159" ca="1">_xlfn.LET(_xlpm.r,RANDBETWEEN(1,100),_xlfn.IFS(_xlpm.r&lt;=70,"Full-Time",_xlpm.r&lt;=85,"Part-Time",_xlpm.r&lt;=95,"Contract",TRUE,"Intern"))</f>
        <v>Intern</v>
      </c>
      <c r="W159" s="16" cm="1">
        <f t="array" ref="W159" ca="1">IF(K159&lt;&gt;"Active",0,_xlfn.IFS(M159=5,L159*15%,M159=4,L159*10%,M159=3,L159*5%,M159=2,L159*2%,TRUE,0))</f>
        <v>4770</v>
      </c>
      <c r="X159" s="24">
        <f t="shared" ca="1" si="38"/>
        <v>4</v>
      </c>
      <c r="Y159" s="24">
        <f t="shared" ca="1" si="39"/>
        <v>1</v>
      </c>
    </row>
    <row r="160" spans="1:25">
      <c r="A160" s="16" t="str">
        <f t="shared" si="40"/>
        <v>EMP159</v>
      </c>
      <c r="B160" s="16" t="str" cm="1">
        <f t="array" ref="B160" ca="1">IF(D160="Male",INDEX(Lookup!$L$2:$L$13,RANDBETWEEN(1,12)),IF(D160="Female",INDEX(Lookup!$M$2:$M$13,RANDBETWEEN(1,12)),INDEX(Lookup!$N$2:$N$13,RANDBETWEEN(1,12))))</f>
        <v>Noah</v>
      </c>
      <c r="C160" s="16" t="str" cm="1">
        <f t="array" ref="C160" ca="1">INDEX(Lookup!$K$2:$K$31,RANDBETWEEN(1,30))</f>
        <v>Turner</v>
      </c>
      <c r="D160" s="16" t="str" cm="1">
        <f t="array" ref="D160" ca="1">INDEX(Lookup!$H$2:$H$4,RANDBETWEEN(1,3))</f>
        <v>Male</v>
      </c>
      <c r="E160" s="16">
        <f t="shared" ca="1" si="28"/>
        <v>43</v>
      </c>
      <c r="F160" s="16" t="str" cm="1">
        <f t="array" ref="F160" ca="1">INDEX(Lookup!$A$2:$A$10,RANDBETWEEN(1,9))</f>
        <v>IT</v>
      </c>
      <c r="G160" s="16" t="str" cm="1">
        <f t="array" ref="G160" ca="1">_xlfn.LET(_xlpm.Roles,_xlfn._xlws.FILTER(Lookup!$P$2:$P$28,Lookup!$O$2:$O$28=F160),INDEX(_xlpm.Roles,RANDBETWEEN(1,ROWS(_xlpm.Roles))))</f>
        <v>IT Support Specialist</v>
      </c>
      <c r="H160" s="16" t="str" cm="1">
        <f t="array" ref="H160" ca="1">INDEX(Lookup!$B$2:$B$7,RANDBETWEEN(1,6))</f>
        <v>Cork</v>
      </c>
      <c r="I160" s="22">
        <f t="shared" ca="1" si="29"/>
        <v>44166</v>
      </c>
      <c r="J160" s="22" t="str">
        <f t="shared" ca="1" si="30"/>
        <v/>
      </c>
      <c r="K160" s="16" t="str">
        <f t="shared" ca="1" si="31"/>
        <v>Active</v>
      </c>
      <c r="L160" s="26">
        <f ca="1">_xlfn.XLOOKUP(G160,Lookup!$P$2:$P$28,Lookup!$Q$2:$Q$28)*(1+MIN(X160*3%,30%))</f>
        <v>49440</v>
      </c>
      <c r="M160" s="24">
        <f t="shared" ca="1" si="41"/>
        <v>1</v>
      </c>
      <c r="N160" s="24">
        <f t="shared" ca="1" si="32"/>
        <v>29</v>
      </c>
      <c r="O160" s="24">
        <f t="shared" ca="1" si="33"/>
        <v>13</v>
      </c>
      <c r="P160" s="24">
        <f t="shared" ca="1" si="34"/>
        <v>53</v>
      </c>
      <c r="Q160" s="16" t="str">
        <f t="shared" ca="1" si="35"/>
        <v>Not Promoted</v>
      </c>
      <c r="R160" s="16" t="str" cm="1">
        <f t="array" ref="R160" ca="1">INDEX(Lookup!$E$2:$E$6,RANDBETWEEN(1,5))</f>
        <v>High School</v>
      </c>
      <c r="S160" s="16" t="str" cm="1">
        <f t="array" ref="S160" ca="1">INDEX(Lookup!$J$2:$J$11,RANDBETWEEN(1,10))</f>
        <v>James Taylor</v>
      </c>
      <c r="T160" s="16" t="str">
        <f t="shared" ca="1" si="36"/>
        <v>noah.turner@hranalytics.com</v>
      </c>
      <c r="U160" s="16" t="str">
        <f t="shared" ca="1" si="37"/>
        <v>0894525640</v>
      </c>
      <c r="V160" s="16" t="str" cm="1">
        <f t="array" ref="V160" ca="1">_xlfn.LET(_xlpm.r,RANDBETWEEN(1,100),_xlfn.IFS(_xlpm.r&lt;=70,"Full-Time",_xlpm.r&lt;=85,"Part-Time",_xlpm.r&lt;=95,"Contract",TRUE,"Intern"))</f>
        <v>Contract</v>
      </c>
      <c r="W160" s="16" cm="1">
        <f t="array" ref="W160" ca="1">IF(K160&lt;&gt;"Active",0,_xlfn.IFS(M160=5,L160*15%,M160=4,L160*10%,M160=3,L160*5%,M160=2,L160*2%,TRUE,0))</f>
        <v>988.8</v>
      </c>
      <c r="X160" s="24">
        <f t="shared" ca="1" si="38"/>
        <v>5</v>
      </c>
      <c r="Y160" s="24">
        <f t="shared" ca="1" si="39"/>
        <v>3</v>
      </c>
    </row>
    <row r="161" spans="1:25">
      <c r="A161" s="16" t="str">
        <f t="shared" si="40"/>
        <v>EMP160</v>
      </c>
      <c r="B161" s="16" t="str" cm="1">
        <f t="array" ref="B161" ca="1">IF(D161="Male",INDEX(Lookup!$L$2:$L$13,RANDBETWEEN(1,12)),IF(D161="Female",INDEX(Lookup!$M$2:$M$13,RANDBETWEEN(1,12)),INDEX(Lookup!$N$2:$N$13,RANDBETWEEN(1,12))))</f>
        <v>Taylor</v>
      </c>
      <c r="C161" s="16" t="str" cm="1">
        <f t="array" ref="C161" ca="1">INDEX(Lookup!$K$2:$K$31,RANDBETWEEN(1,30))</f>
        <v>Collins</v>
      </c>
      <c r="D161" s="16" t="str" cm="1">
        <f t="array" ref="D161" ca="1">INDEX(Lookup!$H$2:$H$4,RANDBETWEEN(1,3))</f>
        <v>Other</v>
      </c>
      <c r="E161" s="16">
        <f t="shared" ca="1" si="28"/>
        <v>23</v>
      </c>
      <c r="F161" s="16" t="str" cm="1">
        <f t="array" ref="F161" ca="1">INDEX(Lookup!$A$2:$A$10,RANDBETWEEN(1,9))</f>
        <v>Sales</v>
      </c>
      <c r="G161" s="16" t="str" cm="1">
        <f t="array" ref="G161" ca="1">_xlfn.LET(_xlpm.Roles,_xlfn._xlws.FILTER(Lookup!$P$2:$P$28,Lookup!$O$2:$O$28=F161),INDEX(_xlpm.Roles,RANDBETWEEN(1,ROWS(_xlpm.Roles))))</f>
        <v>Business Development Executive</v>
      </c>
      <c r="H161" s="16" t="str" cm="1">
        <f t="array" ref="H161" ca="1">INDEX(Lookup!$B$2:$B$7,RANDBETWEEN(1,6))</f>
        <v>Waterford</v>
      </c>
      <c r="I161" s="22">
        <f t="shared" ca="1" si="29"/>
        <v>45812</v>
      </c>
      <c r="J161" s="22">
        <f t="shared" ca="1" si="30"/>
        <v>47154</v>
      </c>
      <c r="K161" s="16" t="str">
        <f t="shared" ca="1" si="31"/>
        <v>Resigned</v>
      </c>
      <c r="L161" s="26">
        <f ca="1">_xlfn.XLOOKUP(G161,Lookup!$P$2:$P$28,Lookup!$Q$2:$Q$28)*(1+MIN(X161*3%,30%))</f>
        <v>49440</v>
      </c>
      <c r="M161" s="24">
        <f t="shared" ca="1" si="41"/>
        <v>5</v>
      </c>
      <c r="N161" s="24">
        <f t="shared" ca="1" si="32"/>
        <v>75</v>
      </c>
      <c r="O161" s="24">
        <f t="shared" ca="1" si="33"/>
        <v>5</v>
      </c>
      <c r="P161" s="24">
        <f t="shared" ca="1" si="34"/>
        <v>57</v>
      </c>
      <c r="Q161" s="16" t="str">
        <f t="shared" ca="1" si="35"/>
        <v>Not Promoted</v>
      </c>
      <c r="R161" s="16" t="str" cm="1">
        <f t="array" ref="R161" ca="1">INDEX(Lookup!$E$2:$E$6,RANDBETWEEN(1,5))</f>
        <v>High School</v>
      </c>
      <c r="S161" s="16" t="str" cm="1">
        <f t="array" ref="S161" ca="1">INDEX(Lookup!$J$2:$J$11,RANDBETWEEN(1,10))</f>
        <v>Daniel Kelly</v>
      </c>
      <c r="T161" s="16" t="str">
        <f t="shared" ca="1" si="36"/>
        <v>taylor.collins@hranalytics.com</v>
      </c>
      <c r="U161" s="16" t="str">
        <f t="shared" ca="1" si="37"/>
        <v>0844811331</v>
      </c>
      <c r="V161" s="16" t="str" cm="1">
        <f t="array" ref="V161" ca="1">_xlfn.LET(_xlpm.r,RANDBETWEEN(1,100),_xlfn.IFS(_xlpm.r&lt;=70,"Full-Time",_xlpm.r&lt;=85,"Part-Time",_xlpm.r&lt;=95,"Contract",TRUE,"Intern"))</f>
        <v>Contract</v>
      </c>
      <c r="W161" s="16" cm="1">
        <f t="array" ref="W161" ca="1">IF(K161&lt;&gt;"Active",0,_xlfn.IFS(M161=5,L161*15%,M161=4,L161*10%,M161=3,L161*5%,M161=2,L161*2%,TRUE,0))</f>
        <v>2472</v>
      </c>
      <c r="X161" s="24">
        <f t="shared" ca="1" si="38"/>
        <v>1</v>
      </c>
      <c r="Y161" s="24">
        <f t="shared" ca="1" si="39"/>
        <v>1</v>
      </c>
    </row>
    <row r="162" spans="1:25">
      <c r="A162" s="16" t="str">
        <f t="shared" si="40"/>
        <v>EMP161</v>
      </c>
      <c r="B162" s="16" t="str" cm="1">
        <f t="array" ref="B162" ca="1">IF(D162="Male",INDEX(Lookup!$L$2:$L$13,RANDBETWEEN(1,12)),IF(D162="Female",INDEX(Lookup!$M$2:$M$13,RANDBETWEEN(1,12)),INDEX(Lookup!$N$2:$N$13,RANDBETWEEN(1,12))))</f>
        <v>John</v>
      </c>
      <c r="C162" s="16" t="str" cm="1">
        <f t="array" ref="C162" ca="1">INDEX(Lookup!$K$2:$K$31,RANDBETWEEN(1,30))</f>
        <v>Lewis</v>
      </c>
      <c r="D162" s="16" t="str" cm="1">
        <f t="array" ref="D162" ca="1">INDEX(Lookup!$H$2:$H$4,RANDBETWEEN(1,3))</f>
        <v>Male</v>
      </c>
      <c r="E162" s="16">
        <f t="shared" ca="1" si="28"/>
        <v>34</v>
      </c>
      <c r="F162" s="16" t="str" cm="1">
        <f t="array" ref="F162" ca="1">INDEX(Lookup!$A$2:$A$10,RANDBETWEEN(1,9))</f>
        <v>Marketing</v>
      </c>
      <c r="G162" s="16" t="str" cm="1">
        <f t="array" ref="G162" ca="1">_xlfn.LET(_xlpm.Roles,_xlfn._xlws.FILTER(Lookup!$P$2:$P$28,Lookup!$O$2:$O$28=F162),INDEX(_xlpm.Roles,RANDBETWEEN(1,ROWS(_xlpm.Roles))))</f>
        <v>Marketing Executive</v>
      </c>
      <c r="H162" s="16" t="str" cm="1">
        <f t="array" ref="H162" ca="1">INDEX(Lookup!$B$2:$B$7,RANDBETWEEN(1,6))</f>
        <v>Belfast</v>
      </c>
      <c r="I162" s="22">
        <f t="shared" ca="1" si="29"/>
        <v>45602</v>
      </c>
      <c r="J162" s="22">
        <f t="shared" ca="1" si="30"/>
        <v>47126</v>
      </c>
      <c r="K162" s="16" t="str">
        <f t="shared" ca="1" si="31"/>
        <v>Resigned</v>
      </c>
      <c r="L162" s="26">
        <f ca="1">_xlfn.XLOOKUP(G162,Lookup!$P$2:$P$28,Lookup!$Q$2:$Q$28)*(1+MIN(X162*3%,30%))</f>
        <v>48300</v>
      </c>
      <c r="M162" s="24">
        <f t="shared" ca="1" si="41"/>
        <v>5</v>
      </c>
      <c r="N162" s="24">
        <f t="shared" ca="1" si="32"/>
        <v>59</v>
      </c>
      <c r="O162" s="24">
        <f t="shared" ca="1" si="33"/>
        <v>2</v>
      </c>
      <c r="P162" s="24">
        <f t="shared" ca="1" si="34"/>
        <v>29</v>
      </c>
      <c r="Q162" s="16" t="str">
        <f t="shared" ca="1" si="35"/>
        <v>Not Promoted</v>
      </c>
      <c r="R162" s="16" t="str" cm="1">
        <f t="array" ref="R162" ca="1">INDEX(Lookup!$E$2:$E$6,RANDBETWEEN(1,5))</f>
        <v>PhD</v>
      </c>
      <c r="S162" s="16" t="str" cm="1">
        <f t="array" ref="S162" ca="1">INDEX(Lookup!$J$2:$J$11,RANDBETWEEN(1,10))</f>
        <v>Michael Brown</v>
      </c>
      <c r="T162" s="16" t="str">
        <f t="shared" ca="1" si="36"/>
        <v>john.lewis@hranalytics.com</v>
      </c>
      <c r="U162" s="16" t="str">
        <f t="shared" ca="1" si="37"/>
        <v>0876991566</v>
      </c>
      <c r="V162" s="16" t="str" cm="1">
        <f t="array" ref="V162" ca="1">_xlfn.LET(_xlpm.r,RANDBETWEEN(1,100),_xlfn.IFS(_xlpm.r&lt;=70,"Full-Time",_xlpm.r&lt;=85,"Part-Time",_xlpm.r&lt;=95,"Contract",TRUE,"Intern"))</f>
        <v>Contract</v>
      </c>
      <c r="W162" s="16" cm="1">
        <f t="array" ref="W162" ca="1">IF(K162&lt;&gt;"Active",0,_xlfn.IFS(M162=5,L162*15%,M162=4,L162*10%,M162=3,L162*5%,M162=2,L162*2%,TRUE,0))</f>
        <v>0</v>
      </c>
      <c r="X162" s="24">
        <f t="shared" ca="1" si="38"/>
        <v>1</v>
      </c>
      <c r="Y162" s="24">
        <f t="shared" ca="1" si="39"/>
        <v>1</v>
      </c>
    </row>
    <row r="163" spans="1:25">
      <c r="A163" s="16" t="str">
        <f t="shared" si="40"/>
        <v>EMP162</v>
      </c>
      <c r="B163" s="16" t="str" cm="1">
        <f t="array" ref="B163" ca="1">IF(D163="Male",INDEX(Lookup!$L$2:$L$13,RANDBETWEEN(1,12)),IF(D163="Female",INDEX(Lookup!$M$2:$M$13,RANDBETWEEN(1,12)),INDEX(Lookup!$N$2:$N$13,RANDBETWEEN(1,12))))</f>
        <v>Cameron</v>
      </c>
      <c r="C163" s="16" t="str" cm="1">
        <f t="array" ref="C163" ca="1">INDEX(Lookup!$K$2:$K$31,RANDBETWEEN(1,30))</f>
        <v>Martin</v>
      </c>
      <c r="D163" s="16" t="str" cm="1">
        <f t="array" ref="D163" ca="1">INDEX(Lookup!$H$2:$H$4,RANDBETWEEN(1,3))</f>
        <v>Other</v>
      </c>
      <c r="E163" s="16">
        <f t="shared" ca="1" si="28"/>
        <v>51</v>
      </c>
      <c r="F163" s="16" t="str" cm="1">
        <f t="array" ref="F163" ca="1">INDEX(Lookup!$A$2:$A$10,RANDBETWEEN(1,9))</f>
        <v>Finance</v>
      </c>
      <c r="G163" s="16" t="str" cm="1">
        <f t="array" ref="G163" ca="1">_xlfn.LET(_xlpm.Roles,_xlfn._xlws.FILTER(Lookup!$P$2:$P$28,Lookup!$O$2:$O$28=F163),INDEX(_xlpm.Roles,RANDBETWEEN(1,ROWS(_xlpm.Roles))))</f>
        <v>Payroll Officer</v>
      </c>
      <c r="H163" s="16" t="str" cm="1">
        <f t="array" ref="H163" ca="1">INDEX(Lookup!$B$2:$B$7,RANDBETWEEN(1,6))</f>
        <v>Cork</v>
      </c>
      <c r="I163" s="22">
        <f t="shared" ca="1" si="29"/>
        <v>43292</v>
      </c>
      <c r="J163" s="22" t="str">
        <f t="shared" ca="1" si="30"/>
        <v/>
      </c>
      <c r="K163" s="16" t="str">
        <f t="shared" ca="1" si="31"/>
        <v>Active</v>
      </c>
      <c r="L163" s="26">
        <f ca="1">_xlfn.XLOOKUP(G163,Lookup!$P$2:$P$28,Lookup!$Q$2:$Q$28)*(1+MIN(X163*3%,30%))</f>
        <v>49050</v>
      </c>
      <c r="M163" s="24">
        <f t="shared" ca="1" si="41"/>
        <v>3</v>
      </c>
      <c r="N163" s="24">
        <f t="shared" ca="1" si="32"/>
        <v>29</v>
      </c>
      <c r="O163" s="24">
        <f t="shared" ca="1" si="33"/>
        <v>17</v>
      </c>
      <c r="P163" s="24">
        <f t="shared" ca="1" si="34"/>
        <v>34</v>
      </c>
      <c r="Q163" s="16" t="str">
        <f t="shared" ca="1" si="35"/>
        <v>Promoted</v>
      </c>
      <c r="R163" s="16" t="str" cm="1">
        <f t="array" ref="R163" ca="1">INDEX(Lookup!$E$2:$E$6,RANDBETWEEN(1,5))</f>
        <v>High School</v>
      </c>
      <c r="S163" s="16" t="str" cm="1">
        <f t="array" ref="S163" ca="1">INDEX(Lookup!$J$2:$J$11,RANDBETWEEN(1,10))</f>
        <v>James Taylor</v>
      </c>
      <c r="T163" s="16" t="str">
        <f t="shared" ca="1" si="36"/>
        <v>cameron.martin@hranalytics.com</v>
      </c>
      <c r="U163" s="16" t="str">
        <f t="shared" ca="1" si="37"/>
        <v>0835093242</v>
      </c>
      <c r="V163" s="16" t="str" cm="1">
        <f t="array" ref="V163" ca="1">_xlfn.LET(_xlpm.r,RANDBETWEEN(1,100),_xlfn.IFS(_xlpm.r&lt;=70,"Full-Time",_xlpm.r&lt;=85,"Part-Time",_xlpm.r&lt;=95,"Contract",TRUE,"Intern"))</f>
        <v>Intern</v>
      </c>
      <c r="W163" s="16" cm="1">
        <f t="array" ref="W163" ca="1">IF(K163&lt;&gt;"Active",0,_xlfn.IFS(M163=5,L163*15%,M163=4,L163*10%,M163=3,L163*5%,M163=2,L163*2%,TRUE,0))</f>
        <v>981</v>
      </c>
      <c r="X163" s="24">
        <f t="shared" ca="1" si="38"/>
        <v>8</v>
      </c>
      <c r="Y163" s="24">
        <f t="shared" ca="1" si="39"/>
        <v>1</v>
      </c>
    </row>
    <row r="164" spans="1:25">
      <c r="A164" s="16" t="str">
        <f t="shared" si="40"/>
        <v>EMP163</v>
      </c>
      <c r="B164" s="16" t="str" cm="1">
        <f t="array" ref="B164" ca="1">IF(D164="Male",INDEX(Lookup!$L$2:$L$13,RANDBETWEEN(1,12)),IF(D164="Female",INDEX(Lookup!$M$2:$M$13,RANDBETWEEN(1,12)),INDEX(Lookup!$N$2:$N$13,RANDBETWEEN(1,12))))</f>
        <v>John</v>
      </c>
      <c r="C164" s="16" t="str" cm="1">
        <f t="array" ref="C164" ca="1">INDEX(Lookup!$K$2:$K$31,RANDBETWEEN(1,30))</f>
        <v>Collins</v>
      </c>
      <c r="D164" s="16" t="str" cm="1">
        <f t="array" ref="D164" ca="1">INDEX(Lookup!$H$2:$H$4,RANDBETWEEN(1,3))</f>
        <v>Male</v>
      </c>
      <c r="E164" s="16">
        <f t="shared" ca="1" si="28"/>
        <v>54</v>
      </c>
      <c r="F164" s="16" t="str" cm="1">
        <f t="array" ref="F164" ca="1">INDEX(Lookup!$A$2:$A$10,RANDBETWEEN(1,9))</f>
        <v>Customer Support</v>
      </c>
      <c r="G164" s="16" t="str" cm="1">
        <f t="array" ref="G164" ca="1">_xlfn.LET(_xlpm.Roles,_xlfn._xlws.FILTER(Lookup!$P$2:$P$28,Lookup!$O$2:$O$28=F164),INDEX(_xlpm.Roles,RANDBETWEEN(1,ROWS(_xlpm.Roles))))</f>
        <v>Customer Success Specialist</v>
      </c>
      <c r="H164" s="16" t="str" cm="1">
        <f t="array" ref="H164" ca="1">INDEX(Lookup!$B$2:$B$7,RANDBETWEEN(1,6))</f>
        <v>Galway</v>
      </c>
      <c r="I164" s="22">
        <f t="shared" ca="1" si="29"/>
        <v>45105</v>
      </c>
      <c r="J164" s="22" t="str">
        <f t="shared" ca="1" si="30"/>
        <v/>
      </c>
      <c r="K164" s="16" t="str">
        <f t="shared" ca="1" si="31"/>
        <v>Active</v>
      </c>
      <c r="L164" s="26">
        <f ca="1">_xlfn.XLOOKUP(G164,Lookup!$P$2:$P$28,Lookup!$Q$2:$Q$28)*(1+MIN(X164*3%,30%))</f>
        <v>52080</v>
      </c>
      <c r="M164" s="24">
        <f t="shared" ca="1" si="41"/>
        <v>1</v>
      </c>
      <c r="N164" s="24">
        <f t="shared" ca="1" si="32"/>
        <v>33</v>
      </c>
      <c r="O164" s="24">
        <f t="shared" ca="1" si="33"/>
        <v>11</v>
      </c>
      <c r="P164" s="24">
        <f t="shared" ca="1" si="34"/>
        <v>34</v>
      </c>
      <c r="Q164" s="16" t="str">
        <f t="shared" ca="1" si="35"/>
        <v>Not Promoted</v>
      </c>
      <c r="R164" s="16" t="str" cm="1">
        <f t="array" ref="R164" ca="1">INDEX(Lookup!$E$2:$E$6,RANDBETWEEN(1,5))</f>
        <v>Dipolma</v>
      </c>
      <c r="S164" s="16" t="str" cm="1">
        <f t="array" ref="S164" ca="1">INDEX(Lookup!$J$2:$J$11,RANDBETWEEN(1,10))</f>
        <v>James Taylor</v>
      </c>
      <c r="T164" s="16" t="str">
        <f t="shared" ca="1" si="36"/>
        <v>john.collins@hranalytics.com</v>
      </c>
      <c r="U164" s="16" t="str">
        <f t="shared" ca="1" si="37"/>
        <v>0831458978</v>
      </c>
      <c r="V164" s="16" t="str" cm="1">
        <f t="array" ref="V164" ca="1">_xlfn.LET(_xlpm.r,RANDBETWEEN(1,100),_xlfn.IFS(_xlpm.r&lt;=70,"Full-Time",_xlpm.r&lt;=85,"Part-Time",_xlpm.r&lt;=95,"Contract",TRUE,"Intern"))</f>
        <v>Full-Time</v>
      </c>
      <c r="W164" s="16" cm="1">
        <f t="array" ref="W164" ca="1">IF(K164&lt;&gt;"Active",0,_xlfn.IFS(M164=5,L164*15%,M164=4,L164*10%,M164=3,L164*5%,M164=2,L164*2%,TRUE,0))</f>
        <v>0</v>
      </c>
      <c r="X164" s="24">
        <f t="shared" ca="1" si="38"/>
        <v>3</v>
      </c>
      <c r="Y164" s="24">
        <f t="shared" ca="1" si="39"/>
        <v>2</v>
      </c>
    </row>
    <row r="165" spans="1:25">
      <c r="A165" s="16" t="str">
        <f t="shared" si="40"/>
        <v>EMP164</v>
      </c>
      <c r="B165" s="16" t="str" cm="1">
        <f t="array" ref="B165" ca="1">IF(D165="Male",INDEX(Lookup!$L$2:$L$13,RANDBETWEEN(1,12)),IF(D165="Female",INDEX(Lookup!$M$2:$M$13,RANDBETWEEN(1,12)),INDEX(Lookup!$N$2:$N$13,RANDBETWEEN(1,12))))</f>
        <v>Amelia</v>
      </c>
      <c r="C165" s="16" t="str" cm="1">
        <f t="array" ref="C165" ca="1">INDEX(Lookup!$K$2:$K$31,RANDBETWEEN(1,30))</f>
        <v>Allen</v>
      </c>
      <c r="D165" s="16" t="str" cm="1">
        <f t="array" ref="D165" ca="1">INDEX(Lookup!$H$2:$H$4,RANDBETWEEN(1,3))</f>
        <v>Female</v>
      </c>
      <c r="E165" s="16">
        <f t="shared" ca="1" si="28"/>
        <v>41</v>
      </c>
      <c r="F165" s="16" t="str" cm="1">
        <f t="array" ref="F165" ca="1">INDEX(Lookup!$A$2:$A$10,RANDBETWEEN(1,9))</f>
        <v>HR</v>
      </c>
      <c r="G165" s="16" t="str" cm="1">
        <f t="array" ref="G165" ca="1">_xlfn.LET(_xlpm.Roles,_xlfn._xlws.FILTER(Lookup!$P$2:$P$28,Lookup!$O$2:$O$28=F165),INDEX(_xlpm.Roles,RANDBETWEEN(1,ROWS(_xlpm.Roles))))</f>
        <v>HR Manager</v>
      </c>
      <c r="H165" s="16" t="str" cm="1">
        <f t="array" ref="H165" ca="1">INDEX(Lookup!$B$2:$B$7,RANDBETWEEN(1,6))</f>
        <v>Limerick</v>
      </c>
      <c r="I165" s="22">
        <f t="shared" ca="1" si="29"/>
        <v>43679</v>
      </c>
      <c r="J165" s="22">
        <f t="shared" ca="1" si="30"/>
        <v>44671</v>
      </c>
      <c r="K165" s="16" t="str">
        <f t="shared" ca="1" si="31"/>
        <v>Resigned</v>
      </c>
      <c r="L165" s="26">
        <f ca="1">_xlfn.XLOOKUP(G165,Lookup!$P$2:$P$28,Lookup!$Q$2:$Q$28)*(1+MIN(X165*3%,30%))</f>
        <v>76700</v>
      </c>
      <c r="M165" s="24">
        <f t="shared" ca="1" si="41"/>
        <v>1</v>
      </c>
      <c r="N165" s="24">
        <f t="shared" ca="1" si="32"/>
        <v>38</v>
      </c>
      <c r="O165" s="24">
        <f t="shared" ca="1" si="33"/>
        <v>14</v>
      </c>
      <c r="P165" s="24">
        <f t="shared" ca="1" si="34"/>
        <v>43</v>
      </c>
      <c r="Q165" s="16" t="str">
        <f t="shared" ca="1" si="35"/>
        <v>Promoted</v>
      </c>
      <c r="R165" s="16" t="str" cm="1">
        <f t="array" ref="R165" ca="1">INDEX(Lookup!$E$2:$E$6,RANDBETWEEN(1,5))</f>
        <v>PhD</v>
      </c>
      <c r="S165" s="16" t="str" cm="1">
        <f t="array" ref="S165" ca="1">INDEX(Lookup!$J$2:$J$11,RANDBETWEEN(1,10))</f>
        <v>Grace O'Connor</v>
      </c>
      <c r="T165" s="16" t="str">
        <f t="shared" ca="1" si="36"/>
        <v>amelia.allen@hranalytics.com</v>
      </c>
      <c r="U165" s="16" t="str">
        <f t="shared" ca="1" si="37"/>
        <v>0888576722</v>
      </c>
      <c r="V165" s="16" t="str" cm="1">
        <f t="array" ref="V165" ca="1">_xlfn.LET(_xlpm.r,RANDBETWEEN(1,100),_xlfn.IFS(_xlpm.r&lt;=70,"Full-Time",_xlpm.r&lt;=85,"Part-Time",_xlpm.r&lt;=95,"Contract",TRUE,"Intern"))</f>
        <v>Contract</v>
      </c>
      <c r="W165" s="16" cm="1">
        <f t="array" ref="W165" ca="1">IF(K165&lt;&gt;"Active",0,_xlfn.IFS(M165=5,L165*15%,M165=4,L165*10%,M165=3,L165*5%,M165=2,L165*2%,TRUE,0))</f>
        <v>1534</v>
      </c>
      <c r="X165" s="24">
        <f t="shared" ca="1" si="38"/>
        <v>7</v>
      </c>
      <c r="Y165" s="24">
        <f t="shared" ca="1" si="39"/>
        <v>3</v>
      </c>
    </row>
    <row r="166" spans="1:25">
      <c r="A166" s="16" t="str">
        <f t="shared" si="40"/>
        <v>EMP165</v>
      </c>
      <c r="B166" s="16" t="str" cm="1">
        <f t="array" ref="B166" ca="1">IF(D166="Male",INDEX(Lookup!$L$2:$L$13,RANDBETWEEN(1,12)),IF(D166="Female",INDEX(Lookup!$M$2:$M$13,RANDBETWEEN(1,12)),INDEX(Lookup!$N$2:$N$13,RANDBETWEEN(1,12))))</f>
        <v>Isabella</v>
      </c>
      <c r="C166" s="16" t="str" cm="1">
        <f t="array" ref="C166" ca="1">INDEX(Lookup!$K$2:$K$31,RANDBETWEEN(1,30))</f>
        <v>Wilson</v>
      </c>
      <c r="D166" s="16" t="str" cm="1">
        <f t="array" ref="D166" ca="1">INDEX(Lookup!$H$2:$H$4,RANDBETWEEN(1,3))</f>
        <v>Female</v>
      </c>
      <c r="E166" s="16">
        <f t="shared" ca="1" si="28"/>
        <v>52</v>
      </c>
      <c r="F166" s="16" t="str" cm="1">
        <f t="array" ref="F166" ca="1">INDEX(Lookup!$A$2:$A$10,RANDBETWEEN(1,9))</f>
        <v>Marketing</v>
      </c>
      <c r="G166" s="16" t="str" cm="1">
        <f t="array" ref="G166" ca="1">_xlfn.LET(_xlpm.Roles,_xlfn._xlws.FILTER(Lookup!$P$2:$P$28,Lookup!$O$2:$O$28=F166),INDEX(_xlpm.Roles,RANDBETWEEN(1,ROWS(_xlpm.Roles))))</f>
        <v>Brand Executive</v>
      </c>
      <c r="H166" s="16" t="str" cm="1">
        <f t="array" ref="H166" ca="1">INDEX(Lookup!$B$2:$B$7,RANDBETWEEN(1,6))</f>
        <v>Belfast</v>
      </c>
      <c r="I166" s="22">
        <f t="shared" ca="1" si="29"/>
        <v>44479</v>
      </c>
      <c r="J166" s="22" t="str">
        <f t="shared" ca="1" si="30"/>
        <v/>
      </c>
      <c r="K166" s="16" t="str">
        <f t="shared" ca="1" si="31"/>
        <v>Active</v>
      </c>
      <c r="L166" s="26">
        <f ca="1">_xlfn.XLOOKUP(G166,Lookup!$P$2:$P$28,Lookup!$Q$2:$Q$28)*(1+MIN(X166*3%,30%))</f>
        <v>54280</v>
      </c>
      <c r="M166" s="24">
        <f t="shared" ca="1" si="41"/>
        <v>5</v>
      </c>
      <c r="N166" s="24">
        <f t="shared" ca="1" si="32"/>
        <v>19</v>
      </c>
      <c r="O166" s="24">
        <f t="shared" ca="1" si="33"/>
        <v>19</v>
      </c>
      <c r="P166" s="24">
        <f t="shared" ca="1" si="34"/>
        <v>34</v>
      </c>
      <c r="Q166" s="16" t="str">
        <f t="shared" ca="1" si="35"/>
        <v>Promoted</v>
      </c>
      <c r="R166" s="16" t="str" cm="1">
        <f t="array" ref="R166" ca="1">INDEX(Lookup!$E$2:$E$6,RANDBETWEEN(1,5))</f>
        <v>Bachelor's</v>
      </c>
      <c r="S166" s="16" t="str" cm="1">
        <f t="array" ref="S166" ca="1">INDEX(Lookup!$J$2:$J$11,RANDBETWEEN(1,10))</f>
        <v>Liam Byrne</v>
      </c>
      <c r="T166" s="16" t="str">
        <f t="shared" ca="1" si="36"/>
        <v>isabella.wilson@hranalytics.com</v>
      </c>
      <c r="U166" s="16" t="str">
        <f t="shared" ca="1" si="37"/>
        <v>0837567245</v>
      </c>
      <c r="V166" s="16" t="str" cm="1">
        <f t="array" ref="V166" ca="1">_xlfn.LET(_xlpm.r,RANDBETWEEN(1,100),_xlfn.IFS(_xlpm.r&lt;=70,"Full-Time",_xlpm.r&lt;=85,"Part-Time",_xlpm.r&lt;=95,"Contract",TRUE,"Intern"))</f>
        <v>Full-Time</v>
      </c>
      <c r="W166" s="16" cm="1">
        <f t="array" ref="W166" ca="1">IF(K166&lt;&gt;"Active",0,_xlfn.IFS(M166=5,L166*15%,M166=4,L166*10%,M166=3,L166*5%,M166=2,L166*2%,TRUE,0))</f>
        <v>5428</v>
      </c>
      <c r="X166" s="24">
        <f t="shared" ca="1" si="38"/>
        <v>4</v>
      </c>
      <c r="Y166" s="24">
        <f t="shared" ca="1" si="39"/>
        <v>2</v>
      </c>
    </row>
    <row r="167" spans="1:25">
      <c r="A167" s="16" t="str">
        <f t="shared" si="40"/>
        <v>EMP166</v>
      </c>
      <c r="B167" s="16" t="str" cm="1">
        <f t="array" ref="B167" ca="1">IF(D167="Male",INDEX(Lookup!$L$2:$L$13,RANDBETWEEN(1,12)),IF(D167="Female",INDEX(Lookup!$M$2:$M$13,RANDBETWEEN(1,12)),INDEX(Lookup!$N$2:$N$13,RANDBETWEEN(1,12))))</f>
        <v>John</v>
      </c>
      <c r="C167" s="16" t="str" cm="1">
        <f t="array" ref="C167" ca="1">INDEX(Lookup!$K$2:$K$31,RANDBETWEEN(1,30))</f>
        <v>King</v>
      </c>
      <c r="D167" s="16" t="str" cm="1">
        <f t="array" ref="D167" ca="1">INDEX(Lookup!$H$2:$H$4,RANDBETWEEN(1,3))</f>
        <v>Male</v>
      </c>
      <c r="E167" s="16">
        <f t="shared" ca="1" si="28"/>
        <v>37</v>
      </c>
      <c r="F167" s="16" t="str" cm="1">
        <f t="array" ref="F167" ca="1">INDEX(Lookup!$A$2:$A$10,RANDBETWEEN(1,9))</f>
        <v>Customer Support</v>
      </c>
      <c r="G167" s="16" t="str" cm="1">
        <f t="array" ref="G167" ca="1">_xlfn.LET(_xlpm.Roles,_xlfn._xlws.FILTER(Lookup!$P$2:$P$28,Lookup!$O$2:$O$28=F167),INDEX(_xlpm.Roles,RANDBETWEEN(1,ROWS(_xlpm.Roles))))</f>
        <v>Customer Support Representative</v>
      </c>
      <c r="H167" s="16" t="str" cm="1">
        <f t="array" ref="H167" ca="1">INDEX(Lookup!$B$2:$B$7,RANDBETWEEN(1,6))</f>
        <v>Limerick</v>
      </c>
      <c r="I167" s="22">
        <f t="shared" ca="1" si="29"/>
        <v>45593</v>
      </c>
      <c r="J167" s="22" t="str">
        <f t="shared" ca="1" si="30"/>
        <v/>
      </c>
      <c r="K167" s="16" t="str">
        <f t="shared" ca="1" si="31"/>
        <v>Active</v>
      </c>
      <c r="L167" s="26">
        <f ca="1">_xlfn.XLOOKUP(G167,Lookup!$P$2:$P$28,Lookup!$Q$2:$Q$28)*(1+MIN(X167*3%,30%))</f>
        <v>38160</v>
      </c>
      <c r="M167" s="24">
        <f t="shared" ca="1" si="41"/>
        <v>4</v>
      </c>
      <c r="N167" s="24">
        <f t="shared" ca="1" si="32"/>
        <v>18</v>
      </c>
      <c r="O167" s="24">
        <f t="shared" ca="1" si="33"/>
        <v>3</v>
      </c>
      <c r="P167" s="24">
        <f t="shared" ca="1" si="34"/>
        <v>34</v>
      </c>
      <c r="Q167" s="16" t="str">
        <f t="shared" ca="1" si="35"/>
        <v>Promoted</v>
      </c>
      <c r="R167" s="16" t="str" cm="1">
        <f t="array" ref="R167" ca="1">INDEX(Lookup!$E$2:$E$6,RANDBETWEEN(1,5))</f>
        <v>PhD</v>
      </c>
      <c r="S167" s="16" t="str" cm="1">
        <f t="array" ref="S167" ca="1">INDEX(Lookup!$J$2:$J$11,RANDBETWEEN(1,10))</f>
        <v>Michael Brown</v>
      </c>
      <c r="T167" s="16" t="str">
        <f t="shared" ca="1" si="36"/>
        <v>john.king@hranalytics.com</v>
      </c>
      <c r="U167" s="16" t="str">
        <f t="shared" ca="1" si="37"/>
        <v>0866388315</v>
      </c>
      <c r="V167" s="16" t="str" cm="1">
        <f t="array" ref="V167" ca="1">_xlfn.LET(_xlpm.r,RANDBETWEEN(1,100),_xlfn.IFS(_xlpm.r&lt;=70,"Full-Time",_xlpm.r&lt;=85,"Part-Time",_xlpm.r&lt;=95,"Contract",TRUE,"Intern"))</f>
        <v>Full-Time</v>
      </c>
      <c r="W167" s="16" cm="1">
        <f t="array" ref="W167" ca="1">IF(K167&lt;&gt;"Active",0,_xlfn.IFS(M167=5,L167*15%,M167=4,L167*10%,M167=3,L167*5%,M167=2,L167*2%,TRUE,0))</f>
        <v>5724</v>
      </c>
      <c r="X167" s="24">
        <f t="shared" ca="1" si="38"/>
        <v>1</v>
      </c>
      <c r="Y167" s="24">
        <f t="shared" ca="1" si="39"/>
        <v>3</v>
      </c>
    </row>
    <row r="168" spans="1:25">
      <c r="A168" s="16" t="str">
        <f t="shared" si="40"/>
        <v>EMP167</v>
      </c>
      <c r="B168" s="16" t="str" cm="1">
        <f t="array" ref="B168" ca="1">IF(D168="Male",INDEX(Lookup!$L$2:$L$13,RANDBETWEEN(1,12)),IF(D168="Female",INDEX(Lookup!$M$2:$M$13,RANDBETWEEN(1,12)),INDEX(Lookup!$N$2:$N$13,RANDBETWEEN(1,12))))</f>
        <v>Emma</v>
      </c>
      <c r="C168" s="16" t="str" cm="1">
        <f t="array" ref="C168" ca="1">INDEX(Lookup!$K$2:$K$31,RANDBETWEEN(1,30))</f>
        <v>Taylor</v>
      </c>
      <c r="D168" s="16" t="str" cm="1">
        <f t="array" ref="D168" ca="1">INDEX(Lookup!$H$2:$H$4,RANDBETWEEN(1,3))</f>
        <v>Female</v>
      </c>
      <c r="E168" s="16">
        <f t="shared" ca="1" si="28"/>
        <v>40</v>
      </c>
      <c r="F168" s="16" t="str" cm="1">
        <f t="array" ref="F168" ca="1">INDEX(Lookup!$A$2:$A$10,RANDBETWEEN(1,9))</f>
        <v>Finance</v>
      </c>
      <c r="G168" s="16" t="str" cm="1">
        <f t="array" ref="G168" ca="1">_xlfn.LET(_xlpm.Roles,_xlfn._xlws.FILTER(Lookup!$P$2:$P$28,Lookup!$O$2:$O$28=F168),INDEX(_xlpm.Roles,RANDBETWEEN(1,ROWS(_xlpm.Roles))))</f>
        <v>Accountant</v>
      </c>
      <c r="H168" s="16" t="str" cm="1">
        <f t="array" ref="H168" ca="1">INDEX(Lookup!$B$2:$B$7,RANDBETWEEN(1,6))</f>
        <v>Waterford</v>
      </c>
      <c r="I168" s="22">
        <f t="shared" ca="1" si="29"/>
        <v>45538</v>
      </c>
      <c r="J168" s="22" t="str">
        <f t="shared" ca="1" si="30"/>
        <v/>
      </c>
      <c r="K168" s="16" t="str">
        <f t="shared" ca="1" si="31"/>
        <v>Active</v>
      </c>
      <c r="L168" s="26">
        <f ca="1">_xlfn.XLOOKUP(G168,Lookup!$P$2:$P$28,Lookup!$Q$2:$Q$28)*(1+MIN(X168*3%,30%))</f>
        <v>62000</v>
      </c>
      <c r="M168" s="24">
        <f t="shared" ca="1" si="41"/>
        <v>1</v>
      </c>
      <c r="N168" s="24">
        <f t="shared" ca="1" si="32"/>
        <v>0</v>
      </c>
      <c r="O168" s="24">
        <f t="shared" ca="1" si="33"/>
        <v>19</v>
      </c>
      <c r="P168" s="24">
        <f t="shared" ca="1" si="34"/>
        <v>41</v>
      </c>
      <c r="Q168" s="16" t="str">
        <f t="shared" ca="1" si="35"/>
        <v>Promoted</v>
      </c>
      <c r="R168" s="16" t="str" cm="1">
        <f t="array" ref="R168" ca="1">INDEX(Lookup!$E$2:$E$6,RANDBETWEEN(1,5))</f>
        <v>High School</v>
      </c>
      <c r="S168" s="16" t="str" cm="1">
        <f t="array" ref="S168" ca="1">INDEX(Lookup!$J$2:$J$11,RANDBETWEEN(1,10))</f>
        <v>Olivia Smith</v>
      </c>
      <c r="T168" s="16" t="str">
        <f t="shared" ca="1" si="36"/>
        <v>emma.taylor@hranalytics.com</v>
      </c>
      <c r="U168" s="16" t="str">
        <f t="shared" ca="1" si="37"/>
        <v>0854216566</v>
      </c>
      <c r="V168" s="16" t="str" cm="1">
        <f t="array" ref="V168" ca="1">_xlfn.LET(_xlpm.r,RANDBETWEEN(1,100),_xlfn.IFS(_xlpm.r&lt;=70,"Full-Time",_xlpm.r&lt;=85,"Part-Time",_xlpm.r&lt;=95,"Contract",TRUE,"Intern"))</f>
        <v>Part-Time</v>
      </c>
      <c r="W168" s="16" cm="1">
        <f t="array" ref="W168" ca="1">IF(K168&lt;&gt;"Active",0,_xlfn.IFS(M168=5,L168*15%,M168=4,L168*10%,M168=3,L168*5%,M168=2,L168*2%,TRUE,0))</f>
        <v>6200</v>
      </c>
      <c r="X168" s="24">
        <f t="shared" ca="1" si="38"/>
        <v>1</v>
      </c>
      <c r="Y168" s="24">
        <f t="shared" ca="1" si="39"/>
        <v>3</v>
      </c>
    </row>
    <row r="169" spans="1:25">
      <c r="A169" s="16" t="str">
        <f t="shared" si="40"/>
        <v>EMP168</v>
      </c>
      <c r="B169" s="16" t="str" cm="1">
        <f t="array" ref="B169" ca="1">IF(D169="Male",INDEX(Lookup!$L$2:$L$13,RANDBETWEEN(1,12)),IF(D169="Female",INDEX(Lookup!$M$2:$M$13,RANDBETWEEN(1,12)),INDEX(Lookup!$N$2:$N$13,RANDBETWEEN(1,12))))</f>
        <v>John</v>
      </c>
      <c r="C169" s="16" t="str" cm="1">
        <f t="array" ref="C169" ca="1">INDEX(Lookup!$K$2:$K$31,RANDBETWEEN(1,30))</f>
        <v>Nelson</v>
      </c>
      <c r="D169" s="16" t="str" cm="1">
        <f t="array" ref="D169" ca="1">INDEX(Lookup!$H$2:$H$4,RANDBETWEEN(1,3))</f>
        <v>Male</v>
      </c>
      <c r="E169" s="16">
        <f t="shared" ca="1" si="28"/>
        <v>55</v>
      </c>
      <c r="F169" s="16" t="str" cm="1">
        <f t="array" ref="F169" ca="1">INDEX(Lookup!$A$2:$A$10,RANDBETWEEN(1,9))</f>
        <v>Marketing</v>
      </c>
      <c r="G169" s="16" t="str" cm="1">
        <f t="array" ref="G169" ca="1">_xlfn.LET(_xlpm.Roles,_xlfn._xlws.FILTER(Lookup!$P$2:$P$28,Lookup!$O$2:$O$28=F169),INDEX(_xlpm.Roles,RANDBETWEEN(1,ROWS(_xlpm.Roles))))</f>
        <v>Brand Executive</v>
      </c>
      <c r="H169" s="16" t="str" cm="1">
        <f t="array" ref="H169" ca="1">INDEX(Lookup!$B$2:$B$7,RANDBETWEEN(1,6))</f>
        <v>Cork</v>
      </c>
      <c r="I169" s="22">
        <f t="shared" ca="1" si="29"/>
        <v>44089</v>
      </c>
      <c r="J169" s="22">
        <f t="shared" ca="1" si="30"/>
        <v>45810</v>
      </c>
      <c r="K169" s="16" t="str">
        <f t="shared" ca="1" si="31"/>
        <v>Resigned</v>
      </c>
      <c r="L169" s="26">
        <f ca="1">_xlfn.XLOOKUP(G169,Lookup!$P$2:$P$28,Lookup!$Q$2:$Q$28)*(1+MIN(X169*3%,30%))</f>
        <v>50140</v>
      </c>
      <c r="M169" s="24">
        <f t="shared" ca="1" si="41"/>
        <v>2</v>
      </c>
      <c r="N169" s="24">
        <f t="shared" ca="1" si="32"/>
        <v>67</v>
      </c>
      <c r="O169" s="24">
        <f t="shared" ca="1" si="33"/>
        <v>15</v>
      </c>
      <c r="P169" s="24">
        <f t="shared" ca="1" si="34"/>
        <v>24</v>
      </c>
      <c r="Q169" s="16" t="str">
        <f t="shared" ca="1" si="35"/>
        <v>Promoted</v>
      </c>
      <c r="R169" s="16" t="str" cm="1">
        <f t="array" ref="R169" ca="1">INDEX(Lookup!$E$2:$E$6,RANDBETWEEN(1,5))</f>
        <v>Bachelor's</v>
      </c>
      <c r="S169" s="16" t="str" cm="1">
        <f t="array" ref="S169" ca="1">INDEX(Lookup!$J$2:$J$11,RANDBETWEEN(1,10))</f>
        <v>Sophia Martin</v>
      </c>
      <c r="T169" s="16" t="str">
        <f t="shared" ca="1" si="36"/>
        <v>john.nelson@hranalytics.com</v>
      </c>
      <c r="U169" s="16" t="str">
        <f t="shared" ca="1" si="37"/>
        <v>0834912725</v>
      </c>
      <c r="V169" s="16" t="str" cm="1">
        <f t="array" ref="V169" ca="1">_xlfn.LET(_xlpm.r,RANDBETWEEN(1,100),_xlfn.IFS(_xlpm.r&lt;=70,"Full-Time",_xlpm.r&lt;=85,"Part-Time",_xlpm.r&lt;=95,"Contract",TRUE,"Intern"))</f>
        <v>Full-Time</v>
      </c>
      <c r="W169" s="16" cm="1">
        <f t="array" ref="W169" ca="1">IF(K169&lt;&gt;"Active",0,_xlfn.IFS(M169=5,L169*15%,M169=4,L169*10%,M169=3,L169*5%,M169=2,L169*2%,TRUE,0))</f>
        <v>7521</v>
      </c>
      <c r="X169" s="24">
        <f t="shared" ca="1" si="38"/>
        <v>5</v>
      </c>
      <c r="Y169" s="24">
        <f t="shared" ca="1" si="39"/>
        <v>1</v>
      </c>
    </row>
    <row r="170" spans="1:25">
      <c r="A170" s="16" t="str">
        <f t="shared" si="40"/>
        <v>EMP169</v>
      </c>
      <c r="B170" s="16" t="str" cm="1">
        <f t="array" ref="B170" ca="1">IF(D170="Male",INDEX(Lookup!$L$2:$L$13,RANDBETWEEN(1,12)),IF(D170="Female",INDEX(Lookup!$M$2:$M$13,RANDBETWEEN(1,12)),INDEX(Lookup!$N$2:$N$13,RANDBETWEEN(1,12))))</f>
        <v>Amelia</v>
      </c>
      <c r="C170" s="16" t="str" cm="1">
        <f t="array" ref="C170" ca="1">INDEX(Lookup!$K$2:$K$31,RANDBETWEEN(1,30))</f>
        <v>Collins</v>
      </c>
      <c r="D170" s="16" t="str" cm="1">
        <f t="array" ref="D170" ca="1">INDEX(Lookup!$H$2:$H$4,RANDBETWEEN(1,3))</f>
        <v>Female</v>
      </c>
      <c r="E170" s="16">
        <f t="shared" ca="1" si="28"/>
        <v>50</v>
      </c>
      <c r="F170" s="16" t="str" cm="1">
        <f t="array" ref="F170" ca="1">INDEX(Lookup!$A$2:$A$10,RANDBETWEEN(1,9))</f>
        <v>Marketing</v>
      </c>
      <c r="G170" s="16" t="str" cm="1">
        <f t="array" ref="G170" ca="1">_xlfn.LET(_xlpm.Roles,_xlfn._xlws.FILTER(Lookup!$P$2:$P$28,Lookup!$O$2:$O$28=F170),INDEX(_xlpm.Roles,RANDBETWEEN(1,ROWS(_xlpm.Roles))))</f>
        <v>Digital Marketing Specialist</v>
      </c>
      <c r="H170" s="16" t="str" cm="1">
        <f t="array" ref="H170" ca="1">INDEX(Lookup!$B$2:$B$7,RANDBETWEEN(1,6))</f>
        <v>Cork</v>
      </c>
      <c r="I170" s="22">
        <f t="shared" ca="1" si="29"/>
        <v>43175</v>
      </c>
      <c r="J170" s="22">
        <f t="shared" ca="1" si="30"/>
        <v>44831</v>
      </c>
      <c r="K170" s="16" t="str">
        <f t="shared" ca="1" si="31"/>
        <v>Resigned</v>
      </c>
      <c r="L170" s="26">
        <f ca="1">_xlfn.XLOOKUP(G170,Lookup!$P$2:$P$28,Lookup!$Q$2:$Q$28)*(1+MIN(X170*3%,30%))</f>
        <v>56000</v>
      </c>
      <c r="M170" s="24">
        <f t="shared" ca="1" si="41"/>
        <v>4</v>
      </c>
      <c r="N170" s="24">
        <f t="shared" ca="1" si="32"/>
        <v>78</v>
      </c>
      <c r="O170" s="24">
        <f t="shared" ca="1" si="33"/>
        <v>0</v>
      </c>
      <c r="P170" s="24">
        <f t="shared" ca="1" si="34"/>
        <v>38</v>
      </c>
      <c r="Q170" s="16" t="str">
        <f t="shared" ca="1" si="35"/>
        <v>Promoted</v>
      </c>
      <c r="R170" s="16" t="str" cm="1">
        <f t="array" ref="R170" ca="1">INDEX(Lookup!$E$2:$E$6,RANDBETWEEN(1,5))</f>
        <v>Master's</v>
      </c>
      <c r="S170" s="16" t="str" cm="1">
        <f t="array" ref="S170" ca="1">INDEX(Lookup!$J$2:$J$11,RANDBETWEEN(1,10))</f>
        <v>Daniel Kelly</v>
      </c>
      <c r="T170" s="16" t="str">
        <f t="shared" ca="1" si="36"/>
        <v>amelia.collins@hranalytics.com</v>
      </c>
      <c r="U170" s="16" t="str">
        <f t="shared" ca="1" si="37"/>
        <v>0882461116</v>
      </c>
      <c r="V170" s="16" t="str" cm="1">
        <f t="array" ref="V170" ca="1">_xlfn.LET(_xlpm.r,RANDBETWEEN(1,100),_xlfn.IFS(_xlpm.r&lt;=70,"Full-Time",_xlpm.r&lt;=85,"Part-Time",_xlpm.r&lt;=95,"Contract",TRUE,"Intern"))</f>
        <v>Full-Time</v>
      </c>
      <c r="W170" s="16" cm="1">
        <f t="array" ref="W170" ca="1">IF(K170&lt;&gt;"Active",0,_xlfn.IFS(M170=5,L170*15%,M170=4,L170*10%,M170=3,L170*5%,M170=2,L170*2%,TRUE,0))</f>
        <v>5600</v>
      </c>
      <c r="X170" s="24">
        <f t="shared" ca="1" si="38"/>
        <v>8</v>
      </c>
      <c r="Y170" s="24">
        <f t="shared" ca="1" si="39"/>
        <v>3</v>
      </c>
    </row>
    <row r="171" spans="1:25">
      <c r="A171" s="16" t="str">
        <f t="shared" si="40"/>
        <v>EMP170</v>
      </c>
      <c r="B171" s="16" t="str" cm="1">
        <f t="array" ref="B171" ca="1">IF(D171="Male",INDEX(Lookup!$L$2:$L$13,RANDBETWEEN(1,12)),IF(D171="Female",INDEX(Lookup!$M$2:$M$13,RANDBETWEEN(1,12)),INDEX(Lookup!$N$2:$N$13,RANDBETWEEN(1,12))))</f>
        <v>Skyler</v>
      </c>
      <c r="C171" s="16" t="str" cm="1">
        <f t="array" ref="C171" ca="1">INDEX(Lookup!$K$2:$K$31,RANDBETWEEN(1,30))</f>
        <v>Hill</v>
      </c>
      <c r="D171" s="16" t="str" cm="1">
        <f t="array" ref="D171" ca="1">INDEX(Lookup!$H$2:$H$4,RANDBETWEEN(1,3))</f>
        <v>Other</v>
      </c>
      <c r="E171" s="16">
        <f t="shared" ca="1" si="28"/>
        <v>46</v>
      </c>
      <c r="F171" s="16" t="str" cm="1">
        <f t="array" ref="F171" ca="1">INDEX(Lookup!$A$2:$A$10,RANDBETWEEN(1,9))</f>
        <v>Operations</v>
      </c>
      <c r="G171" s="16" t="str" cm="1">
        <f t="array" ref="G171" ca="1">_xlfn.LET(_xlpm.Roles,_xlfn._xlws.FILTER(Lookup!$P$2:$P$28,Lookup!$O$2:$O$28=F171),INDEX(_xlpm.Roles,RANDBETWEEN(1,ROWS(_xlpm.Roles))))</f>
        <v>Operations Manager</v>
      </c>
      <c r="H171" s="16" t="str" cm="1">
        <f t="array" ref="H171" ca="1">INDEX(Lookup!$B$2:$B$7,RANDBETWEEN(1,6))</f>
        <v>Dublin</v>
      </c>
      <c r="I171" s="22">
        <f t="shared" ca="1" si="29"/>
        <v>44193</v>
      </c>
      <c r="J171" s="22" t="str">
        <f t="shared" ca="1" si="30"/>
        <v/>
      </c>
      <c r="K171" s="16" t="str">
        <f t="shared" ca="1" si="31"/>
        <v>Active</v>
      </c>
      <c r="L171" s="26">
        <f ca="1">_xlfn.XLOOKUP(G171,Lookup!$P$2:$P$28,Lookup!$Q$2:$Q$28)*(1+MIN(X171*3%,30%))</f>
        <v>76880</v>
      </c>
      <c r="M171" s="24">
        <f t="shared" ca="1" si="41"/>
        <v>5</v>
      </c>
      <c r="N171" s="24">
        <f t="shared" ca="1" si="32"/>
        <v>42</v>
      </c>
      <c r="O171" s="24">
        <f t="shared" ca="1" si="33"/>
        <v>10</v>
      </c>
      <c r="P171" s="24">
        <f t="shared" ca="1" si="34"/>
        <v>20</v>
      </c>
      <c r="Q171" s="16" t="str">
        <f t="shared" ca="1" si="35"/>
        <v>Promoted</v>
      </c>
      <c r="R171" s="16" t="str" cm="1">
        <f t="array" ref="R171" ca="1">INDEX(Lookup!$E$2:$E$6,RANDBETWEEN(1,5))</f>
        <v>Dipolma</v>
      </c>
      <c r="S171" s="16" t="str" cm="1">
        <f t="array" ref="S171" ca="1">INDEX(Lookup!$J$2:$J$11,RANDBETWEEN(1,10))</f>
        <v>David Murphy</v>
      </c>
      <c r="T171" s="16" t="str">
        <f t="shared" ca="1" si="36"/>
        <v>skyler.hill@hranalytics.com</v>
      </c>
      <c r="U171" s="16" t="str">
        <f t="shared" ca="1" si="37"/>
        <v>0883644306</v>
      </c>
      <c r="V171" s="16" t="str" cm="1">
        <f t="array" ref="V171" ca="1">_xlfn.LET(_xlpm.r,RANDBETWEEN(1,100),_xlfn.IFS(_xlpm.r&lt;=70,"Full-Time",_xlpm.r&lt;=85,"Part-Time",_xlpm.r&lt;=95,"Contract",TRUE,"Intern"))</f>
        <v>Full-Time</v>
      </c>
      <c r="W171" s="16" cm="1">
        <f t="array" ref="W171" ca="1">IF(K171&lt;&gt;"Active",0,_xlfn.IFS(M171=5,L171*15%,M171=4,L171*10%,M171=3,L171*5%,M171=2,L171*2%,TRUE,0))</f>
        <v>7688</v>
      </c>
      <c r="X171" s="24">
        <f t="shared" ca="1" si="38"/>
        <v>5</v>
      </c>
      <c r="Y171" s="24">
        <f t="shared" ca="1" si="39"/>
        <v>3</v>
      </c>
    </row>
    <row r="172" spans="1:25">
      <c r="A172" s="16" t="str">
        <f t="shared" si="40"/>
        <v>EMP171</v>
      </c>
      <c r="B172" s="16" t="str" cm="1">
        <f t="array" ref="B172" ca="1">IF(D172="Male",INDEX(Lookup!$L$2:$L$13,RANDBETWEEN(1,12)),IF(D172="Female",INDEX(Lookup!$M$2:$M$13,RANDBETWEEN(1,12)),INDEX(Lookup!$N$2:$N$13,RANDBETWEEN(1,12))))</f>
        <v>John</v>
      </c>
      <c r="C172" s="16" t="str" cm="1">
        <f t="array" ref="C172" ca="1">INDEX(Lookup!$K$2:$K$31,RANDBETWEEN(1,30))</f>
        <v>Johnson</v>
      </c>
      <c r="D172" s="16" t="str" cm="1">
        <f t="array" ref="D172" ca="1">INDEX(Lookup!$H$2:$H$4,RANDBETWEEN(1,3))</f>
        <v>Male</v>
      </c>
      <c r="E172" s="16">
        <f t="shared" ca="1" si="28"/>
        <v>50</v>
      </c>
      <c r="F172" s="16" t="str" cm="1">
        <f t="array" ref="F172" ca="1">INDEX(Lookup!$A$2:$A$10,RANDBETWEEN(1,9))</f>
        <v>HR</v>
      </c>
      <c r="G172" s="16" t="str" cm="1">
        <f t="array" ref="G172" ca="1">_xlfn.LET(_xlpm.Roles,_xlfn._xlws.FILTER(Lookup!$P$2:$P$28,Lookup!$O$2:$O$28=F172),INDEX(_xlpm.Roles,RANDBETWEEN(1,ROWS(_xlpm.Roles))))</f>
        <v>HR Assistant</v>
      </c>
      <c r="H172" s="16" t="str" cm="1">
        <f t="array" ref="H172" ca="1">INDEX(Lookup!$B$2:$B$7,RANDBETWEEN(1,6))</f>
        <v>Cork</v>
      </c>
      <c r="I172" s="22">
        <f t="shared" ca="1" si="29"/>
        <v>43359</v>
      </c>
      <c r="J172" s="22" t="str">
        <f t="shared" ca="1" si="30"/>
        <v/>
      </c>
      <c r="K172" s="16" t="str">
        <f t="shared" ca="1" si="31"/>
        <v>Active</v>
      </c>
      <c r="L172" s="26">
        <f ca="1">_xlfn.XLOOKUP(G172,Lookup!$P$2:$P$28,Lookup!$Q$2:$Q$28)*(1+MIN(X172*3%,30%))</f>
        <v>38080</v>
      </c>
      <c r="M172" s="24">
        <f t="shared" ca="1" si="41"/>
        <v>4</v>
      </c>
      <c r="N172" s="24">
        <f t="shared" ca="1" si="32"/>
        <v>32</v>
      </c>
      <c r="O172" s="24">
        <f t="shared" ca="1" si="33"/>
        <v>8</v>
      </c>
      <c r="P172" s="24">
        <f t="shared" ca="1" si="34"/>
        <v>28</v>
      </c>
      <c r="Q172" s="16" t="str">
        <f t="shared" ca="1" si="35"/>
        <v>Promoted</v>
      </c>
      <c r="R172" s="16" t="str" cm="1">
        <f t="array" ref="R172" ca="1">INDEX(Lookup!$E$2:$E$6,RANDBETWEEN(1,5))</f>
        <v>Master's</v>
      </c>
      <c r="S172" s="16" t="str" cm="1">
        <f t="array" ref="S172" ca="1">INDEX(Lookup!$J$2:$J$11,RANDBETWEEN(1,10))</f>
        <v>David Murphy</v>
      </c>
      <c r="T172" s="16" t="str">
        <f t="shared" ca="1" si="36"/>
        <v>john.johnson@hranalytics.com</v>
      </c>
      <c r="U172" s="16" t="str">
        <f t="shared" ca="1" si="37"/>
        <v>0835179752</v>
      </c>
      <c r="V172" s="16" t="str" cm="1">
        <f t="array" ref="V172" ca="1">_xlfn.LET(_xlpm.r,RANDBETWEEN(1,100),_xlfn.IFS(_xlpm.r&lt;=70,"Full-Time",_xlpm.r&lt;=85,"Part-Time",_xlpm.r&lt;=95,"Contract",TRUE,"Intern"))</f>
        <v>Full-Time</v>
      </c>
      <c r="W172" s="16" cm="1">
        <f t="array" ref="W172" ca="1">IF(K172&lt;&gt;"Active",0,_xlfn.IFS(M172=5,L172*15%,M172=4,L172*10%,M172=3,L172*5%,M172=2,L172*2%,TRUE,0))</f>
        <v>761.6</v>
      </c>
      <c r="X172" s="24">
        <f t="shared" ca="1" si="38"/>
        <v>7</v>
      </c>
      <c r="Y172" s="24">
        <f t="shared" ca="1" si="39"/>
        <v>3</v>
      </c>
    </row>
    <row r="173" spans="1:25">
      <c r="A173" s="16" t="str">
        <f t="shared" si="40"/>
        <v>EMP172</v>
      </c>
      <c r="B173" s="16" t="str" cm="1">
        <f t="array" ref="B173" ca="1">IF(D173="Male",INDEX(Lookup!$L$2:$L$13,RANDBETWEEN(1,12)),IF(D173="Female",INDEX(Lookup!$M$2:$M$13,RANDBETWEEN(1,12)),INDEX(Lookup!$N$2:$N$13,RANDBETWEEN(1,12))))</f>
        <v>Grace</v>
      </c>
      <c r="C173" s="16" t="str" cm="1">
        <f t="array" ref="C173" ca="1">INDEX(Lookup!$K$2:$K$31,RANDBETWEEN(1,30))</f>
        <v>Nelson</v>
      </c>
      <c r="D173" s="16" t="str" cm="1">
        <f t="array" ref="D173" ca="1">INDEX(Lookup!$H$2:$H$4,RANDBETWEEN(1,3))</f>
        <v>Female</v>
      </c>
      <c r="E173" s="16">
        <f t="shared" ca="1" si="28"/>
        <v>36</v>
      </c>
      <c r="F173" s="16" t="str" cm="1">
        <f t="array" ref="F173" ca="1">INDEX(Lookup!$A$2:$A$10,RANDBETWEEN(1,9))</f>
        <v>Finance</v>
      </c>
      <c r="G173" s="16" t="str" cm="1">
        <f t="array" ref="G173" ca="1">_xlfn.LET(_xlpm.Roles,_xlfn._xlws.FILTER(Lookup!$P$2:$P$28,Lookup!$O$2:$O$28=F173),INDEX(_xlpm.Roles,RANDBETWEEN(1,ROWS(_xlpm.Roles))))</f>
        <v>Payroll Officer</v>
      </c>
      <c r="H173" s="16" t="str" cm="1">
        <f t="array" ref="H173" ca="1">INDEX(Lookup!$B$2:$B$7,RANDBETWEEN(1,6))</f>
        <v>Cork</v>
      </c>
      <c r="I173" s="22">
        <f t="shared" ca="1" si="29"/>
        <v>44260</v>
      </c>
      <c r="J173" s="22" t="str">
        <f t="shared" ca="1" si="30"/>
        <v/>
      </c>
      <c r="K173" s="16" t="str">
        <f t="shared" ca="1" si="31"/>
        <v>Active</v>
      </c>
      <c r="L173" s="26">
        <f ca="1">_xlfn.XLOOKUP(G173,Lookup!$P$2:$P$28,Lookup!$Q$2:$Q$28)*(1+MIN(X173*3%,30%))</f>
        <v>53100</v>
      </c>
      <c r="M173" s="24">
        <f t="shared" ca="1" si="41"/>
        <v>5</v>
      </c>
      <c r="N173" s="24">
        <f t="shared" ca="1" si="32"/>
        <v>57</v>
      </c>
      <c r="O173" s="24">
        <f t="shared" ca="1" si="33"/>
        <v>8</v>
      </c>
      <c r="P173" s="24">
        <f t="shared" ca="1" si="34"/>
        <v>12</v>
      </c>
      <c r="Q173" s="16" t="str">
        <f t="shared" ca="1" si="35"/>
        <v>Promoted</v>
      </c>
      <c r="R173" s="16" t="str" cm="1">
        <f t="array" ref="R173" ca="1">INDEX(Lookup!$E$2:$E$6,RANDBETWEEN(1,5))</f>
        <v>High School</v>
      </c>
      <c r="S173" s="16" t="str" cm="1">
        <f t="array" ref="S173" ca="1">INDEX(Lookup!$J$2:$J$11,RANDBETWEEN(1,10))</f>
        <v>James Taylor</v>
      </c>
      <c r="T173" s="16" t="str">
        <f t="shared" ca="1" si="36"/>
        <v>grace.nelson@hranalytics.com</v>
      </c>
      <c r="U173" s="16" t="str">
        <f t="shared" ca="1" si="37"/>
        <v>0856207683</v>
      </c>
      <c r="V173" s="16" t="str" cm="1">
        <f t="array" ref="V173" ca="1">_xlfn.LET(_xlpm.r,RANDBETWEEN(1,100),_xlfn.IFS(_xlpm.r&lt;=70,"Full-Time",_xlpm.r&lt;=85,"Part-Time",_xlpm.r&lt;=95,"Contract",TRUE,"Intern"))</f>
        <v>Full-Time</v>
      </c>
      <c r="W173" s="16" cm="1">
        <f t="array" ref="W173" ca="1">IF(K173&lt;&gt;"Active",0,_xlfn.IFS(M173=5,L173*15%,M173=4,L173*10%,M173=3,L173*5%,M173=2,L173*2%,TRUE,0))</f>
        <v>0</v>
      </c>
      <c r="X173" s="24">
        <f t="shared" ca="1" si="38"/>
        <v>5</v>
      </c>
      <c r="Y173" s="24">
        <f t="shared" ca="1" si="39"/>
        <v>2</v>
      </c>
    </row>
    <row r="174" spans="1:25">
      <c r="A174" s="16" t="str">
        <f t="shared" si="40"/>
        <v>EMP173</v>
      </c>
      <c r="B174" s="16" t="str" cm="1">
        <f t="array" ref="B174" ca="1">IF(D174="Male",INDEX(Lookup!$L$2:$L$13,RANDBETWEEN(1,12)),IF(D174="Female",INDEX(Lookup!$M$2:$M$13,RANDBETWEEN(1,12)),INDEX(Lookup!$N$2:$N$13,RANDBETWEEN(1,12))))</f>
        <v>Morgan</v>
      </c>
      <c r="C174" s="16" t="str" cm="1">
        <f t="array" ref="C174" ca="1">INDEX(Lookup!$K$2:$K$31,RANDBETWEEN(1,30))</f>
        <v>Allen</v>
      </c>
      <c r="D174" s="16" t="str" cm="1">
        <f t="array" ref="D174" ca="1">INDEX(Lookup!$H$2:$H$4,RANDBETWEEN(1,3))</f>
        <v>Other</v>
      </c>
      <c r="E174" s="16">
        <f t="shared" ca="1" si="28"/>
        <v>59</v>
      </c>
      <c r="F174" s="16" t="str" cm="1">
        <f t="array" ref="F174" ca="1">INDEX(Lookup!$A$2:$A$10,RANDBETWEEN(1,9))</f>
        <v>Sales</v>
      </c>
      <c r="G174" s="16" t="str" cm="1">
        <f t="array" ref="G174" ca="1">_xlfn.LET(_xlpm.Roles,_xlfn._xlws.FILTER(Lookup!$P$2:$P$28,Lookup!$O$2:$O$28=F174),INDEX(_xlpm.Roles,RANDBETWEEN(1,ROWS(_xlpm.Roles))))</f>
        <v>Account Manager</v>
      </c>
      <c r="H174" s="16" t="str" cm="1">
        <f t="array" ref="H174" ca="1">INDEX(Lookup!$B$2:$B$7,RANDBETWEEN(1,6))</f>
        <v>Dublin</v>
      </c>
      <c r="I174" s="22">
        <f t="shared" ca="1" si="29"/>
        <v>43295</v>
      </c>
      <c r="J174" s="22" t="str">
        <f t="shared" ca="1" si="30"/>
        <v/>
      </c>
      <c r="K174" s="16" t="str">
        <f t="shared" ca="1" si="31"/>
        <v>Active</v>
      </c>
      <c r="L174" s="26">
        <f ca="1">_xlfn.XLOOKUP(G174,Lookup!$P$2:$P$28,Lookup!$Q$2:$Q$28)*(1+MIN(X174*3%,30%))</f>
        <v>63250</v>
      </c>
      <c r="M174" s="24">
        <f t="shared" ca="1" si="41"/>
        <v>3</v>
      </c>
      <c r="N174" s="24">
        <f t="shared" ca="1" si="32"/>
        <v>66</v>
      </c>
      <c r="O174" s="24">
        <f t="shared" ca="1" si="33"/>
        <v>11</v>
      </c>
      <c r="P174" s="24">
        <f t="shared" ca="1" si="34"/>
        <v>22</v>
      </c>
      <c r="Q174" s="16" t="str">
        <f t="shared" ca="1" si="35"/>
        <v>Promoted</v>
      </c>
      <c r="R174" s="16" t="str" cm="1">
        <f t="array" ref="R174" ca="1">INDEX(Lookup!$E$2:$E$6,RANDBETWEEN(1,5))</f>
        <v>Master's</v>
      </c>
      <c r="S174" s="16" t="str" cm="1">
        <f t="array" ref="S174" ca="1">INDEX(Lookup!$J$2:$J$11,RANDBETWEEN(1,10))</f>
        <v>Michael Brown</v>
      </c>
      <c r="T174" s="16" t="str">
        <f t="shared" ca="1" si="36"/>
        <v>morgan.allen@hranalytics.com</v>
      </c>
      <c r="U174" s="16" t="str">
        <f t="shared" ca="1" si="37"/>
        <v>0887960842</v>
      </c>
      <c r="V174" s="16" t="str" cm="1">
        <f t="array" ref="V174" ca="1">_xlfn.LET(_xlpm.r,RANDBETWEEN(1,100),_xlfn.IFS(_xlpm.r&lt;=70,"Full-Time",_xlpm.r&lt;=85,"Part-Time",_xlpm.r&lt;=95,"Contract",TRUE,"Intern"))</f>
        <v>Contract</v>
      </c>
      <c r="W174" s="16" cm="1">
        <f t="array" ref="W174" ca="1">IF(K174&lt;&gt;"Active",0,_xlfn.IFS(M174=5,L174*15%,M174=4,L174*10%,M174=3,L174*5%,M174=2,L174*2%,TRUE,0))</f>
        <v>1265</v>
      </c>
      <c r="X174" s="24">
        <f t="shared" ca="1" si="38"/>
        <v>8</v>
      </c>
      <c r="Y174" s="24">
        <f t="shared" ca="1" si="39"/>
        <v>2</v>
      </c>
    </row>
    <row r="175" spans="1:25">
      <c r="A175" s="16" t="str">
        <f t="shared" si="40"/>
        <v>EMP174</v>
      </c>
      <c r="B175" s="16" t="str" cm="1">
        <f t="array" ref="B175" ca="1">IF(D175="Male",INDEX(Lookup!$L$2:$L$13,RANDBETWEEN(1,12)),IF(D175="Female",INDEX(Lookup!$M$2:$M$13,RANDBETWEEN(1,12)),INDEX(Lookup!$N$2:$N$13,RANDBETWEEN(1,12))))</f>
        <v>Leo</v>
      </c>
      <c r="C175" s="16" t="str" cm="1">
        <f t="array" ref="C175" ca="1">INDEX(Lookup!$K$2:$K$31,RANDBETWEEN(1,30))</f>
        <v>Scott</v>
      </c>
      <c r="D175" s="16" t="str" cm="1">
        <f t="array" ref="D175" ca="1">INDEX(Lookup!$H$2:$H$4,RANDBETWEEN(1,3))</f>
        <v>Male</v>
      </c>
      <c r="E175" s="16">
        <f t="shared" ca="1" si="28"/>
        <v>27</v>
      </c>
      <c r="F175" s="16" t="str" cm="1">
        <f t="array" ref="F175" ca="1">INDEX(Lookup!$A$2:$A$10,RANDBETWEEN(1,9))</f>
        <v>Marketing</v>
      </c>
      <c r="G175" s="16" t="str" cm="1">
        <f t="array" ref="G175" ca="1">_xlfn.LET(_xlpm.Roles,_xlfn._xlws.FILTER(Lookup!$P$2:$P$28,Lookup!$O$2:$O$28=F175),INDEX(_xlpm.Roles,RANDBETWEEN(1,ROWS(_xlpm.Roles))))</f>
        <v>Marketing Executive</v>
      </c>
      <c r="H175" s="16" t="str" cm="1">
        <f t="array" ref="H175" ca="1">INDEX(Lookup!$B$2:$B$7,RANDBETWEEN(1,6))</f>
        <v>Limerick</v>
      </c>
      <c r="I175" s="22">
        <f t="shared" ca="1" si="29"/>
        <v>45216</v>
      </c>
      <c r="J175" s="22" t="str">
        <f t="shared" ca="1" si="30"/>
        <v/>
      </c>
      <c r="K175" s="16" t="str">
        <f t="shared" ca="1" si="31"/>
        <v>Active</v>
      </c>
      <c r="L175" s="26">
        <f ca="1">_xlfn.XLOOKUP(G175,Lookup!$P$2:$P$28,Lookup!$Q$2:$Q$28)*(1+MIN(X175*3%,30%))</f>
        <v>43260</v>
      </c>
      <c r="M175" s="24">
        <f t="shared" ca="1" si="41"/>
        <v>2</v>
      </c>
      <c r="N175" s="24">
        <f t="shared" ca="1" si="32"/>
        <v>6</v>
      </c>
      <c r="O175" s="24">
        <f t="shared" ca="1" si="33"/>
        <v>19</v>
      </c>
      <c r="P175" s="24">
        <f t="shared" ca="1" si="34"/>
        <v>31</v>
      </c>
      <c r="Q175" s="16" t="str">
        <f t="shared" ca="1" si="35"/>
        <v>Not Promoted</v>
      </c>
      <c r="R175" s="16" t="str" cm="1">
        <f t="array" ref="R175" ca="1">INDEX(Lookup!$E$2:$E$6,RANDBETWEEN(1,5))</f>
        <v>High School</v>
      </c>
      <c r="S175" s="16" t="str" cm="1">
        <f t="array" ref="S175" ca="1">INDEX(Lookup!$J$2:$J$11,RANDBETWEEN(1,10))</f>
        <v>Liam Byrne</v>
      </c>
      <c r="T175" s="16" t="str">
        <f t="shared" ca="1" si="36"/>
        <v>leo.scott@hranalytics.com</v>
      </c>
      <c r="U175" s="16" t="str">
        <f t="shared" ca="1" si="37"/>
        <v>0871891788</v>
      </c>
      <c r="V175" s="16" t="str" cm="1">
        <f t="array" ref="V175" ca="1">_xlfn.LET(_xlpm.r,RANDBETWEEN(1,100),_xlfn.IFS(_xlpm.r&lt;=70,"Full-Time",_xlpm.r&lt;=85,"Part-Time",_xlpm.r&lt;=95,"Contract",TRUE,"Intern"))</f>
        <v>Full-Time</v>
      </c>
      <c r="W175" s="16" cm="1">
        <f t="array" ref="W175" ca="1">IF(K175&lt;&gt;"Active",0,_xlfn.IFS(M175=5,L175*15%,M175=4,L175*10%,M175=3,L175*5%,M175=2,L175*2%,TRUE,0))</f>
        <v>2163</v>
      </c>
      <c r="X175" s="24">
        <f t="shared" ca="1" si="38"/>
        <v>2</v>
      </c>
      <c r="Y175" s="24">
        <f t="shared" ca="1" si="39"/>
        <v>2</v>
      </c>
    </row>
    <row r="176" spans="1:25">
      <c r="A176" s="16" t="str">
        <f t="shared" si="40"/>
        <v>EMP175</v>
      </c>
      <c r="B176" s="16" t="str" cm="1">
        <f t="array" ref="B176" ca="1">IF(D176="Male",INDEX(Lookup!$L$2:$L$13,RANDBETWEEN(1,12)),IF(D176="Female",INDEX(Lookup!$M$2:$M$13,RANDBETWEEN(1,12)),INDEX(Lookup!$N$2:$N$13,RANDBETWEEN(1,12))))</f>
        <v>Michael</v>
      </c>
      <c r="C176" s="16" t="str" cm="1">
        <f t="array" ref="C176" ca="1">INDEX(Lookup!$K$2:$K$31,RANDBETWEEN(1,30))</f>
        <v>Scott</v>
      </c>
      <c r="D176" s="16" t="str" cm="1">
        <f t="array" ref="D176" ca="1">INDEX(Lookup!$H$2:$H$4,RANDBETWEEN(1,3))</f>
        <v>Male</v>
      </c>
      <c r="E176" s="16">
        <f t="shared" ca="1" si="28"/>
        <v>59</v>
      </c>
      <c r="F176" s="16" t="str" cm="1">
        <f t="array" ref="F176" ca="1">INDEX(Lookup!$A$2:$A$10,RANDBETWEEN(1,9))</f>
        <v>Finance</v>
      </c>
      <c r="G176" s="16" t="str" cm="1">
        <f t="array" ref="G176" ca="1">_xlfn.LET(_xlpm.Roles,_xlfn._xlws.FILTER(Lookup!$P$2:$P$28,Lookup!$O$2:$O$28=F176),INDEX(_xlpm.Roles,RANDBETWEEN(1,ROWS(_xlpm.Roles))))</f>
        <v>Financial Analyst</v>
      </c>
      <c r="H176" s="16" t="str" cm="1">
        <f t="array" ref="H176" ca="1">INDEX(Lookup!$B$2:$B$7,RANDBETWEEN(1,6))</f>
        <v>Dublin</v>
      </c>
      <c r="I176" s="22">
        <f t="shared" ca="1" si="29"/>
        <v>43680</v>
      </c>
      <c r="J176" s="22" t="str">
        <f t="shared" ca="1" si="30"/>
        <v/>
      </c>
      <c r="K176" s="16" t="str">
        <f t="shared" ca="1" si="31"/>
        <v>Active</v>
      </c>
      <c r="L176" s="26">
        <f ca="1">_xlfn.XLOOKUP(G176,Lookup!$P$2:$P$28,Lookup!$Q$2:$Q$28)*(1+MIN(X176*3%,30%))</f>
        <v>71920</v>
      </c>
      <c r="M176" s="24">
        <f t="shared" ca="1" si="41"/>
        <v>4</v>
      </c>
      <c r="N176" s="24">
        <f t="shared" ca="1" si="32"/>
        <v>16</v>
      </c>
      <c r="O176" s="24">
        <f t="shared" ca="1" si="33"/>
        <v>8</v>
      </c>
      <c r="P176" s="24">
        <f t="shared" ca="1" si="34"/>
        <v>17</v>
      </c>
      <c r="Q176" s="16" t="str">
        <f t="shared" ca="1" si="35"/>
        <v>Promoted</v>
      </c>
      <c r="R176" s="16" t="str" cm="1">
        <f t="array" ref="R176" ca="1">INDEX(Lookup!$E$2:$E$6,RANDBETWEEN(1,5))</f>
        <v>High School</v>
      </c>
      <c r="S176" s="16" t="str" cm="1">
        <f t="array" ref="S176" ca="1">INDEX(Lookup!$J$2:$J$11,RANDBETWEEN(1,10))</f>
        <v>Michael Brown</v>
      </c>
      <c r="T176" s="16" t="str">
        <f t="shared" ca="1" si="36"/>
        <v>michael.scott@hranalytics.com</v>
      </c>
      <c r="U176" s="16" t="str">
        <f t="shared" ca="1" si="37"/>
        <v>0853756346</v>
      </c>
      <c r="V176" s="16" t="str" cm="1">
        <f t="array" ref="V176" ca="1">_xlfn.LET(_xlpm.r,RANDBETWEEN(1,100),_xlfn.IFS(_xlpm.r&lt;=70,"Full-Time",_xlpm.r&lt;=85,"Part-Time",_xlpm.r&lt;=95,"Contract",TRUE,"Intern"))</f>
        <v>Full-Time</v>
      </c>
      <c r="W176" s="16" cm="1">
        <f t="array" ref="W176" ca="1">IF(K176&lt;&gt;"Active",0,_xlfn.IFS(M176=5,L176*15%,M176=4,L176*10%,M176=3,L176*5%,M176=2,L176*2%,TRUE,0))</f>
        <v>1438.4</v>
      </c>
      <c r="X176" s="24">
        <f t="shared" ca="1" si="38"/>
        <v>7</v>
      </c>
      <c r="Y176" s="24">
        <f t="shared" ca="1" si="39"/>
        <v>3</v>
      </c>
    </row>
    <row r="177" spans="1:25">
      <c r="A177" s="16" t="str">
        <f t="shared" si="40"/>
        <v>EMP176</v>
      </c>
      <c r="B177" s="16" t="str" cm="1">
        <f t="array" ref="B177" ca="1">IF(D177="Male",INDEX(Lookup!$L$2:$L$13,RANDBETWEEN(1,12)),IF(D177="Female",INDEX(Lookup!$M$2:$M$13,RANDBETWEEN(1,12)),INDEX(Lookup!$N$2:$N$13,RANDBETWEEN(1,12))))</f>
        <v>Mia</v>
      </c>
      <c r="C177" s="16" t="str" cm="1">
        <f t="array" ref="C177" ca="1">INDEX(Lookup!$K$2:$K$31,RANDBETWEEN(1,30))</f>
        <v>Murphy</v>
      </c>
      <c r="D177" s="16" t="str" cm="1">
        <f t="array" ref="D177" ca="1">INDEX(Lookup!$H$2:$H$4,RANDBETWEEN(1,3))</f>
        <v>Female</v>
      </c>
      <c r="E177" s="16">
        <f t="shared" ca="1" si="28"/>
        <v>34</v>
      </c>
      <c r="F177" s="16" t="str" cm="1">
        <f t="array" ref="F177" ca="1">INDEX(Lookup!$A$2:$A$10,RANDBETWEEN(1,9))</f>
        <v>Operations</v>
      </c>
      <c r="G177" s="16" t="str" cm="1">
        <f t="array" ref="G177" ca="1">_xlfn.LET(_xlpm.Roles,_xlfn._xlws.FILTER(Lookup!$P$2:$P$28,Lookup!$O$2:$O$28=F177),INDEX(_xlpm.Roles,RANDBETWEEN(1,ROWS(_xlpm.Roles))))</f>
        <v>Operations Manager</v>
      </c>
      <c r="H177" s="16" t="str" cm="1">
        <f t="array" ref="H177" ca="1">INDEX(Lookup!$B$2:$B$7,RANDBETWEEN(1,6))</f>
        <v>Belfast</v>
      </c>
      <c r="I177" s="22">
        <f t="shared" ca="1" si="29"/>
        <v>44660</v>
      </c>
      <c r="J177" s="22" t="str">
        <f t="shared" ca="1" si="30"/>
        <v/>
      </c>
      <c r="K177" s="16" t="str">
        <f t="shared" ca="1" si="31"/>
        <v>Active</v>
      </c>
      <c r="L177" s="26">
        <f ca="1">_xlfn.XLOOKUP(G177,Lookup!$P$2:$P$28,Lookup!$Q$2:$Q$28)*(1+MIN(X177*3%,30%))</f>
        <v>69440</v>
      </c>
      <c r="M177" s="24">
        <f t="shared" ca="1" si="41"/>
        <v>1</v>
      </c>
      <c r="N177" s="24">
        <f t="shared" ca="1" si="32"/>
        <v>1</v>
      </c>
      <c r="O177" s="24">
        <f t="shared" ca="1" si="33"/>
        <v>12</v>
      </c>
      <c r="P177" s="24">
        <f t="shared" ca="1" si="34"/>
        <v>57</v>
      </c>
      <c r="Q177" s="16" t="str">
        <f t="shared" ca="1" si="35"/>
        <v>Promoted</v>
      </c>
      <c r="R177" s="16" t="str" cm="1">
        <f t="array" ref="R177" ca="1">INDEX(Lookup!$E$2:$E$6,RANDBETWEEN(1,5))</f>
        <v>Master's</v>
      </c>
      <c r="S177" s="16" t="str" cm="1">
        <f t="array" ref="S177" ca="1">INDEX(Lookup!$J$2:$J$11,RANDBETWEEN(1,10))</f>
        <v>Olivia Smith</v>
      </c>
      <c r="T177" s="16" t="str">
        <f t="shared" ca="1" si="36"/>
        <v>mia.murphy@hranalytics.com</v>
      </c>
      <c r="U177" s="16" t="str">
        <f t="shared" ca="1" si="37"/>
        <v>0848601013</v>
      </c>
      <c r="V177" s="16" t="str" cm="1">
        <f t="array" ref="V177" ca="1">_xlfn.LET(_xlpm.r,RANDBETWEEN(1,100),_xlfn.IFS(_xlpm.r&lt;=70,"Full-Time",_xlpm.r&lt;=85,"Part-Time",_xlpm.r&lt;=95,"Contract",TRUE,"Intern"))</f>
        <v>Contract</v>
      </c>
      <c r="W177" s="16" cm="1">
        <f t="array" ref="W177" ca="1">IF(K177&lt;&gt;"Active",0,_xlfn.IFS(M177=5,L177*15%,M177=4,L177*10%,M177=3,L177*5%,M177=2,L177*2%,TRUE,0))</f>
        <v>3472</v>
      </c>
      <c r="X177" s="24">
        <f t="shared" ca="1" si="38"/>
        <v>4</v>
      </c>
      <c r="Y177" s="24">
        <f t="shared" ca="1" si="39"/>
        <v>3</v>
      </c>
    </row>
    <row r="178" spans="1:25">
      <c r="A178" s="16" t="str">
        <f t="shared" si="40"/>
        <v>EMP177</v>
      </c>
      <c r="B178" s="16" t="str" cm="1">
        <f t="array" ref="B178" ca="1">IF(D178="Male",INDEX(Lookup!$L$2:$L$13,RANDBETWEEN(1,12)),IF(D178="Female",INDEX(Lookup!$M$2:$M$13,RANDBETWEEN(1,12)),INDEX(Lookup!$N$2:$N$13,RANDBETWEEN(1,12))))</f>
        <v>Taylor</v>
      </c>
      <c r="C178" s="16" t="str" cm="1">
        <f t="array" ref="C178" ca="1">INDEX(Lookup!$K$2:$K$31,RANDBETWEEN(1,30))</f>
        <v>Walker</v>
      </c>
      <c r="D178" s="16" t="str" cm="1">
        <f t="array" ref="D178" ca="1">INDEX(Lookup!$H$2:$H$4,RANDBETWEEN(1,3))</f>
        <v>Other</v>
      </c>
      <c r="E178" s="16">
        <f t="shared" ca="1" si="28"/>
        <v>26</v>
      </c>
      <c r="F178" s="16" t="str" cm="1">
        <f t="array" ref="F178" ca="1">INDEX(Lookup!$A$2:$A$10,RANDBETWEEN(1,9))</f>
        <v>Finance</v>
      </c>
      <c r="G178" s="16" t="str" cm="1">
        <f t="array" ref="G178" ca="1">_xlfn.LET(_xlpm.Roles,_xlfn._xlws.FILTER(Lookup!$P$2:$P$28,Lookup!$O$2:$O$28=F178),INDEX(_xlpm.Roles,RANDBETWEEN(1,ROWS(_xlpm.Roles))))</f>
        <v>Payroll Officer</v>
      </c>
      <c r="H178" s="16" t="str" cm="1">
        <f t="array" ref="H178" ca="1">INDEX(Lookup!$B$2:$B$7,RANDBETWEEN(1,6))</f>
        <v>Waterford</v>
      </c>
      <c r="I178" s="22">
        <f t="shared" ca="1" si="29"/>
        <v>45102</v>
      </c>
      <c r="J178" s="22" t="str">
        <f t="shared" ca="1" si="30"/>
        <v/>
      </c>
      <c r="K178" s="16" t="str">
        <f t="shared" ca="1" si="31"/>
        <v>Active</v>
      </c>
      <c r="L178" s="26">
        <f ca="1">_xlfn.XLOOKUP(G178,Lookup!$P$2:$P$28,Lookup!$Q$2:$Q$28)*(1+MIN(X178*3%,30%))</f>
        <v>45000</v>
      </c>
      <c r="M178" s="24">
        <f t="shared" ca="1" si="41"/>
        <v>3</v>
      </c>
      <c r="N178" s="24">
        <f t="shared" ca="1" si="32"/>
        <v>44</v>
      </c>
      <c r="O178" s="24">
        <f t="shared" ca="1" si="33"/>
        <v>13</v>
      </c>
      <c r="P178" s="24">
        <f t="shared" ca="1" si="34"/>
        <v>53</v>
      </c>
      <c r="Q178" s="16" t="str">
        <f t="shared" ca="1" si="35"/>
        <v>Not Promoted</v>
      </c>
      <c r="R178" s="16" t="str" cm="1">
        <f t="array" ref="R178" ca="1">INDEX(Lookup!$E$2:$E$6,RANDBETWEEN(1,5))</f>
        <v>High School</v>
      </c>
      <c r="S178" s="16" t="str" cm="1">
        <f t="array" ref="S178" ca="1">INDEX(Lookup!$J$2:$J$11,RANDBETWEEN(1,10))</f>
        <v>Michael Brown</v>
      </c>
      <c r="T178" s="16" t="str">
        <f t="shared" ca="1" si="36"/>
        <v>taylor.walker@hranalytics.com</v>
      </c>
      <c r="U178" s="16" t="str">
        <f t="shared" ca="1" si="37"/>
        <v>0862853901</v>
      </c>
      <c r="V178" s="16" t="str" cm="1">
        <f t="array" ref="V178" ca="1">_xlfn.LET(_xlpm.r,RANDBETWEEN(1,100),_xlfn.IFS(_xlpm.r&lt;=70,"Full-Time",_xlpm.r&lt;=85,"Part-Time",_xlpm.r&lt;=95,"Contract",TRUE,"Intern"))</f>
        <v>Part-Time</v>
      </c>
      <c r="W178" s="16" cm="1">
        <f t="array" ref="W178" ca="1">IF(K178&lt;&gt;"Active",0,_xlfn.IFS(M178=5,L178*15%,M178=4,L178*10%,M178=3,L178*5%,M178=2,L178*2%,TRUE,0))</f>
        <v>0</v>
      </c>
      <c r="X178" s="24">
        <f t="shared" ca="1" si="38"/>
        <v>3</v>
      </c>
      <c r="Y178" s="24">
        <f t="shared" ca="1" si="39"/>
        <v>3</v>
      </c>
    </row>
    <row r="179" spans="1:25">
      <c r="A179" s="16" t="str">
        <f t="shared" si="40"/>
        <v>EMP178</v>
      </c>
      <c r="B179" s="16" t="str" cm="1">
        <f t="array" ref="B179" ca="1">IF(D179="Male",INDEX(Lookup!$L$2:$L$13,RANDBETWEEN(1,12)),IF(D179="Female",INDEX(Lookup!$M$2:$M$13,RANDBETWEEN(1,12)),INDEX(Lookup!$N$2:$N$13,RANDBETWEEN(1,12))))</f>
        <v>Amelia</v>
      </c>
      <c r="C179" s="16" t="str" cm="1">
        <f t="array" ref="C179" ca="1">INDEX(Lookup!$K$2:$K$31,RANDBETWEEN(1,30))</f>
        <v>Martin</v>
      </c>
      <c r="D179" s="16" t="str" cm="1">
        <f t="array" ref="D179" ca="1">INDEX(Lookup!$H$2:$H$4,RANDBETWEEN(1,3))</f>
        <v>Female</v>
      </c>
      <c r="E179" s="16">
        <f t="shared" ca="1" si="28"/>
        <v>41</v>
      </c>
      <c r="F179" s="16" t="str" cm="1">
        <f t="array" ref="F179" ca="1">INDEX(Lookup!$A$2:$A$10,RANDBETWEEN(1,9))</f>
        <v>Legal</v>
      </c>
      <c r="G179" s="16" t="str" cm="1">
        <f t="array" ref="G179" ca="1">_xlfn.LET(_xlpm.Roles,_xlfn._xlws.FILTER(Lookup!$P$2:$P$28,Lookup!$O$2:$O$28=F179),INDEX(_xlpm.Roles,RANDBETWEEN(1,ROWS(_xlpm.Roles))))</f>
        <v>Compliance Officer</v>
      </c>
      <c r="H179" s="16" t="str" cm="1">
        <f t="array" ref="H179" ca="1">INDEX(Lookup!$B$2:$B$7,RANDBETWEEN(1,6))</f>
        <v>Galway</v>
      </c>
      <c r="I179" s="22">
        <f t="shared" ca="1" si="29"/>
        <v>44088</v>
      </c>
      <c r="J179" s="22" t="str">
        <f t="shared" ca="1" si="30"/>
        <v/>
      </c>
      <c r="K179" s="16" t="str">
        <f t="shared" ca="1" si="31"/>
        <v>Active</v>
      </c>
      <c r="L179" s="26">
        <f ca="1">_xlfn.XLOOKUP(G179,Lookup!$P$2:$P$28,Lookup!$Q$2:$Q$28)*(1+MIN(X179*3%,30%))</f>
        <v>65400</v>
      </c>
      <c r="M179" s="24">
        <f t="shared" ca="1" si="41"/>
        <v>4</v>
      </c>
      <c r="N179" s="24">
        <f t="shared" ca="1" si="32"/>
        <v>73</v>
      </c>
      <c r="O179" s="24">
        <f t="shared" ca="1" si="33"/>
        <v>2</v>
      </c>
      <c r="P179" s="24">
        <f t="shared" ca="1" si="34"/>
        <v>29</v>
      </c>
      <c r="Q179" s="16" t="str">
        <f t="shared" ca="1" si="35"/>
        <v>Promoted</v>
      </c>
      <c r="R179" s="16" t="str" cm="1">
        <f t="array" ref="R179" ca="1">INDEX(Lookup!$E$2:$E$6,RANDBETWEEN(1,5))</f>
        <v>Master's</v>
      </c>
      <c r="S179" s="16" t="str" cm="1">
        <f t="array" ref="S179" ca="1">INDEX(Lookup!$J$2:$J$11,RANDBETWEEN(1,10))</f>
        <v>Olivia Smith</v>
      </c>
      <c r="T179" s="16" t="str">
        <f t="shared" ca="1" si="36"/>
        <v>amelia.martin@hranalytics.com</v>
      </c>
      <c r="U179" s="16" t="str">
        <f t="shared" ca="1" si="37"/>
        <v>0838625930</v>
      </c>
      <c r="V179" s="16" t="str" cm="1">
        <f t="array" ref="V179" ca="1">_xlfn.LET(_xlpm.r,RANDBETWEEN(1,100),_xlfn.IFS(_xlpm.r&lt;=70,"Full-Time",_xlpm.r&lt;=85,"Part-Time",_xlpm.r&lt;=95,"Contract",TRUE,"Intern"))</f>
        <v>Full-Time</v>
      </c>
      <c r="W179" s="16" cm="1">
        <f t="array" ref="W179" ca="1">IF(K179&lt;&gt;"Active",0,_xlfn.IFS(M179=5,L179*15%,M179=4,L179*10%,M179=3,L179*5%,M179=2,L179*2%,TRUE,0))</f>
        <v>1308</v>
      </c>
      <c r="X179" s="24">
        <f t="shared" ca="1" si="38"/>
        <v>5</v>
      </c>
      <c r="Y179" s="24">
        <f t="shared" ca="1" si="39"/>
        <v>3</v>
      </c>
    </row>
    <row r="180" spans="1:25">
      <c r="A180" s="16" t="str">
        <f t="shared" si="40"/>
        <v>EMP179</v>
      </c>
      <c r="B180" s="16" t="str" cm="1">
        <f t="array" ref="B180" ca="1">IF(D180="Male",INDEX(Lookup!$L$2:$L$13,RANDBETWEEN(1,12)),IF(D180="Female",INDEX(Lookup!$M$2:$M$13,RANDBETWEEN(1,12)),INDEX(Lookup!$N$2:$N$13,RANDBETWEEN(1,12))))</f>
        <v>Jordan</v>
      </c>
      <c r="C180" s="16" t="str" cm="1">
        <f t="array" ref="C180" ca="1">INDEX(Lookup!$K$2:$K$31,RANDBETWEEN(1,30))</f>
        <v>Brown</v>
      </c>
      <c r="D180" s="16" t="str" cm="1">
        <f t="array" ref="D180" ca="1">INDEX(Lookup!$H$2:$H$4,RANDBETWEEN(1,3))</f>
        <v>Other</v>
      </c>
      <c r="E180" s="16">
        <f t="shared" ca="1" si="28"/>
        <v>44</v>
      </c>
      <c r="F180" s="16" t="str" cm="1">
        <f t="array" ref="F180" ca="1">INDEX(Lookup!$A$2:$A$10,RANDBETWEEN(1,9))</f>
        <v>Legal</v>
      </c>
      <c r="G180" s="16" t="str" cm="1">
        <f t="array" ref="G180" ca="1">_xlfn.LET(_xlpm.Roles,_xlfn._xlws.FILTER(Lookup!$P$2:$P$28,Lookup!$O$2:$O$28=F180),INDEX(_xlpm.Roles,RANDBETWEEN(1,ROWS(_xlpm.Roles))))</f>
        <v>Compliance Officer</v>
      </c>
      <c r="H180" s="16" t="str" cm="1">
        <f t="array" ref="H180" ca="1">INDEX(Lookup!$B$2:$B$7,RANDBETWEEN(1,6))</f>
        <v>Waterford</v>
      </c>
      <c r="I180" s="22">
        <f t="shared" ca="1" si="29"/>
        <v>44979</v>
      </c>
      <c r="J180" s="22" t="str">
        <f t="shared" ca="1" si="30"/>
        <v/>
      </c>
      <c r="K180" s="16" t="str">
        <f t="shared" ca="1" si="31"/>
        <v>Active</v>
      </c>
      <c r="L180" s="26">
        <f ca="1">_xlfn.XLOOKUP(G180,Lookup!$P$2:$P$28,Lookup!$Q$2:$Q$28)*(1+MIN(X180*3%,30%))</f>
        <v>65400</v>
      </c>
      <c r="M180" s="24">
        <f t="shared" ca="1" si="41"/>
        <v>5</v>
      </c>
      <c r="N180" s="24">
        <f t="shared" ca="1" si="32"/>
        <v>37</v>
      </c>
      <c r="O180" s="24">
        <f t="shared" ca="1" si="33"/>
        <v>13</v>
      </c>
      <c r="P180" s="24">
        <f t="shared" ca="1" si="34"/>
        <v>4</v>
      </c>
      <c r="Q180" s="16" t="str">
        <f t="shared" ca="1" si="35"/>
        <v>Promoted</v>
      </c>
      <c r="R180" s="16" t="str" cm="1">
        <f t="array" ref="R180" ca="1">INDEX(Lookup!$E$2:$E$6,RANDBETWEEN(1,5))</f>
        <v>Bachelor's</v>
      </c>
      <c r="S180" s="16" t="str" cm="1">
        <f t="array" ref="S180" ca="1">INDEX(Lookup!$J$2:$J$11,RANDBETWEEN(1,10))</f>
        <v>Grace O'Connor</v>
      </c>
      <c r="T180" s="16" t="str">
        <f t="shared" ca="1" si="36"/>
        <v>jordan.brown@hranalytics.com</v>
      </c>
      <c r="U180" s="16" t="str">
        <f t="shared" ca="1" si="37"/>
        <v>0873105209</v>
      </c>
      <c r="V180" s="16" t="str" cm="1">
        <f t="array" ref="V180" ca="1">_xlfn.LET(_xlpm.r,RANDBETWEEN(1,100),_xlfn.IFS(_xlpm.r&lt;=70,"Full-Time",_xlpm.r&lt;=85,"Part-Time",_xlpm.r&lt;=95,"Contract",TRUE,"Intern"))</f>
        <v>Part-Time</v>
      </c>
      <c r="W180" s="16" cm="1">
        <f t="array" ref="W180" ca="1">IF(K180&lt;&gt;"Active",0,_xlfn.IFS(M180=5,L180*15%,M180=4,L180*10%,M180=3,L180*5%,M180=2,L180*2%,TRUE,0))</f>
        <v>3270</v>
      </c>
      <c r="X180" s="24">
        <f t="shared" ca="1" si="38"/>
        <v>3</v>
      </c>
      <c r="Y180" s="24">
        <f t="shared" ca="1" si="39"/>
        <v>1</v>
      </c>
    </row>
    <row r="181" spans="1:25">
      <c r="A181" s="16" t="str">
        <f t="shared" si="40"/>
        <v>EMP180</v>
      </c>
      <c r="B181" s="16" t="str" cm="1">
        <f t="array" ref="B181" ca="1">IF(D181="Male",INDEX(Lookup!$L$2:$L$13,RANDBETWEEN(1,12)),IF(D181="Female",INDEX(Lookup!$M$2:$M$13,RANDBETWEEN(1,12)),INDEX(Lookup!$N$2:$N$13,RANDBETWEEN(1,12))))</f>
        <v>Taylor</v>
      </c>
      <c r="C181" s="16" t="str" cm="1">
        <f t="array" ref="C181" ca="1">INDEX(Lookup!$K$2:$K$31,RANDBETWEEN(1,30))</f>
        <v>Campbell</v>
      </c>
      <c r="D181" s="16" t="str" cm="1">
        <f t="array" ref="D181" ca="1">INDEX(Lookup!$H$2:$H$4,RANDBETWEEN(1,3))</f>
        <v>Other</v>
      </c>
      <c r="E181" s="16">
        <f t="shared" ca="1" si="28"/>
        <v>51</v>
      </c>
      <c r="F181" s="16" t="str" cm="1">
        <f t="array" ref="F181" ca="1">INDEX(Lookup!$A$2:$A$10,RANDBETWEEN(1,9))</f>
        <v>Finance</v>
      </c>
      <c r="G181" s="16" t="str" cm="1">
        <f t="array" ref="G181" ca="1">_xlfn.LET(_xlpm.Roles,_xlfn._xlws.FILTER(Lookup!$P$2:$P$28,Lookup!$O$2:$O$28=F181),INDEX(_xlpm.Roles,RANDBETWEEN(1,ROWS(_xlpm.Roles))))</f>
        <v>Payroll Officer</v>
      </c>
      <c r="H181" s="16" t="str" cm="1">
        <f t="array" ref="H181" ca="1">INDEX(Lookup!$B$2:$B$7,RANDBETWEEN(1,6))</f>
        <v>Dublin</v>
      </c>
      <c r="I181" s="22">
        <f t="shared" ca="1" si="29"/>
        <v>44221</v>
      </c>
      <c r="J181" s="22">
        <f t="shared" ca="1" si="30"/>
        <v>45086</v>
      </c>
      <c r="K181" s="16" t="str">
        <f t="shared" ca="1" si="31"/>
        <v>Resigned</v>
      </c>
      <c r="L181" s="26">
        <f ca="1">_xlfn.XLOOKUP(G181,Lookup!$P$2:$P$28,Lookup!$Q$2:$Q$28)*(1+MIN(X181*3%,30%))</f>
        <v>47700</v>
      </c>
      <c r="M181" s="24">
        <f t="shared" ca="1" si="41"/>
        <v>1</v>
      </c>
      <c r="N181" s="24">
        <f t="shared" ca="1" si="32"/>
        <v>68</v>
      </c>
      <c r="O181" s="24">
        <f t="shared" ca="1" si="33"/>
        <v>1</v>
      </c>
      <c r="P181" s="24">
        <f t="shared" ca="1" si="34"/>
        <v>59</v>
      </c>
      <c r="Q181" s="16" t="str">
        <f t="shared" ca="1" si="35"/>
        <v>Promoted</v>
      </c>
      <c r="R181" s="16" t="str" cm="1">
        <f t="array" ref="R181" ca="1">INDEX(Lookup!$E$2:$E$6,RANDBETWEEN(1,5))</f>
        <v>Bachelor's</v>
      </c>
      <c r="S181" s="16" t="str" cm="1">
        <f t="array" ref="S181" ca="1">INDEX(Lookup!$J$2:$J$11,RANDBETWEEN(1,10))</f>
        <v>Sophia Martin</v>
      </c>
      <c r="T181" s="16" t="str">
        <f t="shared" ca="1" si="36"/>
        <v>taylor.campbell@hranalytics.com</v>
      </c>
      <c r="U181" s="16" t="str">
        <f t="shared" ca="1" si="37"/>
        <v>0835645613</v>
      </c>
      <c r="V181" s="16" t="str" cm="1">
        <f t="array" ref="V181" ca="1">_xlfn.LET(_xlpm.r,RANDBETWEEN(1,100),_xlfn.IFS(_xlpm.r&lt;=70,"Full-Time",_xlpm.r&lt;=85,"Part-Time",_xlpm.r&lt;=95,"Contract",TRUE,"Intern"))</f>
        <v>Full-Time</v>
      </c>
      <c r="W181" s="16" cm="1">
        <f t="array" ref="W181" ca="1">IF(K181&lt;&gt;"Active",0,_xlfn.IFS(M181=5,L181*15%,M181=4,L181*10%,M181=3,L181*5%,M181=2,L181*2%,TRUE,0))</f>
        <v>4770</v>
      </c>
      <c r="X181" s="24">
        <f t="shared" ca="1" si="38"/>
        <v>5</v>
      </c>
      <c r="Y181" s="24">
        <f t="shared" ca="1" si="39"/>
        <v>2</v>
      </c>
    </row>
    <row r="182" spans="1:25">
      <c r="A182" s="16" t="str">
        <f t="shared" si="40"/>
        <v>EMP181</v>
      </c>
      <c r="B182" s="16" t="str" cm="1">
        <f t="array" ref="B182" ca="1">IF(D182="Male",INDEX(Lookup!$L$2:$L$13,RANDBETWEEN(1,12)),IF(D182="Female",INDEX(Lookup!$M$2:$M$13,RANDBETWEEN(1,12)),INDEX(Lookup!$N$2:$N$13,RANDBETWEEN(1,12))))</f>
        <v>Casey</v>
      </c>
      <c r="C182" s="16" t="str" cm="1">
        <f t="array" ref="C182" ca="1">INDEX(Lookup!$K$2:$K$31,RANDBETWEEN(1,30))</f>
        <v>Collins</v>
      </c>
      <c r="D182" s="16" t="str" cm="1">
        <f t="array" ref="D182" ca="1">INDEX(Lookup!$H$2:$H$4,RANDBETWEEN(1,3))</f>
        <v>Other</v>
      </c>
      <c r="E182" s="16">
        <f t="shared" ca="1" si="28"/>
        <v>56</v>
      </c>
      <c r="F182" s="16" t="str" cm="1">
        <f t="array" ref="F182" ca="1">INDEX(Lookup!$A$2:$A$10,RANDBETWEEN(1,9))</f>
        <v>Sales</v>
      </c>
      <c r="G182" s="16" t="str" cm="1">
        <f t="array" ref="G182" ca="1">_xlfn.LET(_xlpm.Roles,_xlfn._xlws.FILTER(Lookup!$P$2:$P$28,Lookup!$O$2:$O$28=F182),INDEX(_xlpm.Roles,RANDBETWEEN(1,ROWS(_xlpm.Roles))))</f>
        <v>Account Manager</v>
      </c>
      <c r="H182" s="16" t="str" cm="1">
        <f t="array" ref="H182" ca="1">INDEX(Lookup!$B$2:$B$7,RANDBETWEEN(1,6))</f>
        <v>Limerick</v>
      </c>
      <c r="I182" s="22">
        <f t="shared" ca="1" si="29"/>
        <v>43358</v>
      </c>
      <c r="J182" s="22">
        <f t="shared" ca="1" si="30"/>
        <v>44681</v>
      </c>
      <c r="K182" s="16" t="str">
        <f t="shared" ca="1" si="31"/>
        <v>Resigned</v>
      </c>
      <c r="L182" s="26">
        <f ca="1">_xlfn.XLOOKUP(G182,Lookup!$P$2:$P$28,Lookup!$Q$2:$Q$28)*(1+MIN(X182*3%,30%))</f>
        <v>66550</v>
      </c>
      <c r="M182" s="24">
        <f t="shared" ca="1" si="41"/>
        <v>4</v>
      </c>
      <c r="N182" s="24">
        <f t="shared" ca="1" si="32"/>
        <v>79</v>
      </c>
      <c r="O182" s="24">
        <f t="shared" ca="1" si="33"/>
        <v>14</v>
      </c>
      <c r="P182" s="24">
        <f t="shared" ca="1" si="34"/>
        <v>0</v>
      </c>
      <c r="Q182" s="16" t="str">
        <f t="shared" ca="1" si="35"/>
        <v>Promoted</v>
      </c>
      <c r="R182" s="16" t="str" cm="1">
        <f t="array" ref="R182" ca="1">INDEX(Lookup!$E$2:$E$6,RANDBETWEEN(1,5))</f>
        <v>High School</v>
      </c>
      <c r="S182" s="16" t="str" cm="1">
        <f t="array" ref="S182" ca="1">INDEX(Lookup!$J$2:$J$11,RANDBETWEEN(1,10))</f>
        <v>James Taylor</v>
      </c>
      <c r="T182" s="16" t="str">
        <f t="shared" ca="1" si="36"/>
        <v>casey.collins@hranalytics.com</v>
      </c>
      <c r="U182" s="16" t="str">
        <f t="shared" ca="1" si="37"/>
        <v>0857445695</v>
      </c>
      <c r="V182" s="16" t="str" cm="1">
        <f t="array" ref="V182" ca="1">_xlfn.LET(_xlpm.r,RANDBETWEEN(1,100),_xlfn.IFS(_xlpm.r&lt;=70,"Full-Time",_xlpm.r&lt;=85,"Part-Time",_xlpm.r&lt;=95,"Contract",TRUE,"Intern"))</f>
        <v>Full-Time</v>
      </c>
      <c r="W182" s="16" cm="1">
        <f t="array" ref="W182" ca="1">IF(K182&lt;&gt;"Active",0,_xlfn.IFS(M182=5,L182*15%,M182=4,L182*10%,M182=3,L182*5%,M182=2,L182*2%,TRUE,0))</f>
        <v>6655</v>
      </c>
      <c r="X182" s="24">
        <f t="shared" ca="1" si="38"/>
        <v>7</v>
      </c>
      <c r="Y182" s="24">
        <f t="shared" ca="1" si="39"/>
        <v>1</v>
      </c>
    </row>
    <row r="183" spans="1:25">
      <c r="A183" s="16" t="str">
        <f t="shared" si="40"/>
        <v>EMP182</v>
      </c>
      <c r="B183" s="16" t="str" cm="1">
        <f t="array" ref="B183" ca="1">IF(D183="Male",INDEX(Lookup!$L$2:$L$13,RANDBETWEEN(1,12)),IF(D183="Female",INDEX(Lookup!$M$2:$M$13,RANDBETWEEN(1,12)),INDEX(Lookup!$N$2:$N$13,RANDBETWEEN(1,12))))</f>
        <v>David</v>
      </c>
      <c r="C183" s="16" t="str" cm="1">
        <f t="array" ref="C183" ca="1">INDEX(Lookup!$K$2:$K$31,RANDBETWEEN(1,30))</f>
        <v>Murphy</v>
      </c>
      <c r="D183" s="16" t="str" cm="1">
        <f t="array" ref="D183" ca="1">INDEX(Lookup!$H$2:$H$4,RANDBETWEEN(1,3))</f>
        <v>Male</v>
      </c>
      <c r="E183" s="16">
        <f t="shared" ca="1" si="28"/>
        <v>38</v>
      </c>
      <c r="F183" s="16" t="str" cm="1">
        <f t="array" ref="F183" ca="1">INDEX(Lookup!$A$2:$A$10,RANDBETWEEN(1,9))</f>
        <v>IT</v>
      </c>
      <c r="G183" s="16" t="str" cm="1">
        <f t="array" ref="G183" ca="1">_xlfn.LET(_xlpm.Roles,_xlfn._xlws.FILTER(Lookup!$P$2:$P$28,Lookup!$O$2:$O$28=F183),INDEX(_xlpm.Roles,RANDBETWEEN(1,ROWS(_xlpm.Roles))))</f>
        <v>IT Support Specialist</v>
      </c>
      <c r="H183" s="16" t="str" cm="1">
        <f t="array" ref="H183" ca="1">INDEX(Lookup!$B$2:$B$7,RANDBETWEEN(1,6))</f>
        <v>Dublin</v>
      </c>
      <c r="I183" s="22">
        <f t="shared" ca="1" si="29"/>
        <v>43398</v>
      </c>
      <c r="J183" s="22" t="str">
        <f t="shared" ca="1" si="30"/>
        <v/>
      </c>
      <c r="K183" s="16" t="str">
        <f t="shared" ca="1" si="31"/>
        <v>Active</v>
      </c>
      <c r="L183" s="26">
        <f ca="1">_xlfn.XLOOKUP(G183,Lookup!$P$2:$P$28,Lookup!$Q$2:$Q$28)*(1+MIN(X183*3%,30%))</f>
        <v>48000</v>
      </c>
      <c r="M183" s="24">
        <f t="shared" ca="1" si="41"/>
        <v>1</v>
      </c>
      <c r="N183" s="24">
        <f t="shared" ca="1" si="32"/>
        <v>21</v>
      </c>
      <c r="O183" s="24">
        <f t="shared" ca="1" si="33"/>
        <v>3</v>
      </c>
      <c r="P183" s="24">
        <f t="shared" ca="1" si="34"/>
        <v>40</v>
      </c>
      <c r="Q183" s="16" t="str">
        <f t="shared" ca="1" si="35"/>
        <v>Not Promoted</v>
      </c>
      <c r="R183" s="16" t="str" cm="1">
        <f t="array" ref="R183" ca="1">INDEX(Lookup!$E$2:$E$6,RANDBETWEEN(1,5))</f>
        <v>Master's</v>
      </c>
      <c r="S183" s="16" t="str" cm="1">
        <f t="array" ref="S183" ca="1">INDEX(Lookup!$J$2:$J$11,RANDBETWEEN(1,10))</f>
        <v>Michael Brown</v>
      </c>
      <c r="T183" s="16" t="str">
        <f t="shared" ca="1" si="36"/>
        <v>david.murphy@hranalytics.com</v>
      </c>
      <c r="U183" s="16" t="str">
        <f t="shared" ca="1" si="37"/>
        <v>0831371868</v>
      </c>
      <c r="V183" s="16" t="str" cm="1">
        <f t="array" ref="V183" ca="1">_xlfn.LET(_xlpm.r,RANDBETWEEN(1,100),_xlfn.IFS(_xlpm.r&lt;=70,"Full-Time",_xlpm.r&lt;=85,"Part-Time",_xlpm.r&lt;=95,"Contract",TRUE,"Intern"))</f>
        <v>Full-Time</v>
      </c>
      <c r="W183" s="16" cm="1">
        <f t="array" ref="W183" ca="1">IF(K183&lt;&gt;"Active",0,_xlfn.IFS(M183=5,L183*15%,M183=4,L183*10%,M183=3,L183*5%,M183=2,L183*2%,TRUE,0))</f>
        <v>2400</v>
      </c>
      <c r="X183" s="24">
        <f t="shared" ca="1" si="38"/>
        <v>7</v>
      </c>
      <c r="Y183" s="24">
        <f t="shared" ca="1" si="39"/>
        <v>3</v>
      </c>
    </row>
    <row r="184" spans="1:25">
      <c r="A184" s="16" t="str">
        <f t="shared" si="40"/>
        <v>EMP183</v>
      </c>
      <c r="B184" s="16" t="str" cm="1">
        <f t="array" ref="B184" ca="1">IF(D184="Male",INDEX(Lookup!$L$2:$L$13,RANDBETWEEN(1,12)),IF(D184="Female",INDEX(Lookup!$M$2:$M$13,RANDBETWEEN(1,12)),INDEX(Lookup!$N$2:$N$13,RANDBETWEEN(1,12))))</f>
        <v>Riley</v>
      </c>
      <c r="C184" s="16" t="str" cm="1">
        <f t="array" ref="C184" ca="1">INDEX(Lookup!$K$2:$K$31,RANDBETWEEN(1,30))</f>
        <v>Hill</v>
      </c>
      <c r="D184" s="16" t="str" cm="1">
        <f t="array" ref="D184" ca="1">INDEX(Lookup!$H$2:$H$4,RANDBETWEEN(1,3))</f>
        <v>Other</v>
      </c>
      <c r="E184" s="16">
        <f t="shared" ca="1" si="28"/>
        <v>48</v>
      </c>
      <c r="F184" s="16" t="str" cm="1">
        <f t="array" ref="F184" ca="1">INDEX(Lookup!$A$2:$A$10,RANDBETWEEN(1,9))</f>
        <v>Legal</v>
      </c>
      <c r="G184" s="16" t="str" cm="1">
        <f t="array" ref="G184" ca="1">_xlfn.LET(_xlpm.Roles,_xlfn._xlws.FILTER(Lookup!$P$2:$P$28,Lookup!$O$2:$O$28=F184),INDEX(_xlpm.Roles,RANDBETWEEN(1,ROWS(_xlpm.Roles))))</f>
        <v>Legal Assistant</v>
      </c>
      <c r="H184" s="16" t="str" cm="1">
        <f t="array" ref="H184" ca="1">INDEX(Lookup!$B$2:$B$7,RANDBETWEEN(1,6))</f>
        <v>Dublin</v>
      </c>
      <c r="I184" s="22">
        <f t="shared" ca="1" si="29"/>
        <v>45526</v>
      </c>
      <c r="J184" s="22" t="str">
        <f t="shared" ca="1" si="30"/>
        <v/>
      </c>
      <c r="K184" s="16" t="str">
        <f t="shared" ca="1" si="31"/>
        <v>Active</v>
      </c>
      <c r="L184" s="26">
        <f ca="1">_xlfn.XLOOKUP(G184,Lookup!$P$2:$P$28,Lookup!$Q$2:$Q$28)*(1+MIN(X184*3%,30%))</f>
        <v>45780</v>
      </c>
      <c r="M184" s="24">
        <f t="shared" ca="1" si="41"/>
        <v>3</v>
      </c>
      <c r="N184" s="24">
        <f t="shared" ca="1" si="32"/>
        <v>59</v>
      </c>
      <c r="O184" s="24">
        <f t="shared" ca="1" si="33"/>
        <v>3</v>
      </c>
      <c r="P184" s="24">
        <f t="shared" ca="1" si="34"/>
        <v>10</v>
      </c>
      <c r="Q184" s="16" t="str">
        <f t="shared" ca="1" si="35"/>
        <v>Promoted</v>
      </c>
      <c r="R184" s="16" t="str" cm="1">
        <f t="array" ref="R184" ca="1">INDEX(Lookup!$E$2:$E$6,RANDBETWEEN(1,5))</f>
        <v>High School</v>
      </c>
      <c r="S184" s="16" t="str" cm="1">
        <f t="array" ref="S184" ca="1">INDEX(Lookup!$J$2:$J$11,RANDBETWEEN(1,10))</f>
        <v>Sarah Johnson</v>
      </c>
      <c r="T184" s="16" t="str">
        <f t="shared" ca="1" si="36"/>
        <v>riley.hill@hranalytics.com</v>
      </c>
      <c r="U184" s="16" t="str">
        <f t="shared" ca="1" si="37"/>
        <v>0843873050</v>
      </c>
      <c r="V184" s="16" t="str" cm="1">
        <f t="array" ref="V184" ca="1">_xlfn.LET(_xlpm.r,RANDBETWEEN(1,100),_xlfn.IFS(_xlpm.r&lt;=70,"Full-Time",_xlpm.r&lt;=85,"Part-Time",_xlpm.r&lt;=95,"Contract",TRUE,"Intern"))</f>
        <v>Intern</v>
      </c>
      <c r="W184" s="16" cm="1">
        <f t="array" ref="W184" ca="1">IF(K184&lt;&gt;"Active",0,_xlfn.IFS(M184=5,L184*15%,M184=4,L184*10%,M184=3,L184*5%,M184=2,L184*2%,TRUE,0))</f>
        <v>4578</v>
      </c>
      <c r="X184" s="24">
        <f t="shared" ca="1" si="38"/>
        <v>2</v>
      </c>
      <c r="Y184" s="24">
        <f t="shared" ca="1" si="39"/>
        <v>3</v>
      </c>
    </row>
    <row r="185" spans="1:25">
      <c r="A185" s="16" t="str">
        <f t="shared" si="40"/>
        <v>EMP184</v>
      </c>
      <c r="B185" s="16" t="str" cm="1">
        <f t="array" ref="B185" ca="1">IF(D185="Male",INDEX(Lookup!$L$2:$L$13,RANDBETWEEN(1,12)),IF(D185="Female",INDEX(Lookup!$M$2:$M$13,RANDBETWEEN(1,12)),INDEX(Lookup!$N$2:$N$13,RANDBETWEEN(1,12))))</f>
        <v>Oliver</v>
      </c>
      <c r="C185" s="16" t="str" cm="1">
        <f t="array" ref="C185" ca="1">INDEX(Lookup!$K$2:$K$31,RANDBETWEEN(1,30))</f>
        <v>Adams</v>
      </c>
      <c r="D185" s="16" t="str" cm="1">
        <f t="array" ref="D185" ca="1">INDEX(Lookup!$H$2:$H$4,RANDBETWEEN(1,3))</f>
        <v>Male</v>
      </c>
      <c r="E185" s="16">
        <f t="shared" ca="1" si="28"/>
        <v>48</v>
      </c>
      <c r="F185" s="16" t="str" cm="1">
        <f t="array" ref="F185" ca="1">INDEX(Lookup!$A$2:$A$10,RANDBETWEEN(1,9))</f>
        <v>Sales</v>
      </c>
      <c r="G185" s="16" t="str" cm="1">
        <f t="array" ref="G185" ca="1">_xlfn.LET(_xlpm.Roles,_xlfn._xlws.FILTER(Lookup!$P$2:$P$28,Lookup!$O$2:$O$28=F185),INDEX(_xlpm.Roles,RANDBETWEEN(1,ROWS(_xlpm.Roles))))</f>
        <v>Sales Executive</v>
      </c>
      <c r="H185" s="16" t="str" cm="1">
        <f t="array" ref="H185" ca="1">INDEX(Lookup!$B$2:$B$7,RANDBETWEEN(1,6))</f>
        <v>Waterford</v>
      </c>
      <c r="I185" s="22">
        <f t="shared" ca="1" si="29"/>
        <v>45276</v>
      </c>
      <c r="J185" s="22" t="str">
        <f t="shared" ca="1" si="30"/>
        <v/>
      </c>
      <c r="K185" s="16" t="str">
        <f t="shared" ca="1" si="31"/>
        <v>Active</v>
      </c>
      <c r="L185" s="26">
        <f ca="1">_xlfn.XLOOKUP(G185,Lookup!$P$2:$P$28,Lookup!$Q$2:$Q$28)*(1+MIN(X185*3%,30%))</f>
        <v>43600</v>
      </c>
      <c r="M185" s="24">
        <f t="shared" ca="1" si="41"/>
        <v>2</v>
      </c>
      <c r="N185" s="24">
        <f t="shared" ca="1" si="32"/>
        <v>3</v>
      </c>
      <c r="O185" s="24">
        <f t="shared" ca="1" si="33"/>
        <v>6</v>
      </c>
      <c r="P185" s="24">
        <f t="shared" ca="1" si="34"/>
        <v>57</v>
      </c>
      <c r="Q185" s="16" t="str">
        <f t="shared" ca="1" si="35"/>
        <v>Promoted</v>
      </c>
      <c r="R185" s="16" t="str" cm="1">
        <f t="array" ref="R185" ca="1">INDEX(Lookup!$E$2:$E$6,RANDBETWEEN(1,5))</f>
        <v>Master's</v>
      </c>
      <c r="S185" s="16" t="str" cm="1">
        <f t="array" ref="S185" ca="1">INDEX(Lookup!$J$2:$J$11,RANDBETWEEN(1,10))</f>
        <v>Michael Brown</v>
      </c>
      <c r="T185" s="16" t="str">
        <f t="shared" ca="1" si="36"/>
        <v>oliver.adams@hranalytics.com</v>
      </c>
      <c r="U185" s="16" t="str">
        <f t="shared" ca="1" si="37"/>
        <v>0833431676</v>
      </c>
      <c r="V185" s="16" t="str" cm="1">
        <f t="array" ref="V185" ca="1">_xlfn.LET(_xlpm.r,RANDBETWEEN(1,100),_xlfn.IFS(_xlpm.r&lt;=70,"Full-Time",_xlpm.r&lt;=85,"Part-Time",_xlpm.r&lt;=95,"Contract",TRUE,"Intern"))</f>
        <v>Part-Time</v>
      </c>
      <c r="W185" s="16" cm="1">
        <f t="array" ref="W185" ca="1">IF(K185&lt;&gt;"Active",0,_xlfn.IFS(M185=5,L185*15%,M185=4,L185*10%,M185=3,L185*5%,M185=2,L185*2%,TRUE,0))</f>
        <v>872</v>
      </c>
      <c r="X185" s="24">
        <f t="shared" ca="1" si="38"/>
        <v>2</v>
      </c>
      <c r="Y185" s="24">
        <f t="shared" ca="1" si="39"/>
        <v>2</v>
      </c>
    </row>
    <row r="186" spans="1:25">
      <c r="A186" s="16" t="str">
        <f t="shared" si="40"/>
        <v>EMP185</v>
      </c>
      <c r="B186" s="16" t="str" cm="1">
        <f t="array" ref="B186" ca="1">IF(D186="Male",INDEX(Lookup!$L$2:$L$13,RANDBETWEEN(1,12)),IF(D186="Female",INDEX(Lookup!$M$2:$M$13,RANDBETWEEN(1,12)),INDEX(Lookup!$N$2:$N$13,RANDBETWEEN(1,12))))</f>
        <v>William</v>
      </c>
      <c r="C186" s="16" t="str" cm="1">
        <f t="array" ref="C186" ca="1">INDEX(Lookup!$K$2:$K$31,RANDBETWEEN(1,30))</f>
        <v>Thomas</v>
      </c>
      <c r="D186" s="16" t="str" cm="1">
        <f t="array" ref="D186" ca="1">INDEX(Lookup!$H$2:$H$4,RANDBETWEEN(1,3))</f>
        <v>Male</v>
      </c>
      <c r="E186" s="16">
        <f t="shared" ca="1" si="28"/>
        <v>58</v>
      </c>
      <c r="F186" s="16" t="str" cm="1">
        <f t="array" ref="F186" ca="1">INDEX(Lookup!$A$2:$A$10,RANDBETWEEN(1,9))</f>
        <v>HR</v>
      </c>
      <c r="G186" s="16" t="str" cm="1">
        <f t="array" ref="G186" ca="1">_xlfn.LET(_xlpm.Roles,_xlfn._xlws.FILTER(Lookup!$P$2:$P$28,Lookup!$O$2:$O$28=F186),INDEX(_xlpm.Roles,RANDBETWEEN(1,ROWS(_xlpm.Roles))))</f>
        <v>HR Assistant</v>
      </c>
      <c r="H186" s="16" t="str" cm="1">
        <f t="array" ref="H186" ca="1">INDEX(Lookup!$B$2:$B$7,RANDBETWEEN(1,6))</f>
        <v>Limerick</v>
      </c>
      <c r="I186" s="22">
        <f t="shared" ca="1" si="29"/>
        <v>45295</v>
      </c>
      <c r="J186" s="22" t="str">
        <f t="shared" ca="1" si="30"/>
        <v/>
      </c>
      <c r="K186" s="16" t="str">
        <f t="shared" ca="1" si="31"/>
        <v>Active</v>
      </c>
      <c r="L186" s="26">
        <f ca="1">_xlfn.XLOOKUP(G186,Lookup!$P$2:$P$28,Lookup!$Q$2:$Q$28)*(1+MIN(X186*3%,30%))</f>
        <v>36040</v>
      </c>
      <c r="M186" s="24">
        <f t="shared" ca="1" si="41"/>
        <v>5</v>
      </c>
      <c r="N186" s="24">
        <f t="shared" ca="1" si="32"/>
        <v>74</v>
      </c>
      <c r="O186" s="24">
        <f t="shared" ca="1" si="33"/>
        <v>16</v>
      </c>
      <c r="P186" s="24">
        <f t="shared" ca="1" si="34"/>
        <v>54</v>
      </c>
      <c r="Q186" s="16" t="str">
        <f t="shared" ca="1" si="35"/>
        <v>Promoted</v>
      </c>
      <c r="R186" s="16" t="str" cm="1">
        <f t="array" ref="R186" ca="1">INDEX(Lookup!$E$2:$E$6,RANDBETWEEN(1,5))</f>
        <v>Bachelor's</v>
      </c>
      <c r="S186" s="16" t="str" cm="1">
        <f t="array" ref="S186" ca="1">INDEX(Lookup!$J$2:$J$11,RANDBETWEEN(1,10))</f>
        <v>Sophia Martin</v>
      </c>
      <c r="T186" s="16" t="str">
        <f t="shared" ca="1" si="36"/>
        <v>william.thomas@hranalytics.com</v>
      </c>
      <c r="U186" s="16" t="str">
        <f t="shared" ca="1" si="37"/>
        <v>0846952689</v>
      </c>
      <c r="V186" s="16" t="str" cm="1">
        <f t="array" ref="V186" ca="1">_xlfn.LET(_xlpm.r,RANDBETWEEN(1,100),_xlfn.IFS(_xlpm.r&lt;=70,"Full-Time",_xlpm.r&lt;=85,"Part-Time",_xlpm.r&lt;=95,"Contract",TRUE,"Intern"))</f>
        <v>Intern</v>
      </c>
      <c r="W186" s="16" cm="1">
        <f t="array" ref="W186" ca="1">IF(K186&lt;&gt;"Active",0,_xlfn.IFS(M186=5,L186*15%,M186=4,L186*10%,M186=3,L186*5%,M186=2,L186*2%,TRUE,0))</f>
        <v>3604</v>
      </c>
      <c r="X186" s="24">
        <f t="shared" ca="1" si="38"/>
        <v>2</v>
      </c>
      <c r="Y186" s="24">
        <f t="shared" ca="1" si="39"/>
        <v>3</v>
      </c>
    </row>
    <row r="187" spans="1:25">
      <c r="A187" s="16" t="str">
        <f t="shared" si="40"/>
        <v>EMP186</v>
      </c>
      <c r="B187" s="16" t="str" cm="1">
        <f t="array" ref="B187" ca="1">IF(D187="Male",INDEX(Lookup!$L$2:$L$13,RANDBETWEEN(1,12)),IF(D187="Female",INDEX(Lookup!$M$2:$M$13,RANDBETWEEN(1,12)),INDEX(Lookup!$N$2:$N$13,RANDBETWEEN(1,12))))</f>
        <v>Noah</v>
      </c>
      <c r="C187" s="16" t="str" cm="1">
        <f t="array" ref="C187" ca="1">INDEX(Lookup!$K$2:$K$31,RANDBETWEEN(1,30))</f>
        <v>Turner</v>
      </c>
      <c r="D187" s="16" t="str" cm="1">
        <f t="array" ref="D187" ca="1">INDEX(Lookup!$H$2:$H$4,RANDBETWEEN(1,3))</f>
        <v>Male</v>
      </c>
      <c r="E187" s="16">
        <f t="shared" ca="1" si="28"/>
        <v>44</v>
      </c>
      <c r="F187" s="16" t="str" cm="1">
        <f t="array" ref="F187" ca="1">INDEX(Lookup!$A$2:$A$10,RANDBETWEEN(1,9))</f>
        <v>Customer Support</v>
      </c>
      <c r="G187" s="16" t="str" cm="1">
        <f t="array" ref="G187" ca="1">_xlfn.LET(_xlpm.Roles,_xlfn._xlws.FILTER(Lookup!$P$2:$P$28,Lookup!$O$2:$O$28=F187),INDEX(_xlpm.Roles,RANDBETWEEN(1,ROWS(_xlpm.Roles))))</f>
        <v>Technical Support Specialist</v>
      </c>
      <c r="H187" s="16" t="str" cm="1">
        <f t="array" ref="H187" ca="1">INDEX(Lookup!$B$2:$B$7,RANDBETWEEN(1,6))</f>
        <v>Belfast</v>
      </c>
      <c r="I187" s="22">
        <f t="shared" ca="1" si="29"/>
        <v>43301</v>
      </c>
      <c r="J187" s="22" t="str">
        <f t="shared" ca="1" si="30"/>
        <v/>
      </c>
      <c r="K187" s="16" t="str">
        <f t="shared" ca="1" si="31"/>
        <v>Active</v>
      </c>
      <c r="L187" s="26">
        <f ca="1">_xlfn.XLOOKUP(G187,Lookup!$P$2:$P$28,Lookup!$Q$2:$Q$28)*(1+MIN(X187*3%,30%))</f>
        <v>49050</v>
      </c>
      <c r="M187" s="24">
        <f t="shared" ca="1" si="41"/>
        <v>2</v>
      </c>
      <c r="N187" s="24">
        <f t="shared" ca="1" si="32"/>
        <v>77</v>
      </c>
      <c r="O187" s="24">
        <f t="shared" ca="1" si="33"/>
        <v>9</v>
      </c>
      <c r="P187" s="24">
        <f t="shared" ca="1" si="34"/>
        <v>5</v>
      </c>
      <c r="Q187" s="16" t="str">
        <f t="shared" ca="1" si="35"/>
        <v>Promoted</v>
      </c>
      <c r="R187" s="16" t="str" cm="1">
        <f t="array" ref="R187" ca="1">INDEX(Lookup!$E$2:$E$6,RANDBETWEEN(1,5))</f>
        <v>PhD</v>
      </c>
      <c r="S187" s="16" t="str" cm="1">
        <f t="array" ref="S187" ca="1">INDEX(Lookup!$J$2:$J$11,RANDBETWEEN(1,10))</f>
        <v>Michael Brown</v>
      </c>
      <c r="T187" s="16" t="str">
        <f t="shared" ca="1" si="36"/>
        <v>noah.turner@hranalytics.com</v>
      </c>
      <c r="U187" s="16" t="str">
        <f t="shared" ca="1" si="37"/>
        <v>0882729560</v>
      </c>
      <c r="V187" s="16" t="str" cm="1">
        <f t="array" ref="V187" ca="1">_xlfn.LET(_xlpm.r,RANDBETWEEN(1,100),_xlfn.IFS(_xlpm.r&lt;=70,"Full-Time",_xlpm.r&lt;=85,"Part-Time",_xlpm.r&lt;=95,"Contract",TRUE,"Intern"))</f>
        <v>Full-Time</v>
      </c>
      <c r="W187" s="16" cm="1">
        <f t="array" ref="W187" ca="1">IF(K187&lt;&gt;"Active",0,_xlfn.IFS(M187=5,L187*15%,M187=4,L187*10%,M187=3,L187*5%,M187=2,L187*2%,TRUE,0))</f>
        <v>7357.5</v>
      </c>
      <c r="X187" s="24">
        <f t="shared" ca="1" si="38"/>
        <v>8</v>
      </c>
      <c r="Y187" s="24">
        <f t="shared" ca="1" si="39"/>
        <v>2</v>
      </c>
    </row>
    <row r="188" spans="1:25">
      <c r="A188" s="16" t="str">
        <f t="shared" si="40"/>
        <v>EMP187</v>
      </c>
      <c r="B188" s="16" t="str" cm="1">
        <f t="array" ref="B188" ca="1">IF(D188="Male",INDEX(Lookup!$L$2:$L$13,RANDBETWEEN(1,12)),IF(D188="Female",INDEX(Lookup!$M$2:$M$13,RANDBETWEEN(1,12)),INDEX(Lookup!$N$2:$N$13,RANDBETWEEN(1,12))))</f>
        <v>Hannah</v>
      </c>
      <c r="C188" s="16" t="str" cm="1">
        <f t="array" ref="C188" ca="1">INDEX(Lookup!$K$2:$K$31,RANDBETWEEN(1,30))</f>
        <v>Wilson</v>
      </c>
      <c r="D188" s="16" t="str" cm="1">
        <f t="array" ref="D188" ca="1">INDEX(Lookup!$H$2:$H$4,RANDBETWEEN(1,3))</f>
        <v>Female</v>
      </c>
      <c r="E188" s="16">
        <f t="shared" ca="1" si="28"/>
        <v>21</v>
      </c>
      <c r="F188" s="16" t="str" cm="1">
        <f t="array" ref="F188" ca="1">INDEX(Lookup!$A$2:$A$10,RANDBETWEEN(1,9))</f>
        <v>IT</v>
      </c>
      <c r="G188" s="16" t="str" cm="1">
        <f t="array" ref="G188" ca="1">_xlfn.LET(_xlpm.Roles,_xlfn._xlws.FILTER(Lookup!$P$2:$P$28,Lookup!$O$2:$O$28=F188),INDEX(_xlpm.Roles,RANDBETWEEN(1,ROWS(_xlpm.Roles))))</f>
        <v>Data Analyst</v>
      </c>
      <c r="H188" s="16" t="str" cm="1">
        <f t="array" ref="H188" ca="1">INDEX(Lookup!$B$2:$B$7,RANDBETWEEN(1,6))</f>
        <v>Galway</v>
      </c>
      <c r="I188" s="22">
        <f t="shared" ca="1" si="29"/>
        <v>45071</v>
      </c>
      <c r="J188" s="22">
        <f t="shared" ca="1" si="30"/>
        <v>46164</v>
      </c>
      <c r="K188" s="16" t="str">
        <f t="shared" ca="1" si="31"/>
        <v>Resigned</v>
      </c>
      <c r="L188" s="26">
        <f ca="1">_xlfn.XLOOKUP(G188,Lookup!$P$2:$P$28,Lookup!$Q$2:$Q$28)*(1+MIN(X188*3%,30%))</f>
        <v>61600</v>
      </c>
      <c r="M188" s="24">
        <f t="shared" ca="1" si="41"/>
        <v>1</v>
      </c>
      <c r="N188" s="24">
        <f t="shared" ca="1" si="32"/>
        <v>19</v>
      </c>
      <c r="O188" s="24">
        <f t="shared" ca="1" si="33"/>
        <v>20</v>
      </c>
      <c r="P188" s="24">
        <f t="shared" ca="1" si="34"/>
        <v>41</v>
      </c>
      <c r="Q188" s="16" t="str">
        <f t="shared" ca="1" si="35"/>
        <v>Not Promoted</v>
      </c>
      <c r="R188" s="16" t="str" cm="1">
        <f t="array" ref="R188" ca="1">INDEX(Lookup!$E$2:$E$6,RANDBETWEEN(1,5))</f>
        <v>PhD</v>
      </c>
      <c r="S188" s="16" t="str" cm="1">
        <f t="array" ref="S188" ca="1">INDEX(Lookup!$J$2:$J$11,RANDBETWEEN(1,10))</f>
        <v>David Murphy</v>
      </c>
      <c r="T188" s="16" t="str">
        <f t="shared" ca="1" si="36"/>
        <v>hannah.wilson@hranalytics.com</v>
      </c>
      <c r="U188" s="16" t="str">
        <f t="shared" ca="1" si="37"/>
        <v>0881144093</v>
      </c>
      <c r="V188" s="16" t="str" cm="1">
        <f t="array" ref="V188" ca="1">_xlfn.LET(_xlpm.r,RANDBETWEEN(1,100),_xlfn.IFS(_xlpm.r&lt;=70,"Full-Time",_xlpm.r&lt;=85,"Part-Time",_xlpm.r&lt;=95,"Contract",TRUE,"Intern"))</f>
        <v>Full-Time</v>
      </c>
      <c r="W188" s="16" cm="1">
        <f t="array" ref="W188" ca="1">IF(K188&lt;&gt;"Active",0,_xlfn.IFS(M188=5,L188*15%,M188=4,L188*10%,M188=3,L188*5%,M188=2,L188*2%,TRUE,0))</f>
        <v>0</v>
      </c>
      <c r="X188" s="24">
        <f t="shared" ca="1" si="38"/>
        <v>3</v>
      </c>
      <c r="Y188" s="24">
        <f t="shared" ca="1" si="39"/>
        <v>2</v>
      </c>
    </row>
    <row r="189" spans="1:25">
      <c r="A189" s="16" t="str">
        <f t="shared" si="40"/>
        <v>EMP188</v>
      </c>
      <c r="B189" s="16" t="str" cm="1">
        <f t="array" ref="B189" ca="1">IF(D189="Male",INDEX(Lookup!$L$2:$L$13,RANDBETWEEN(1,12)),IF(D189="Female",INDEX(Lookup!$M$2:$M$13,RANDBETWEEN(1,12)),INDEX(Lookup!$N$2:$N$13,RANDBETWEEN(1,12))))</f>
        <v>Jamie</v>
      </c>
      <c r="C189" s="16" t="str" cm="1">
        <f t="array" ref="C189" ca="1">INDEX(Lookup!$K$2:$K$31,RANDBETWEEN(1,30))</f>
        <v>Cooper</v>
      </c>
      <c r="D189" s="16" t="str" cm="1">
        <f t="array" ref="D189" ca="1">INDEX(Lookup!$H$2:$H$4,RANDBETWEEN(1,3))</f>
        <v>Other</v>
      </c>
      <c r="E189" s="16">
        <f t="shared" ca="1" si="28"/>
        <v>60</v>
      </c>
      <c r="F189" s="16" t="str" cm="1">
        <f t="array" ref="F189" ca="1">INDEX(Lookup!$A$2:$A$10,RANDBETWEEN(1,9))</f>
        <v>HR</v>
      </c>
      <c r="G189" s="16" t="str" cm="1">
        <f t="array" ref="G189" ca="1">_xlfn.LET(_xlpm.Roles,_xlfn._xlws.FILTER(Lookup!$P$2:$P$28,Lookup!$O$2:$O$28=F189),INDEX(_xlpm.Roles,RANDBETWEEN(1,ROWS(_xlpm.Roles))))</f>
        <v>HR Executive</v>
      </c>
      <c r="H189" s="16" t="str" cm="1">
        <f t="array" ref="H189" ca="1">INDEX(Lookup!$B$2:$B$7,RANDBETWEEN(1,6))</f>
        <v>Belfast</v>
      </c>
      <c r="I189" s="22">
        <f t="shared" ca="1" si="29"/>
        <v>44755</v>
      </c>
      <c r="J189" s="22" t="str">
        <f t="shared" ca="1" si="30"/>
        <v/>
      </c>
      <c r="K189" s="16" t="str">
        <f t="shared" ca="1" si="31"/>
        <v>Active</v>
      </c>
      <c r="L189" s="26">
        <f ca="1">_xlfn.XLOOKUP(G189,Lookup!$P$2:$P$28,Lookup!$Q$2:$Q$28)*(1+MIN(X189*3%,30%))</f>
        <v>45780</v>
      </c>
      <c r="M189" s="24">
        <f t="shared" ca="1" si="41"/>
        <v>5</v>
      </c>
      <c r="N189" s="24">
        <f t="shared" ca="1" si="32"/>
        <v>46</v>
      </c>
      <c r="O189" s="24">
        <f t="shared" ca="1" si="33"/>
        <v>15</v>
      </c>
      <c r="P189" s="24">
        <f t="shared" ca="1" si="34"/>
        <v>9</v>
      </c>
      <c r="Q189" s="16" t="str">
        <f t="shared" ca="1" si="35"/>
        <v>Promoted</v>
      </c>
      <c r="R189" s="16" t="str" cm="1">
        <f t="array" ref="R189" ca="1">INDEX(Lookup!$E$2:$E$6,RANDBETWEEN(1,5))</f>
        <v>Master's</v>
      </c>
      <c r="S189" s="16" t="str" cm="1">
        <f t="array" ref="S189" ca="1">INDEX(Lookup!$J$2:$J$11,RANDBETWEEN(1,10))</f>
        <v>David Murphy</v>
      </c>
      <c r="T189" s="16" t="str">
        <f t="shared" ca="1" si="36"/>
        <v>jamie.cooper@hranalytics.com</v>
      </c>
      <c r="U189" s="16" t="str">
        <f t="shared" ca="1" si="37"/>
        <v>0883488746</v>
      </c>
      <c r="V189" s="16" t="str" cm="1">
        <f t="array" ref="V189" ca="1">_xlfn.LET(_xlpm.r,RANDBETWEEN(1,100),_xlfn.IFS(_xlpm.r&lt;=70,"Full-Time",_xlpm.r&lt;=85,"Part-Time",_xlpm.r&lt;=95,"Contract",TRUE,"Intern"))</f>
        <v>Part-Time</v>
      </c>
      <c r="W189" s="16" cm="1">
        <f t="array" ref="W189" ca="1">IF(K189&lt;&gt;"Active",0,_xlfn.IFS(M189=5,L189*15%,M189=4,L189*10%,M189=3,L189*5%,M189=2,L189*2%,TRUE,0))</f>
        <v>0</v>
      </c>
      <c r="X189" s="24">
        <f t="shared" ca="1" si="38"/>
        <v>4</v>
      </c>
      <c r="Y189" s="24">
        <f t="shared" ca="1" si="39"/>
        <v>1</v>
      </c>
    </row>
    <row r="190" spans="1:25">
      <c r="A190" s="16" t="str">
        <f t="shared" si="40"/>
        <v>EMP189</v>
      </c>
      <c r="B190" s="16" t="str" cm="1">
        <f t="array" ref="B190" ca="1">IF(D190="Male",INDEX(Lookup!$L$2:$L$13,RANDBETWEEN(1,12)),IF(D190="Female",INDEX(Lookup!$M$2:$M$13,RANDBETWEEN(1,12)),INDEX(Lookup!$N$2:$N$13,RANDBETWEEN(1,12))))</f>
        <v>Grace</v>
      </c>
      <c r="C190" s="16" t="str" cm="1">
        <f t="array" ref="C190" ca="1">INDEX(Lookup!$K$2:$K$31,RANDBETWEEN(1,30))</f>
        <v>Campbell</v>
      </c>
      <c r="D190" s="16" t="str" cm="1">
        <f t="array" ref="D190" ca="1">INDEX(Lookup!$H$2:$H$4,RANDBETWEEN(1,3))</f>
        <v>Female</v>
      </c>
      <c r="E190" s="16">
        <f t="shared" ca="1" si="28"/>
        <v>38</v>
      </c>
      <c r="F190" s="16" t="str" cm="1">
        <f t="array" ref="F190" ca="1">INDEX(Lookup!$A$2:$A$10,RANDBETWEEN(1,9))</f>
        <v>Sales</v>
      </c>
      <c r="G190" s="16" t="str" cm="1">
        <f t="array" ref="G190" ca="1">_xlfn.LET(_xlpm.Roles,_xlfn._xlws.FILTER(Lookup!$P$2:$P$28,Lookup!$O$2:$O$28=F190),INDEX(_xlpm.Roles,RANDBETWEEN(1,ROWS(_xlpm.Roles))))</f>
        <v>Business Development Executive</v>
      </c>
      <c r="H190" s="16" t="str" cm="1">
        <f t="array" ref="H190" ca="1">INDEX(Lookup!$B$2:$B$7,RANDBETWEEN(1,6))</f>
        <v>Dublin</v>
      </c>
      <c r="I190" s="22">
        <f t="shared" ca="1" si="29"/>
        <v>45495</v>
      </c>
      <c r="J190" s="22" t="str">
        <f t="shared" ca="1" si="30"/>
        <v/>
      </c>
      <c r="K190" s="16" t="str">
        <f t="shared" ca="1" si="31"/>
        <v>Active</v>
      </c>
      <c r="L190" s="26">
        <f ca="1">_xlfn.XLOOKUP(G190,Lookup!$P$2:$P$28,Lookup!$Q$2:$Q$28)*(1+MIN(X190*3%,30%))</f>
        <v>52320</v>
      </c>
      <c r="M190" s="24">
        <f t="shared" ca="1" si="41"/>
        <v>2</v>
      </c>
      <c r="N190" s="24">
        <f t="shared" ca="1" si="32"/>
        <v>30</v>
      </c>
      <c r="O190" s="24">
        <f t="shared" ca="1" si="33"/>
        <v>0</v>
      </c>
      <c r="P190" s="24">
        <f t="shared" ca="1" si="34"/>
        <v>43</v>
      </c>
      <c r="Q190" s="16" t="str">
        <f t="shared" ca="1" si="35"/>
        <v>Promoted</v>
      </c>
      <c r="R190" s="16" t="str" cm="1">
        <f t="array" ref="R190" ca="1">INDEX(Lookup!$E$2:$E$6,RANDBETWEEN(1,5))</f>
        <v>Master's</v>
      </c>
      <c r="S190" s="16" t="str" cm="1">
        <f t="array" ref="S190" ca="1">INDEX(Lookup!$J$2:$J$11,RANDBETWEEN(1,10))</f>
        <v>James Taylor</v>
      </c>
      <c r="T190" s="16" t="str">
        <f t="shared" ca="1" si="36"/>
        <v>grace.campbell@hranalytics.com</v>
      </c>
      <c r="U190" s="16" t="str">
        <f t="shared" ca="1" si="37"/>
        <v>0846139196</v>
      </c>
      <c r="V190" s="16" t="str" cm="1">
        <f t="array" ref="V190" ca="1">_xlfn.LET(_xlpm.r,RANDBETWEEN(1,100),_xlfn.IFS(_xlpm.r&lt;=70,"Full-Time",_xlpm.r&lt;=85,"Part-Time",_xlpm.r&lt;=95,"Contract",TRUE,"Intern"))</f>
        <v>Part-Time</v>
      </c>
      <c r="W190" s="16" cm="1">
        <f t="array" ref="W190" ca="1">IF(K190&lt;&gt;"Active",0,_xlfn.IFS(M190=5,L190*15%,M190=4,L190*10%,M190=3,L190*5%,M190=2,L190*2%,TRUE,0))</f>
        <v>0</v>
      </c>
      <c r="X190" s="24">
        <f t="shared" ca="1" si="38"/>
        <v>2</v>
      </c>
      <c r="Y190" s="24">
        <f t="shared" ca="1" si="39"/>
        <v>2</v>
      </c>
    </row>
    <row r="191" spans="1:25">
      <c r="A191" s="16" t="str">
        <f t="shared" si="40"/>
        <v>EMP190</v>
      </c>
      <c r="B191" s="16" t="str" cm="1">
        <f t="array" ref="B191" ca="1">IF(D191="Male",INDEX(Lookup!$L$2:$L$13,RANDBETWEEN(1,12)),IF(D191="Female",INDEX(Lookup!$M$2:$M$13,RANDBETWEEN(1,12)),INDEX(Lookup!$N$2:$N$13,RANDBETWEEN(1,12))))</f>
        <v>John</v>
      </c>
      <c r="C191" s="16" t="str" cm="1">
        <f t="array" ref="C191" ca="1">INDEX(Lookup!$K$2:$K$31,RANDBETWEEN(1,30))</f>
        <v>Adams</v>
      </c>
      <c r="D191" s="16" t="str" cm="1">
        <f t="array" ref="D191" ca="1">INDEX(Lookup!$H$2:$H$4,RANDBETWEEN(1,3))</f>
        <v>Male</v>
      </c>
      <c r="E191" s="16">
        <f t="shared" ca="1" si="28"/>
        <v>27</v>
      </c>
      <c r="F191" s="16" t="str" cm="1">
        <f t="array" ref="F191" ca="1">INDEX(Lookup!$A$2:$A$10,RANDBETWEEN(1,9))</f>
        <v>Legal</v>
      </c>
      <c r="G191" s="16" t="str" cm="1">
        <f t="array" ref="G191" ca="1">_xlfn.LET(_xlpm.Roles,_xlfn._xlws.FILTER(Lookup!$P$2:$P$28,Lookup!$O$2:$O$28=F191),INDEX(_xlpm.Roles,RANDBETWEEN(1,ROWS(_xlpm.Roles))))</f>
        <v>Compliance Officer</v>
      </c>
      <c r="H191" s="16" t="str" cm="1">
        <f t="array" ref="H191" ca="1">INDEX(Lookup!$B$2:$B$7,RANDBETWEEN(1,6))</f>
        <v>Limerick</v>
      </c>
      <c r="I191" s="22">
        <f t="shared" ca="1" si="29"/>
        <v>43517</v>
      </c>
      <c r="J191" s="22" t="str">
        <f t="shared" ca="1" si="30"/>
        <v/>
      </c>
      <c r="K191" s="16" t="str">
        <f t="shared" ca="1" si="31"/>
        <v>Active</v>
      </c>
      <c r="L191" s="26">
        <f ca="1">_xlfn.XLOOKUP(G191,Lookup!$P$2:$P$28,Lookup!$Q$2:$Q$28)*(1+MIN(X191*3%,30%))</f>
        <v>69000</v>
      </c>
      <c r="M191" s="24">
        <f t="shared" ca="1" si="41"/>
        <v>5</v>
      </c>
      <c r="N191" s="24">
        <f t="shared" ca="1" si="32"/>
        <v>19</v>
      </c>
      <c r="O191" s="24">
        <f t="shared" ca="1" si="33"/>
        <v>6</v>
      </c>
      <c r="P191" s="24">
        <f t="shared" ca="1" si="34"/>
        <v>56</v>
      </c>
      <c r="Q191" s="16" t="str">
        <f t="shared" ca="1" si="35"/>
        <v>Not Promoted</v>
      </c>
      <c r="R191" s="16" t="str" cm="1">
        <f t="array" ref="R191" ca="1">INDEX(Lookup!$E$2:$E$6,RANDBETWEEN(1,5))</f>
        <v>Master's</v>
      </c>
      <c r="S191" s="16" t="str" cm="1">
        <f t="array" ref="S191" ca="1">INDEX(Lookup!$J$2:$J$11,RANDBETWEEN(1,10))</f>
        <v>Grace O'Connor</v>
      </c>
      <c r="T191" s="16" t="str">
        <f t="shared" ca="1" si="36"/>
        <v>john.adams@hranalytics.com</v>
      </c>
      <c r="U191" s="16" t="str">
        <f t="shared" ca="1" si="37"/>
        <v>0899294094</v>
      </c>
      <c r="V191" s="16" t="str" cm="1">
        <f t="array" ref="V191" ca="1">_xlfn.LET(_xlpm.r,RANDBETWEEN(1,100),_xlfn.IFS(_xlpm.r&lt;=70,"Full-Time",_xlpm.r&lt;=85,"Part-Time",_xlpm.r&lt;=95,"Contract",TRUE,"Intern"))</f>
        <v>Full-Time</v>
      </c>
      <c r="W191" s="16" cm="1">
        <f t="array" ref="W191" ca="1">IF(K191&lt;&gt;"Active",0,_xlfn.IFS(M191=5,L191*15%,M191=4,L191*10%,M191=3,L191*5%,M191=2,L191*2%,TRUE,0))</f>
        <v>0</v>
      </c>
      <c r="X191" s="24">
        <f t="shared" ca="1" si="38"/>
        <v>7</v>
      </c>
      <c r="Y191" s="24">
        <f t="shared" ca="1" si="39"/>
        <v>2</v>
      </c>
    </row>
    <row r="192" spans="1:25">
      <c r="A192" s="16" t="str">
        <f t="shared" si="40"/>
        <v>EMP191</v>
      </c>
      <c r="B192" s="16" t="str" cm="1">
        <f t="array" ref="B192" ca="1">IF(D192="Male",INDEX(Lookup!$L$2:$L$13,RANDBETWEEN(1,12)),IF(D192="Female",INDEX(Lookup!$M$2:$M$13,RANDBETWEEN(1,12)),INDEX(Lookup!$N$2:$N$13,RANDBETWEEN(1,12))))</f>
        <v>Ryan</v>
      </c>
      <c r="C192" s="16" t="str" cm="1">
        <f t="array" ref="C192" ca="1">INDEX(Lookup!$K$2:$K$31,RANDBETWEEN(1,30))</f>
        <v>Johnson</v>
      </c>
      <c r="D192" s="16" t="str" cm="1">
        <f t="array" ref="D192" ca="1">INDEX(Lookup!$H$2:$H$4,RANDBETWEEN(1,3))</f>
        <v>Male</v>
      </c>
      <c r="E192" s="16">
        <f t="shared" ca="1" si="28"/>
        <v>50</v>
      </c>
      <c r="F192" s="16" t="str" cm="1">
        <f t="array" ref="F192" ca="1">INDEX(Lookup!$A$2:$A$10,RANDBETWEEN(1,9))</f>
        <v>HR</v>
      </c>
      <c r="G192" s="16" t="str" cm="1">
        <f t="array" ref="G192" ca="1">_xlfn.LET(_xlpm.Roles,_xlfn._xlws.FILTER(Lookup!$P$2:$P$28,Lookup!$O$2:$O$28=F192),INDEX(_xlpm.Roles,RANDBETWEEN(1,ROWS(_xlpm.Roles))))</f>
        <v>HR Executive</v>
      </c>
      <c r="H192" s="16" t="str" cm="1">
        <f t="array" ref="H192" ca="1">INDEX(Lookup!$B$2:$B$7,RANDBETWEEN(1,6))</f>
        <v>Limerick</v>
      </c>
      <c r="I192" s="22">
        <f t="shared" ca="1" si="29"/>
        <v>45749</v>
      </c>
      <c r="J192" s="22" t="str">
        <f t="shared" ca="1" si="30"/>
        <v/>
      </c>
      <c r="K192" s="16" t="str">
        <f t="shared" ca="1" si="31"/>
        <v>Active</v>
      </c>
      <c r="L192" s="26">
        <f ca="1">_xlfn.XLOOKUP(G192,Lookup!$P$2:$P$28,Lookup!$Q$2:$Q$28)*(1+MIN(X192*3%,30%))</f>
        <v>42000</v>
      </c>
      <c r="M192" s="24">
        <f t="shared" ca="1" si="41"/>
        <v>2</v>
      </c>
      <c r="N192" s="24">
        <f t="shared" ca="1" si="32"/>
        <v>29</v>
      </c>
      <c r="O192" s="24">
        <f t="shared" ca="1" si="33"/>
        <v>8</v>
      </c>
      <c r="P192" s="24">
        <f t="shared" ca="1" si="34"/>
        <v>32</v>
      </c>
      <c r="Q192" s="16" t="str">
        <f t="shared" ca="1" si="35"/>
        <v>Not Promoted</v>
      </c>
      <c r="R192" s="16" t="str" cm="1">
        <f t="array" ref="R192" ca="1">INDEX(Lookup!$E$2:$E$6,RANDBETWEEN(1,5))</f>
        <v>Master's</v>
      </c>
      <c r="S192" s="16" t="str" cm="1">
        <f t="array" ref="S192" ca="1">INDEX(Lookup!$J$2:$J$11,RANDBETWEEN(1,10))</f>
        <v>Sophia Martin</v>
      </c>
      <c r="T192" s="16" t="str">
        <f t="shared" ca="1" si="36"/>
        <v>ryan.johnson@hranalytics.com</v>
      </c>
      <c r="U192" s="16" t="str">
        <f t="shared" ca="1" si="37"/>
        <v>0837747377</v>
      </c>
      <c r="V192" s="16" t="str" cm="1">
        <f t="array" ref="V192" ca="1">_xlfn.LET(_xlpm.r,RANDBETWEEN(1,100),_xlfn.IFS(_xlpm.r&lt;=70,"Full-Time",_xlpm.r&lt;=85,"Part-Time",_xlpm.r&lt;=95,"Contract",TRUE,"Intern"))</f>
        <v>Part-Time</v>
      </c>
      <c r="W192" s="16" cm="1">
        <f t="array" ref="W192" ca="1">IF(K192&lt;&gt;"Active",0,_xlfn.IFS(M192=5,L192*15%,M192=4,L192*10%,M192=3,L192*5%,M192=2,L192*2%,TRUE,0))</f>
        <v>2100</v>
      </c>
      <c r="X192" s="24">
        <f t="shared" ca="1" si="38"/>
        <v>1</v>
      </c>
      <c r="Y192" s="24">
        <f t="shared" ca="1" si="39"/>
        <v>1</v>
      </c>
    </row>
    <row r="193" spans="1:25">
      <c r="A193" s="16" t="str">
        <f t="shared" si="40"/>
        <v>EMP192</v>
      </c>
      <c r="B193" s="16" t="str" cm="1">
        <f t="array" ref="B193" ca="1">IF(D193="Male",INDEX(Lookup!$L$2:$L$13,RANDBETWEEN(1,12)),IF(D193="Female",INDEX(Lookup!$M$2:$M$13,RANDBETWEEN(1,12)),INDEX(Lookup!$N$2:$N$13,RANDBETWEEN(1,12))))</f>
        <v>Ella</v>
      </c>
      <c r="C193" s="16" t="str" cm="1">
        <f t="array" ref="C193" ca="1">INDEX(Lookup!$K$2:$K$31,RANDBETWEEN(1,30))</f>
        <v>Young</v>
      </c>
      <c r="D193" s="16" t="str" cm="1">
        <f t="array" ref="D193" ca="1">INDEX(Lookup!$H$2:$H$4,RANDBETWEEN(1,3))</f>
        <v>Female</v>
      </c>
      <c r="E193" s="16">
        <f t="shared" ca="1" si="28"/>
        <v>60</v>
      </c>
      <c r="F193" s="16" t="str" cm="1">
        <f t="array" ref="F193" ca="1">INDEX(Lookup!$A$2:$A$10,RANDBETWEEN(1,9))</f>
        <v>Sales</v>
      </c>
      <c r="G193" s="16" t="str" cm="1">
        <f t="array" ref="G193" ca="1">_xlfn.LET(_xlpm.Roles,_xlfn._xlws.FILTER(Lookup!$P$2:$P$28,Lookup!$O$2:$O$28=F193),INDEX(_xlpm.Roles,RANDBETWEEN(1,ROWS(_xlpm.Roles))))</f>
        <v>Account Manager</v>
      </c>
      <c r="H193" s="16" t="str" cm="1">
        <f t="array" ref="H193" ca="1">INDEX(Lookup!$B$2:$B$7,RANDBETWEEN(1,6))</f>
        <v>Galway</v>
      </c>
      <c r="I193" s="22">
        <f t="shared" ca="1" si="29"/>
        <v>43398</v>
      </c>
      <c r="J193" s="22" t="str">
        <f t="shared" ca="1" si="30"/>
        <v/>
      </c>
      <c r="K193" s="16" t="str">
        <f t="shared" ca="1" si="31"/>
        <v>Active</v>
      </c>
      <c r="L193" s="26">
        <f ca="1">_xlfn.XLOOKUP(G193,Lookup!$P$2:$P$28,Lookup!$Q$2:$Q$28)*(1+MIN(X193*3%,30%))</f>
        <v>66550</v>
      </c>
      <c r="M193" s="24">
        <f t="shared" ca="1" si="41"/>
        <v>2</v>
      </c>
      <c r="N193" s="24">
        <f t="shared" ca="1" si="32"/>
        <v>80</v>
      </c>
      <c r="O193" s="24">
        <f t="shared" ca="1" si="33"/>
        <v>15</v>
      </c>
      <c r="P193" s="24">
        <f t="shared" ca="1" si="34"/>
        <v>59</v>
      </c>
      <c r="Q193" s="16" t="str">
        <f t="shared" ca="1" si="35"/>
        <v>Not Promoted</v>
      </c>
      <c r="R193" s="16" t="str" cm="1">
        <f t="array" ref="R193" ca="1">INDEX(Lookup!$E$2:$E$6,RANDBETWEEN(1,5))</f>
        <v>High School</v>
      </c>
      <c r="S193" s="16" t="str" cm="1">
        <f t="array" ref="S193" ca="1">INDEX(Lookup!$J$2:$J$11,RANDBETWEEN(1,10))</f>
        <v>Daniel Kelly</v>
      </c>
      <c r="T193" s="16" t="str">
        <f t="shared" ca="1" si="36"/>
        <v>ella.young@hranalytics.com</v>
      </c>
      <c r="U193" s="16" t="str">
        <f t="shared" ca="1" si="37"/>
        <v>0835973789</v>
      </c>
      <c r="V193" s="16" t="str" cm="1">
        <f t="array" ref="V193" ca="1">_xlfn.LET(_xlpm.r,RANDBETWEEN(1,100),_xlfn.IFS(_xlpm.r&lt;=70,"Full-Time",_xlpm.r&lt;=85,"Part-Time",_xlpm.r&lt;=95,"Contract",TRUE,"Intern"))</f>
        <v>Full-Time</v>
      </c>
      <c r="W193" s="16" cm="1">
        <f t="array" ref="W193" ca="1">IF(K193&lt;&gt;"Active",0,_xlfn.IFS(M193=5,L193*15%,M193=4,L193*10%,M193=3,L193*5%,M193=2,L193*2%,TRUE,0))</f>
        <v>0</v>
      </c>
      <c r="X193" s="24">
        <f t="shared" ca="1" si="38"/>
        <v>7</v>
      </c>
      <c r="Y193" s="24">
        <f t="shared" ca="1" si="39"/>
        <v>2</v>
      </c>
    </row>
    <row r="194" spans="1:25">
      <c r="A194" s="16" t="str">
        <f t="shared" si="40"/>
        <v>EMP193</v>
      </c>
      <c r="B194" s="16" t="str" cm="1">
        <f t="array" ref="B194" ca="1">IF(D194="Male",INDEX(Lookup!$L$2:$L$13,RANDBETWEEN(1,12)),IF(D194="Female",INDEX(Lookup!$M$2:$M$13,RANDBETWEEN(1,12)),INDEX(Lookup!$N$2:$N$13,RANDBETWEEN(1,12))))</f>
        <v>Robin</v>
      </c>
      <c r="C194" s="16" t="str" cm="1">
        <f t="array" ref="C194" ca="1">INDEX(Lookup!$K$2:$K$31,RANDBETWEEN(1,30))</f>
        <v>Smith</v>
      </c>
      <c r="D194" s="16" t="str" cm="1">
        <f t="array" ref="D194" ca="1">INDEX(Lookup!$H$2:$H$4,RANDBETWEEN(1,3))</f>
        <v>Other</v>
      </c>
      <c r="E194" s="16">
        <f t="shared" ref="E194:E257" ca="1" si="42">RANDBETWEEN(21,60)</f>
        <v>26</v>
      </c>
      <c r="F194" s="16" t="str" cm="1">
        <f t="array" ref="F194" ca="1">INDEX(Lookup!$A$2:$A$10,RANDBETWEEN(1,9))</f>
        <v>Operations</v>
      </c>
      <c r="G194" s="16" t="str" cm="1">
        <f t="array" ref="G194" ca="1">_xlfn.LET(_xlpm.Roles,_xlfn._xlws.FILTER(Lookup!$P$2:$P$28,Lookup!$O$2:$O$28=F194),INDEX(_xlpm.Roles,RANDBETWEEN(1,ROWS(_xlpm.Roles))))</f>
        <v>Operations Coordinator</v>
      </c>
      <c r="H194" s="16" t="str" cm="1">
        <f t="array" ref="H194" ca="1">INDEX(Lookup!$B$2:$B$7,RANDBETWEEN(1,6))</f>
        <v>Cork</v>
      </c>
      <c r="I194" s="22">
        <f t="shared" ref="I194:I257" ca="1" si="43">DATE(RANDBETWEEN(2018,2025),RANDBETWEEN(1,12),RANDBETWEEN(1,28))</f>
        <v>44868</v>
      </c>
      <c r="J194" s="22" t="str">
        <f t="shared" ref="J194:J257" ca="1" si="44">IF(K194="Resigned",I194+RANDBETWEEN(180,2000),"")</f>
        <v/>
      </c>
      <c r="K194" s="16" t="str">
        <f t="shared" ref="K194:K257" ca="1" si="45">IF(RANDBETWEEN(1,10)&lt;=8,"Active","Resigned")</f>
        <v>Active</v>
      </c>
      <c r="L194" s="26">
        <f ca="1">_xlfn.XLOOKUP(G194,Lookup!$P$2:$P$28,Lookup!$Q$2:$Q$28)*(1+MIN(X194*3%,30%))</f>
        <v>55800</v>
      </c>
      <c r="M194" s="24">
        <f t="shared" ca="1" si="41"/>
        <v>1</v>
      </c>
      <c r="N194" s="24">
        <f t="shared" ref="N194:N257" ca="1" si="46">RANDBETWEEN(0,80)</f>
        <v>51</v>
      </c>
      <c r="O194" s="24">
        <f t="shared" ref="O194:O257" ca="1" si="47">RANDBETWEEN(0,20)</f>
        <v>7</v>
      </c>
      <c r="P194" s="24">
        <f t="shared" ref="P194:P257" ca="1" si="48">RANDBETWEEN(0,60)</f>
        <v>58</v>
      </c>
      <c r="Q194" s="16" t="str">
        <f t="shared" ref="Q194:Q257" ca="1" si="49">IF(AND(L194&gt;=4,X194&gt;=2,K194="Active"),"Promoted","Not Promoted")</f>
        <v>Promoted</v>
      </c>
      <c r="R194" s="16" t="str" cm="1">
        <f t="array" ref="R194" ca="1">INDEX(Lookup!$E$2:$E$6,RANDBETWEEN(1,5))</f>
        <v>Dipolma</v>
      </c>
      <c r="S194" s="16" t="str" cm="1">
        <f t="array" ref="S194" ca="1">INDEX(Lookup!$J$2:$J$11,RANDBETWEEN(1,10))</f>
        <v>Liam Byrne</v>
      </c>
      <c r="T194" s="16" t="str">
        <f t="shared" ref="T194:T257" ca="1" si="50">LOWER(B194&amp;"."&amp;C194&amp;"@hranalytics.com")</f>
        <v>robin.smith@hranalytics.com</v>
      </c>
      <c r="U194" s="16" t="str">
        <f t="shared" ref="U194:U257" ca="1" si="51">"08"&amp;RANDBETWEEN(3,9)&amp;TEXT(RANDBETWEEN(1000000,9999999),"0000000")</f>
        <v>0872181865</v>
      </c>
      <c r="V194" s="16" t="str" cm="1">
        <f t="array" ref="V194" ca="1">_xlfn.LET(_xlpm.r,RANDBETWEEN(1,100),_xlfn.IFS(_xlpm.r&lt;=70,"Full-Time",_xlpm.r&lt;=85,"Part-Time",_xlpm.r&lt;=95,"Contract",TRUE,"Intern"))</f>
        <v>Full-Time</v>
      </c>
      <c r="W194" s="16" cm="1">
        <f t="array" ref="W194" ca="1">IF(K194&lt;&gt;"Active",0,_xlfn.IFS(M194=5,L194*15%,M194=4,L194*10%,M194=3,L194*5%,M194=2,L194*2%,TRUE,0))</f>
        <v>2790</v>
      </c>
      <c r="X194" s="24">
        <f t="shared" ref="X194:X257" ca="1" si="52">DATEDIF(I194,TODAY(),"Y")</f>
        <v>3</v>
      </c>
      <c r="Y194" s="24">
        <f t="shared" ref="Y194:Y257" ca="1" si="53">RANDBETWEEN(1,3)</f>
        <v>1</v>
      </c>
    </row>
    <row r="195" spans="1:25">
      <c r="A195" s="16" t="str">
        <f t="shared" ref="A195:A258" si="54">"EMP"&amp;TEXT(ROW()-1,"000")</f>
        <v>EMP194</v>
      </c>
      <c r="B195" s="16" t="str" cm="1">
        <f t="array" ref="B195" ca="1">IF(D195="Male",INDEX(Lookup!$L$2:$L$13,RANDBETWEEN(1,12)),IF(D195="Female",INDEX(Lookup!$M$2:$M$13,RANDBETWEEN(1,12)),INDEX(Lookup!$N$2:$N$13,RANDBETWEEN(1,12))))</f>
        <v>Alex</v>
      </c>
      <c r="C195" s="16" t="str" cm="1">
        <f t="array" ref="C195" ca="1">INDEX(Lookup!$K$2:$K$31,RANDBETWEEN(1,30))</f>
        <v>Martin</v>
      </c>
      <c r="D195" s="16" t="str" cm="1">
        <f t="array" ref="D195" ca="1">INDEX(Lookup!$H$2:$H$4,RANDBETWEEN(1,3))</f>
        <v>Other</v>
      </c>
      <c r="E195" s="16">
        <f t="shared" ca="1" si="42"/>
        <v>59</v>
      </c>
      <c r="F195" s="16" t="str" cm="1">
        <f t="array" ref="F195" ca="1">INDEX(Lookup!$A$2:$A$10,RANDBETWEEN(1,9))</f>
        <v>Legal</v>
      </c>
      <c r="G195" s="16" t="str" cm="1">
        <f t="array" ref="G195" ca="1">_xlfn.LET(_xlpm.Roles,_xlfn._xlws.FILTER(Lookup!$P$2:$P$28,Lookup!$O$2:$O$28=F195),INDEX(_xlpm.Roles,RANDBETWEEN(1,ROWS(_xlpm.Roles))))</f>
        <v>Compliance Officer</v>
      </c>
      <c r="H195" s="16" t="str" cm="1">
        <f t="array" ref="H195" ca="1">INDEX(Lookup!$B$2:$B$7,RANDBETWEEN(1,6))</f>
        <v>Galway</v>
      </c>
      <c r="I195" s="22">
        <f t="shared" ca="1" si="43"/>
        <v>44987</v>
      </c>
      <c r="J195" s="22" t="str">
        <f t="shared" ca="1" si="44"/>
        <v/>
      </c>
      <c r="K195" s="16" t="str">
        <f t="shared" ca="1" si="45"/>
        <v>Active</v>
      </c>
      <c r="L195" s="26">
        <f ca="1">_xlfn.XLOOKUP(G195,Lookup!$P$2:$P$28,Lookup!$Q$2:$Q$28)*(1+MIN(X195*3%,30%))</f>
        <v>69000</v>
      </c>
      <c r="M195" s="24">
        <f t="shared" ref="M195:M258" ca="1" si="55">RANDBETWEEN(1,5)</f>
        <v>2</v>
      </c>
      <c r="N195" s="24">
        <f t="shared" ca="1" si="46"/>
        <v>46</v>
      </c>
      <c r="O195" s="24">
        <f t="shared" ca="1" si="47"/>
        <v>6</v>
      </c>
      <c r="P195" s="24">
        <f t="shared" ca="1" si="48"/>
        <v>54</v>
      </c>
      <c r="Q195" s="16" t="str">
        <f t="shared" ca="1" si="49"/>
        <v>Not Promoted</v>
      </c>
      <c r="R195" s="16" t="str" cm="1">
        <f t="array" ref="R195" ca="1">INDEX(Lookup!$E$2:$E$6,RANDBETWEEN(1,5))</f>
        <v>Dipolma</v>
      </c>
      <c r="S195" s="16" t="str" cm="1">
        <f t="array" ref="S195" ca="1">INDEX(Lookup!$J$2:$J$11,RANDBETWEEN(1,10))</f>
        <v>Emma Wilson</v>
      </c>
      <c r="T195" s="16" t="str">
        <f t="shared" ca="1" si="50"/>
        <v>alex.martin@hranalytics.com</v>
      </c>
      <c r="U195" s="16" t="str">
        <f t="shared" ca="1" si="51"/>
        <v>0879616260</v>
      </c>
      <c r="V195" s="16" t="str" cm="1">
        <f t="array" ref="V195" ca="1">_xlfn.LET(_xlpm.r,RANDBETWEEN(1,100),_xlfn.IFS(_xlpm.r&lt;=70,"Full-Time",_xlpm.r&lt;=85,"Part-Time",_xlpm.r&lt;=95,"Contract",TRUE,"Intern"))</f>
        <v>Full-Time</v>
      </c>
      <c r="W195" s="16" cm="1">
        <f t="array" ref="W195" ca="1">IF(K195&lt;&gt;"Active",0,_xlfn.IFS(M195=5,L195*15%,M195=4,L195*10%,M195=3,L195*5%,M195=2,L195*2%,TRUE,0))</f>
        <v>0</v>
      </c>
      <c r="X195" s="24">
        <f t="shared" ca="1" si="52"/>
        <v>3</v>
      </c>
      <c r="Y195" s="24">
        <f t="shared" ca="1" si="53"/>
        <v>3</v>
      </c>
    </row>
    <row r="196" spans="1:25">
      <c r="A196" s="16" t="str">
        <f t="shared" si="54"/>
        <v>EMP195</v>
      </c>
      <c r="B196" s="16" t="str" cm="1">
        <f t="array" ref="B196" ca="1">IF(D196="Male",INDEX(Lookup!$L$2:$L$13,RANDBETWEEN(1,12)),IF(D196="Female",INDEX(Lookup!$M$2:$M$13,RANDBETWEEN(1,12)),INDEX(Lookup!$N$2:$N$13,RANDBETWEEN(1,12))))</f>
        <v>Daniel</v>
      </c>
      <c r="C196" s="16" t="str" cm="1">
        <f t="array" ref="C196" ca="1">INDEX(Lookup!$K$2:$K$31,RANDBETWEEN(1,30))</f>
        <v>Murphy</v>
      </c>
      <c r="D196" s="16" t="str" cm="1">
        <f t="array" ref="D196" ca="1">INDEX(Lookup!$H$2:$H$4,RANDBETWEEN(1,3))</f>
        <v>Male</v>
      </c>
      <c r="E196" s="16">
        <f t="shared" ca="1" si="42"/>
        <v>24</v>
      </c>
      <c r="F196" s="16" t="str" cm="1">
        <f t="array" ref="F196" ca="1">INDEX(Lookup!$A$2:$A$10,RANDBETWEEN(1,9))</f>
        <v>Customer Support</v>
      </c>
      <c r="G196" s="16" t="str" cm="1">
        <f t="array" ref="G196" ca="1">_xlfn.LET(_xlpm.Roles,_xlfn._xlws.FILTER(Lookup!$P$2:$P$28,Lookup!$O$2:$O$28=F196),INDEX(_xlpm.Roles,RANDBETWEEN(1,ROWS(_xlpm.Roles))))</f>
        <v>Customer Support Representative</v>
      </c>
      <c r="H196" s="16" t="str" cm="1">
        <f t="array" ref="H196" ca="1">INDEX(Lookup!$B$2:$B$7,RANDBETWEEN(1,6))</f>
        <v>Limerick</v>
      </c>
      <c r="I196" s="22">
        <f t="shared" ca="1" si="43"/>
        <v>44677</v>
      </c>
      <c r="J196" s="22">
        <f t="shared" ca="1" si="44"/>
        <v>46538</v>
      </c>
      <c r="K196" s="16" t="str">
        <f t="shared" ca="1" si="45"/>
        <v>Resigned</v>
      </c>
      <c r="L196" s="26">
        <f ca="1">_xlfn.XLOOKUP(G196,Lookup!$P$2:$P$28,Lookup!$Q$2:$Q$28)*(1+MIN(X196*3%,30%))</f>
        <v>36000</v>
      </c>
      <c r="M196" s="24">
        <f t="shared" ca="1" si="55"/>
        <v>2</v>
      </c>
      <c r="N196" s="24">
        <f t="shared" ca="1" si="46"/>
        <v>72</v>
      </c>
      <c r="O196" s="24">
        <f t="shared" ca="1" si="47"/>
        <v>1</v>
      </c>
      <c r="P196" s="24">
        <f t="shared" ca="1" si="48"/>
        <v>0</v>
      </c>
      <c r="Q196" s="16" t="str">
        <f t="shared" ca="1" si="49"/>
        <v>Not Promoted</v>
      </c>
      <c r="R196" s="16" t="str" cm="1">
        <f t="array" ref="R196" ca="1">INDEX(Lookup!$E$2:$E$6,RANDBETWEEN(1,5))</f>
        <v>Master's</v>
      </c>
      <c r="S196" s="16" t="str" cm="1">
        <f t="array" ref="S196" ca="1">INDEX(Lookup!$J$2:$J$11,RANDBETWEEN(1,10))</f>
        <v>Grace O'Connor</v>
      </c>
      <c r="T196" s="16" t="str">
        <f t="shared" ca="1" si="50"/>
        <v>daniel.murphy@hranalytics.com</v>
      </c>
      <c r="U196" s="16" t="str">
        <f t="shared" ca="1" si="51"/>
        <v>0882043859</v>
      </c>
      <c r="V196" s="16" t="str" cm="1">
        <f t="array" ref="V196" ca="1">_xlfn.LET(_xlpm.r,RANDBETWEEN(1,100),_xlfn.IFS(_xlpm.r&lt;=70,"Full-Time",_xlpm.r&lt;=85,"Part-Time",_xlpm.r&lt;=95,"Contract",TRUE,"Intern"))</f>
        <v>Full-Time</v>
      </c>
      <c r="W196" s="16" cm="1">
        <f t="array" ref="W196" ca="1">IF(K196&lt;&gt;"Active",0,_xlfn.IFS(M196=5,L196*15%,M196=4,L196*10%,M196=3,L196*5%,M196=2,L196*2%,TRUE,0))</f>
        <v>720</v>
      </c>
      <c r="X196" s="24">
        <f t="shared" ca="1" si="52"/>
        <v>4</v>
      </c>
      <c r="Y196" s="24">
        <f t="shared" ca="1" si="53"/>
        <v>1</v>
      </c>
    </row>
    <row r="197" spans="1:25">
      <c r="A197" s="16" t="str">
        <f t="shared" si="54"/>
        <v>EMP196</v>
      </c>
      <c r="B197" s="16" t="str" cm="1">
        <f t="array" ref="B197" ca="1">IF(D197="Male",INDEX(Lookup!$L$2:$L$13,RANDBETWEEN(1,12)),IF(D197="Female",INDEX(Lookup!$M$2:$M$13,RANDBETWEEN(1,12)),INDEX(Lookup!$N$2:$N$13,RANDBETWEEN(1,12))))</f>
        <v>James</v>
      </c>
      <c r="C197" s="16" t="str" cm="1">
        <f t="array" ref="C197" ca="1">INDEX(Lookup!$K$2:$K$31,RANDBETWEEN(1,30))</f>
        <v>Moore</v>
      </c>
      <c r="D197" s="16" t="str" cm="1">
        <f t="array" ref="D197" ca="1">INDEX(Lookup!$H$2:$H$4,RANDBETWEEN(1,3))</f>
        <v>Male</v>
      </c>
      <c r="E197" s="16">
        <f t="shared" ca="1" si="42"/>
        <v>47</v>
      </c>
      <c r="F197" s="16" t="str" cm="1">
        <f t="array" ref="F197" ca="1">INDEX(Lookup!$A$2:$A$10,RANDBETWEEN(1,9))</f>
        <v>HR</v>
      </c>
      <c r="G197" s="16" t="str" cm="1">
        <f t="array" ref="G197" ca="1">_xlfn.LET(_xlpm.Roles,_xlfn._xlws.FILTER(Lookup!$P$2:$P$28,Lookup!$O$2:$O$28=F197),INDEX(_xlpm.Roles,RANDBETWEEN(1,ROWS(_xlpm.Roles))))</f>
        <v>HR Assistant</v>
      </c>
      <c r="H197" s="16" t="str" cm="1">
        <f t="array" ref="H197" ca="1">INDEX(Lookup!$B$2:$B$7,RANDBETWEEN(1,6))</f>
        <v>Dublin</v>
      </c>
      <c r="I197" s="22">
        <f t="shared" ca="1" si="43"/>
        <v>44229</v>
      </c>
      <c r="J197" s="22" t="str">
        <f t="shared" ca="1" si="44"/>
        <v/>
      </c>
      <c r="K197" s="16" t="str">
        <f t="shared" ca="1" si="45"/>
        <v>Active</v>
      </c>
      <c r="L197" s="26">
        <f ca="1">_xlfn.XLOOKUP(G197,Lookup!$P$2:$P$28,Lookup!$Q$2:$Q$28)*(1+MIN(X197*3%,30%))</f>
        <v>36040</v>
      </c>
      <c r="M197" s="24">
        <f t="shared" ca="1" si="55"/>
        <v>3</v>
      </c>
      <c r="N197" s="24">
        <f t="shared" ca="1" si="46"/>
        <v>78</v>
      </c>
      <c r="O197" s="24">
        <f t="shared" ca="1" si="47"/>
        <v>19</v>
      </c>
      <c r="P197" s="24">
        <f t="shared" ca="1" si="48"/>
        <v>32</v>
      </c>
      <c r="Q197" s="16" t="str">
        <f t="shared" ca="1" si="49"/>
        <v>Promoted</v>
      </c>
      <c r="R197" s="16" t="str" cm="1">
        <f t="array" ref="R197" ca="1">INDEX(Lookup!$E$2:$E$6,RANDBETWEEN(1,5))</f>
        <v>Dipolma</v>
      </c>
      <c r="S197" s="16" t="str" cm="1">
        <f t="array" ref="S197" ca="1">INDEX(Lookup!$J$2:$J$11,RANDBETWEEN(1,10))</f>
        <v>Sarah Johnson</v>
      </c>
      <c r="T197" s="16" t="str">
        <f t="shared" ca="1" si="50"/>
        <v>james.moore@hranalytics.com</v>
      </c>
      <c r="U197" s="16" t="str">
        <f t="shared" ca="1" si="51"/>
        <v>0863311505</v>
      </c>
      <c r="V197" s="16" t="str" cm="1">
        <f t="array" ref="V197" ca="1">_xlfn.LET(_xlpm.r,RANDBETWEEN(1,100),_xlfn.IFS(_xlpm.r&lt;=70,"Full-Time",_xlpm.r&lt;=85,"Part-Time",_xlpm.r&lt;=95,"Contract",TRUE,"Intern"))</f>
        <v>Intern</v>
      </c>
      <c r="W197" s="16" cm="1">
        <f t="array" ref="W197" ca="1">IF(K197&lt;&gt;"Active",0,_xlfn.IFS(M197=5,L197*15%,M197=4,L197*10%,M197=3,L197*5%,M197=2,L197*2%,TRUE,0))</f>
        <v>0</v>
      </c>
      <c r="X197" s="24">
        <f t="shared" ca="1" si="52"/>
        <v>5</v>
      </c>
      <c r="Y197" s="24">
        <f t="shared" ca="1" si="53"/>
        <v>3</v>
      </c>
    </row>
    <row r="198" spans="1:25">
      <c r="A198" s="16" t="str">
        <f t="shared" si="54"/>
        <v>EMP197</v>
      </c>
      <c r="B198" s="16" t="str" cm="1">
        <f t="array" ref="B198" ca="1">IF(D198="Male",INDEX(Lookup!$L$2:$L$13,RANDBETWEEN(1,12)),IF(D198="Female",INDEX(Lookup!$M$2:$M$13,RANDBETWEEN(1,12)),INDEX(Lookup!$N$2:$N$13,RANDBETWEEN(1,12))))</f>
        <v>Jamie</v>
      </c>
      <c r="C198" s="16" t="str" cm="1">
        <f t="array" ref="C198" ca="1">INDEX(Lookup!$K$2:$K$31,RANDBETWEEN(1,30))</f>
        <v>King</v>
      </c>
      <c r="D198" s="16" t="str" cm="1">
        <f t="array" ref="D198" ca="1">INDEX(Lookup!$H$2:$H$4,RANDBETWEEN(1,3))</f>
        <v>Other</v>
      </c>
      <c r="E198" s="16">
        <f t="shared" ca="1" si="42"/>
        <v>25</v>
      </c>
      <c r="F198" s="16" t="str" cm="1">
        <f t="array" ref="F198" ca="1">INDEX(Lookup!$A$2:$A$10,RANDBETWEEN(1,9))</f>
        <v>Legal</v>
      </c>
      <c r="G198" s="16" t="str" cm="1">
        <f t="array" ref="G198" ca="1">_xlfn.LET(_xlpm.Roles,_xlfn._xlws.FILTER(Lookup!$P$2:$P$28,Lookup!$O$2:$O$28=F198),INDEX(_xlpm.Roles,RANDBETWEEN(1,ROWS(_xlpm.Roles))))</f>
        <v>Legal Executive</v>
      </c>
      <c r="H198" s="16" t="str" cm="1">
        <f t="array" ref="H198" ca="1">INDEX(Lookup!$B$2:$B$7,RANDBETWEEN(1,6))</f>
        <v>Cork</v>
      </c>
      <c r="I198" s="22">
        <f t="shared" ca="1" si="43"/>
        <v>44522</v>
      </c>
      <c r="J198" s="22" t="str">
        <f t="shared" ca="1" si="44"/>
        <v/>
      </c>
      <c r="K198" s="16" t="str">
        <f t="shared" ca="1" si="45"/>
        <v>Active</v>
      </c>
      <c r="L198" s="26">
        <f ca="1">_xlfn.XLOOKUP(G198,Lookup!$P$2:$P$28,Lookup!$Q$2:$Q$28)*(1+MIN(X198*3%,30%))</f>
        <v>58240</v>
      </c>
      <c r="M198" s="24">
        <f t="shared" ca="1" si="55"/>
        <v>4</v>
      </c>
      <c r="N198" s="24">
        <f t="shared" ca="1" si="46"/>
        <v>0</v>
      </c>
      <c r="O198" s="24">
        <f t="shared" ca="1" si="47"/>
        <v>12</v>
      </c>
      <c r="P198" s="24">
        <f t="shared" ca="1" si="48"/>
        <v>56</v>
      </c>
      <c r="Q198" s="16" t="str">
        <f t="shared" ca="1" si="49"/>
        <v>Promoted</v>
      </c>
      <c r="R198" s="16" t="str" cm="1">
        <f t="array" ref="R198" ca="1">INDEX(Lookup!$E$2:$E$6,RANDBETWEEN(1,5))</f>
        <v>Dipolma</v>
      </c>
      <c r="S198" s="16" t="str" cm="1">
        <f t="array" ref="S198" ca="1">INDEX(Lookup!$J$2:$J$11,RANDBETWEEN(1,10))</f>
        <v>Olivia Smith</v>
      </c>
      <c r="T198" s="16" t="str">
        <f t="shared" ca="1" si="50"/>
        <v>jamie.king@hranalytics.com</v>
      </c>
      <c r="U198" s="16" t="str">
        <f t="shared" ca="1" si="51"/>
        <v>0832888763</v>
      </c>
      <c r="V198" s="16" t="str" cm="1">
        <f t="array" ref="V198" ca="1">_xlfn.LET(_xlpm.r,RANDBETWEEN(1,100),_xlfn.IFS(_xlpm.r&lt;=70,"Full-Time",_xlpm.r&lt;=85,"Part-Time",_xlpm.r&lt;=95,"Contract",TRUE,"Intern"))</f>
        <v>Intern</v>
      </c>
      <c r="W198" s="16" cm="1">
        <f t="array" ref="W198" ca="1">IF(K198&lt;&gt;"Active",0,_xlfn.IFS(M198=5,L198*15%,M198=4,L198*10%,M198=3,L198*5%,M198=2,L198*2%,TRUE,0))</f>
        <v>0</v>
      </c>
      <c r="X198" s="24">
        <f t="shared" ca="1" si="52"/>
        <v>4</v>
      </c>
      <c r="Y198" s="24">
        <f t="shared" ca="1" si="53"/>
        <v>1</v>
      </c>
    </row>
    <row r="199" spans="1:25">
      <c r="A199" s="16" t="str">
        <f t="shared" si="54"/>
        <v>EMP198</v>
      </c>
      <c r="B199" s="16" t="str" cm="1">
        <f t="array" ref="B199" ca="1">IF(D199="Male",INDEX(Lookup!$L$2:$L$13,RANDBETWEEN(1,12)),IF(D199="Female",INDEX(Lookup!$M$2:$M$13,RANDBETWEEN(1,12)),INDEX(Lookup!$N$2:$N$13,RANDBETWEEN(1,12))))</f>
        <v>Ella</v>
      </c>
      <c r="C199" s="16" t="str" cm="1">
        <f t="array" ref="C199" ca="1">INDEX(Lookup!$K$2:$K$31,RANDBETWEEN(1,30))</f>
        <v>Thomas</v>
      </c>
      <c r="D199" s="16" t="str" cm="1">
        <f t="array" ref="D199" ca="1">INDEX(Lookup!$H$2:$H$4,RANDBETWEEN(1,3))</f>
        <v>Female</v>
      </c>
      <c r="E199" s="16">
        <f t="shared" ca="1" si="42"/>
        <v>36</v>
      </c>
      <c r="F199" s="16" t="str" cm="1">
        <f t="array" ref="F199" ca="1">INDEX(Lookup!$A$2:$A$10,RANDBETWEEN(1,9))</f>
        <v>Finance</v>
      </c>
      <c r="G199" s="16" t="str" cm="1">
        <f t="array" ref="G199" ca="1">_xlfn.LET(_xlpm.Roles,_xlfn._xlws.FILTER(Lookup!$P$2:$P$28,Lookup!$O$2:$O$28=F199),INDEX(_xlpm.Roles,RANDBETWEEN(1,ROWS(_xlpm.Roles))))</f>
        <v>Accountant</v>
      </c>
      <c r="H199" s="16" t="str" cm="1">
        <f t="array" ref="H199" ca="1">INDEX(Lookup!$B$2:$B$7,RANDBETWEEN(1,6))</f>
        <v>Galway</v>
      </c>
      <c r="I199" s="22">
        <f t="shared" ca="1" si="43"/>
        <v>43664</v>
      </c>
      <c r="J199" s="22" t="str">
        <f t="shared" ca="1" si="44"/>
        <v/>
      </c>
      <c r="K199" s="16" t="str">
        <f t="shared" ca="1" si="45"/>
        <v>Active</v>
      </c>
      <c r="L199" s="26">
        <f ca="1">_xlfn.XLOOKUP(G199,Lookup!$P$2:$P$28,Lookup!$Q$2:$Q$28)*(1+MIN(X199*3%,30%))</f>
        <v>51500</v>
      </c>
      <c r="M199" s="24">
        <f t="shared" ca="1" si="55"/>
        <v>5</v>
      </c>
      <c r="N199" s="24">
        <f t="shared" ca="1" si="46"/>
        <v>22</v>
      </c>
      <c r="O199" s="24">
        <f t="shared" ca="1" si="47"/>
        <v>0</v>
      </c>
      <c r="P199" s="24">
        <f t="shared" ca="1" si="48"/>
        <v>28</v>
      </c>
      <c r="Q199" s="16" t="str">
        <f t="shared" ca="1" si="49"/>
        <v>Not Promoted</v>
      </c>
      <c r="R199" s="16" t="str" cm="1">
        <f t="array" ref="R199" ca="1">INDEX(Lookup!$E$2:$E$6,RANDBETWEEN(1,5))</f>
        <v>Master's</v>
      </c>
      <c r="S199" s="16" t="str" cm="1">
        <f t="array" ref="S199" ca="1">INDEX(Lookup!$J$2:$J$11,RANDBETWEEN(1,10))</f>
        <v>Michael Brown</v>
      </c>
      <c r="T199" s="16" t="str">
        <f t="shared" ca="1" si="50"/>
        <v>ella.thomas@hranalytics.com</v>
      </c>
      <c r="U199" s="16" t="str">
        <f t="shared" ca="1" si="51"/>
        <v>0869747431</v>
      </c>
      <c r="V199" s="16" t="str" cm="1">
        <f t="array" ref="V199" ca="1">_xlfn.LET(_xlpm.r,RANDBETWEEN(1,100),_xlfn.IFS(_xlpm.r&lt;=70,"Full-Time",_xlpm.r&lt;=85,"Part-Time",_xlpm.r&lt;=95,"Contract",TRUE,"Intern"))</f>
        <v>Full-Time</v>
      </c>
      <c r="W199" s="16" cm="1">
        <f t="array" ref="W199" ca="1">IF(K199&lt;&gt;"Active",0,_xlfn.IFS(M199=5,L199*15%,M199=4,L199*10%,M199=3,L199*5%,M199=2,L199*2%,TRUE,0))</f>
        <v>0</v>
      </c>
      <c r="X199" s="24">
        <f t="shared" ca="1" si="52"/>
        <v>7</v>
      </c>
      <c r="Y199" s="24">
        <f t="shared" ca="1" si="53"/>
        <v>1</v>
      </c>
    </row>
    <row r="200" spans="1:25">
      <c r="A200" s="16" t="str">
        <f t="shared" si="54"/>
        <v>EMP199</v>
      </c>
      <c r="B200" s="16" t="str" cm="1">
        <f t="array" ref="B200" ca="1">IF(D200="Male",INDEX(Lookup!$L$2:$L$13,RANDBETWEEN(1,12)),IF(D200="Female",INDEX(Lookup!$M$2:$M$13,RANDBETWEEN(1,12)),INDEX(Lookup!$N$2:$N$13,RANDBETWEEN(1,12))))</f>
        <v>Ava</v>
      </c>
      <c r="C200" s="16" t="str" cm="1">
        <f t="array" ref="C200" ca="1">INDEX(Lookup!$K$2:$K$31,RANDBETWEEN(1,30))</f>
        <v>Scott</v>
      </c>
      <c r="D200" s="16" t="str" cm="1">
        <f t="array" ref="D200" ca="1">INDEX(Lookup!$H$2:$H$4,RANDBETWEEN(1,3))</f>
        <v>Female</v>
      </c>
      <c r="E200" s="16">
        <f t="shared" ca="1" si="42"/>
        <v>47</v>
      </c>
      <c r="F200" s="16" t="str" cm="1">
        <f t="array" ref="F200" ca="1">INDEX(Lookup!$A$2:$A$10,RANDBETWEEN(1,9))</f>
        <v>HR</v>
      </c>
      <c r="G200" s="16" t="str" cm="1">
        <f t="array" ref="G200" ca="1">_xlfn.LET(_xlpm.Roles,_xlfn._xlws.FILTER(Lookup!$P$2:$P$28,Lookup!$O$2:$O$28=F200),INDEX(_xlpm.Roles,RANDBETWEEN(1,ROWS(_xlpm.Roles))))</f>
        <v>HR Manager</v>
      </c>
      <c r="H200" s="16" t="str" cm="1">
        <f t="array" ref="H200" ca="1">INDEX(Lookup!$B$2:$B$7,RANDBETWEEN(1,6))</f>
        <v>Waterford</v>
      </c>
      <c r="I200" s="22">
        <f t="shared" ca="1" si="43"/>
        <v>45080</v>
      </c>
      <c r="J200" s="22">
        <f t="shared" ca="1" si="44"/>
        <v>46118</v>
      </c>
      <c r="K200" s="16" t="str">
        <f t="shared" ca="1" si="45"/>
        <v>Resigned</v>
      </c>
      <c r="L200" s="26">
        <f ca="1">_xlfn.XLOOKUP(G200,Lookup!$P$2:$P$28,Lookup!$Q$2:$Q$28)*(1+MIN(X200*3%,30%))</f>
        <v>70850</v>
      </c>
      <c r="M200" s="24">
        <f t="shared" ca="1" si="55"/>
        <v>4</v>
      </c>
      <c r="N200" s="24">
        <f t="shared" ca="1" si="46"/>
        <v>12</v>
      </c>
      <c r="O200" s="24">
        <f t="shared" ca="1" si="47"/>
        <v>2</v>
      </c>
      <c r="P200" s="24">
        <f t="shared" ca="1" si="48"/>
        <v>46</v>
      </c>
      <c r="Q200" s="16" t="str">
        <f t="shared" ca="1" si="49"/>
        <v>Promoted</v>
      </c>
      <c r="R200" s="16" t="str" cm="1">
        <f t="array" ref="R200" ca="1">INDEX(Lookup!$E$2:$E$6,RANDBETWEEN(1,5))</f>
        <v>Dipolma</v>
      </c>
      <c r="S200" s="16" t="str" cm="1">
        <f t="array" ref="S200" ca="1">INDEX(Lookup!$J$2:$J$11,RANDBETWEEN(1,10))</f>
        <v>Liam Byrne</v>
      </c>
      <c r="T200" s="16" t="str">
        <f t="shared" ca="1" si="50"/>
        <v>ava.scott@hranalytics.com</v>
      </c>
      <c r="U200" s="16" t="str">
        <f t="shared" ca="1" si="51"/>
        <v>0884636329</v>
      </c>
      <c r="V200" s="16" t="str" cm="1">
        <f t="array" ref="V200" ca="1">_xlfn.LET(_xlpm.r,RANDBETWEEN(1,100),_xlfn.IFS(_xlpm.r&lt;=70,"Full-Time",_xlpm.r&lt;=85,"Part-Time",_xlpm.r&lt;=95,"Contract",TRUE,"Intern"))</f>
        <v>Full-Time</v>
      </c>
      <c r="W200" s="16" cm="1">
        <f t="array" ref="W200" ca="1">IF(K200&lt;&gt;"Active",0,_xlfn.IFS(M200=5,L200*15%,M200=4,L200*10%,M200=3,L200*5%,M200=2,L200*2%,TRUE,0))</f>
        <v>0</v>
      </c>
      <c r="X200" s="24">
        <f t="shared" ca="1" si="52"/>
        <v>3</v>
      </c>
      <c r="Y200" s="24">
        <f t="shared" ca="1" si="53"/>
        <v>2</v>
      </c>
    </row>
    <row r="201" spans="1:25">
      <c r="A201" s="16" t="str">
        <f t="shared" si="54"/>
        <v>EMP200</v>
      </c>
      <c r="B201" s="16" t="str" cm="1">
        <f t="array" ref="B201" ca="1">IF(D201="Male",INDEX(Lookup!$L$2:$L$13,RANDBETWEEN(1,12)),IF(D201="Female",INDEX(Lookup!$M$2:$M$13,RANDBETWEEN(1,12)),INDEX(Lookup!$N$2:$N$13,RANDBETWEEN(1,12))))</f>
        <v>Jamie</v>
      </c>
      <c r="C201" s="16" t="str" cm="1">
        <f t="array" ref="C201" ca="1">INDEX(Lookup!$K$2:$K$31,RANDBETWEEN(1,30))</f>
        <v>Scott</v>
      </c>
      <c r="D201" s="16" t="str" cm="1">
        <f t="array" ref="D201" ca="1">INDEX(Lookup!$H$2:$H$4,RANDBETWEEN(1,3))</f>
        <v>Other</v>
      </c>
      <c r="E201" s="16">
        <f t="shared" ca="1" si="42"/>
        <v>29</v>
      </c>
      <c r="F201" s="16" t="str" cm="1">
        <f t="array" ref="F201" ca="1">INDEX(Lookup!$A$2:$A$10,RANDBETWEEN(1,9))</f>
        <v>HR</v>
      </c>
      <c r="G201" s="16" t="str" cm="1">
        <f t="array" ref="G201" ca="1">_xlfn.LET(_xlpm.Roles,_xlfn._xlws.FILTER(Lookup!$P$2:$P$28,Lookup!$O$2:$O$28=F201),INDEX(_xlpm.Roles,RANDBETWEEN(1,ROWS(_xlpm.Roles))))</f>
        <v>HR Manager</v>
      </c>
      <c r="H201" s="16" t="str" cm="1">
        <f t="array" ref="H201" ca="1">INDEX(Lookup!$B$2:$B$7,RANDBETWEEN(1,6))</f>
        <v>Limerick</v>
      </c>
      <c r="I201" s="22">
        <f t="shared" ca="1" si="43"/>
        <v>43151</v>
      </c>
      <c r="J201" s="22" t="str">
        <f t="shared" ca="1" si="44"/>
        <v/>
      </c>
      <c r="K201" s="16" t="str">
        <f t="shared" ca="1" si="45"/>
        <v>Active</v>
      </c>
      <c r="L201" s="26">
        <f ca="1">_xlfn.XLOOKUP(G201,Lookup!$P$2:$P$28,Lookup!$Q$2:$Q$28)*(1+MIN(X201*3%,30%))</f>
        <v>68900</v>
      </c>
      <c r="M201" s="24">
        <f t="shared" ca="1" si="55"/>
        <v>1</v>
      </c>
      <c r="N201" s="24">
        <f t="shared" ca="1" si="46"/>
        <v>11</v>
      </c>
      <c r="O201" s="24">
        <f t="shared" ca="1" si="47"/>
        <v>9</v>
      </c>
      <c r="P201" s="24">
        <f t="shared" ca="1" si="48"/>
        <v>14</v>
      </c>
      <c r="Q201" s="16" t="str">
        <f t="shared" ca="1" si="49"/>
        <v>Promoted</v>
      </c>
      <c r="R201" s="16" t="str" cm="1">
        <f t="array" ref="R201" ca="1">INDEX(Lookup!$E$2:$E$6,RANDBETWEEN(1,5))</f>
        <v>Master's</v>
      </c>
      <c r="S201" s="16" t="str" cm="1">
        <f t="array" ref="S201" ca="1">INDEX(Lookup!$J$2:$J$11,RANDBETWEEN(1,10))</f>
        <v>David Murphy</v>
      </c>
      <c r="T201" s="16" t="str">
        <f t="shared" ca="1" si="50"/>
        <v>jamie.scott@hranalytics.com</v>
      </c>
      <c r="U201" s="16" t="str">
        <f t="shared" ca="1" si="51"/>
        <v>0877954586</v>
      </c>
      <c r="V201" s="16" t="str" cm="1">
        <f t="array" ref="V201" ca="1">_xlfn.LET(_xlpm.r,RANDBETWEEN(1,100),_xlfn.IFS(_xlpm.r&lt;=70,"Full-Time",_xlpm.r&lt;=85,"Part-Time",_xlpm.r&lt;=95,"Contract",TRUE,"Intern"))</f>
        <v>Full-Time</v>
      </c>
      <c r="W201" s="16" cm="1">
        <f t="array" ref="W201" ca="1">IF(K201&lt;&gt;"Active",0,_xlfn.IFS(M201=5,L201*15%,M201=4,L201*10%,M201=3,L201*5%,M201=2,L201*2%,TRUE,0))</f>
        <v>0</v>
      </c>
      <c r="X201" s="24">
        <f t="shared" ca="1" si="52"/>
        <v>8</v>
      </c>
      <c r="Y201" s="24">
        <f t="shared" ca="1" si="53"/>
        <v>1</v>
      </c>
    </row>
    <row r="202" spans="1:25">
      <c r="A202" s="16" t="str">
        <f t="shared" si="54"/>
        <v>EMP201</v>
      </c>
      <c r="B202" s="16" t="str" cm="1">
        <f t="array" ref="B202" ca="1">IF(D202="Male",INDEX(Lookup!$L$2:$L$13,RANDBETWEEN(1,12)),IF(D202="Female",INDEX(Lookup!$M$2:$M$13,RANDBETWEEN(1,12)),INDEX(Lookup!$N$2:$N$13,RANDBETWEEN(1,12))))</f>
        <v>Skyler</v>
      </c>
      <c r="C202" s="16" t="str" cm="1">
        <f t="array" ref="C202" ca="1">INDEX(Lookup!$K$2:$K$31,RANDBETWEEN(1,30))</f>
        <v>Baker</v>
      </c>
      <c r="D202" s="16" t="str" cm="1">
        <f t="array" ref="D202" ca="1">INDEX(Lookup!$H$2:$H$4,RANDBETWEEN(1,3))</f>
        <v>Other</v>
      </c>
      <c r="E202" s="16">
        <f t="shared" ca="1" si="42"/>
        <v>54</v>
      </c>
      <c r="F202" s="16" t="str" cm="1">
        <f t="array" ref="F202" ca="1">INDEX(Lookup!$A$2:$A$10,RANDBETWEEN(1,9))</f>
        <v>Legal</v>
      </c>
      <c r="G202" s="16" t="str" cm="1">
        <f t="array" ref="G202" ca="1">_xlfn.LET(_xlpm.Roles,_xlfn._xlws.FILTER(Lookup!$P$2:$P$28,Lookup!$O$2:$O$28=F202),INDEX(_xlpm.Roles,RANDBETWEEN(1,ROWS(_xlpm.Roles))))</f>
        <v>Compliance Officer</v>
      </c>
      <c r="H202" s="16" t="str" cm="1">
        <f t="array" ref="H202" ca="1">INDEX(Lookup!$B$2:$B$7,RANDBETWEEN(1,6))</f>
        <v>Galway</v>
      </c>
      <c r="I202" s="22">
        <f t="shared" ca="1" si="43"/>
        <v>44702</v>
      </c>
      <c r="J202" s="22" t="str">
        <f t="shared" ca="1" si="44"/>
        <v/>
      </c>
      <c r="K202" s="16" t="str">
        <f t="shared" ca="1" si="45"/>
        <v>Active</v>
      </c>
      <c r="L202" s="26">
        <f ca="1">_xlfn.XLOOKUP(G202,Lookup!$P$2:$P$28,Lookup!$Q$2:$Q$28)*(1+MIN(X202*3%,30%))</f>
        <v>63600</v>
      </c>
      <c r="M202" s="24">
        <f t="shared" ca="1" si="55"/>
        <v>2</v>
      </c>
      <c r="N202" s="24">
        <f t="shared" ca="1" si="46"/>
        <v>28</v>
      </c>
      <c r="O202" s="24">
        <f t="shared" ca="1" si="47"/>
        <v>8</v>
      </c>
      <c r="P202" s="24">
        <f t="shared" ca="1" si="48"/>
        <v>1</v>
      </c>
      <c r="Q202" s="16" t="str">
        <f t="shared" ca="1" si="49"/>
        <v>Not Promoted</v>
      </c>
      <c r="R202" s="16" t="str" cm="1">
        <f t="array" ref="R202" ca="1">INDEX(Lookup!$E$2:$E$6,RANDBETWEEN(1,5))</f>
        <v>Dipolma</v>
      </c>
      <c r="S202" s="16" t="str" cm="1">
        <f t="array" ref="S202" ca="1">INDEX(Lookup!$J$2:$J$11,RANDBETWEEN(1,10))</f>
        <v>Emma Wilson</v>
      </c>
      <c r="T202" s="16" t="str">
        <f t="shared" ca="1" si="50"/>
        <v>skyler.baker@hranalytics.com</v>
      </c>
      <c r="U202" s="16" t="str">
        <f t="shared" ca="1" si="51"/>
        <v>0865847362</v>
      </c>
      <c r="V202" s="16" t="str" cm="1">
        <f t="array" ref="V202" ca="1">_xlfn.LET(_xlpm.r,RANDBETWEEN(1,100),_xlfn.IFS(_xlpm.r&lt;=70,"Full-Time",_xlpm.r&lt;=85,"Part-Time",_xlpm.r&lt;=95,"Contract",TRUE,"Intern"))</f>
        <v>Full-Time</v>
      </c>
      <c r="W202" s="16" cm="1">
        <f t="array" ref="W202" ca="1">IF(K202&lt;&gt;"Active",0,_xlfn.IFS(M202=5,L202*15%,M202=4,L202*10%,M202=3,L202*5%,M202=2,L202*2%,TRUE,0))</f>
        <v>0</v>
      </c>
      <c r="X202" s="24">
        <f t="shared" ca="1" si="52"/>
        <v>4</v>
      </c>
      <c r="Y202" s="24">
        <f t="shared" ca="1" si="53"/>
        <v>2</v>
      </c>
    </row>
    <row r="203" spans="1:25">
      <c r="A203" s="16" t="str">
        <f t="shared" si="54"/>
        <v>EMP202</v>
      </c>
      <c r="B203" s="16" t="str" cm="1">
        <f t="array" ref="B203" ca="1">IF(D203="Male",INDEX(Lookup!$L$2:$L$13,RANDBETWEEN(1,12)),IF(D203="Female",INDEX(Lookup!$M$2:$M$13,RANDBETWEEN(1,12)),INDEX(Lookup!$N$2:$N$13,RANDBETWEEN(1,12))))</f>
        <v>Ryan</v>
      </c>
      <c r="C203" s="16" t="str" cm="1">
        <f t="array" ref="C203" ca="1">INDEX(Lookup!$K$2:$K$31,RANDBETWEEN(1,30))</f>
        <v>King</v>
      </c>
      <c r="D203" s="16" t="str" cm="1">
        <f t="array" ref="D203" ca="1">INDEX(Lookup!$H$2:$H$4,RANDBETWEEN(1,3))</f>
        <v>Male</v>
      </c>
      <c r="E203" s="16">
        <f t="shared" ca="1" si="42"/>
        <v>56</v>
      </c>
      <c r="F203" s="16" t="str" cm="1">
        <f t="array" ref="F203" ca="1">INDEX(Lookup!$A$2:$A$10,RANDBETWEEN(1,9))</f>
        <v>Legal</v>
      </c>
      <c r="G203" s="16" t="str" cm="1">
        <f t="array" ref="G203" ca="1">_xlfn.LET(_xlpm.Roles,_xlfn._xlws.FILTER(Lookup!$P$2:$P$28,Lookup!$O$2:$O$28=F203),INDEX(_xlpm.Roles,RANDBETWEEN(1,ROWS(_xlpm.Roles))))</f>
        <v>Legal Assistant</v>
      </c>
      <c r="H203" s="16" t="str" cm="1">
        <f t="array" ref="H203" ca="1">INDEX(Lookup!$B$2:$B$7,RANDBETWEEN(1,6))</f>
        <v>Waterford</v>
      </c>
      <c r="I203" s="22">
        <f t="shared" ca="1" si="43"/>
        <v>45267</v>
      </c>
      <c r="J203" s="22" t="str">
        <f t="shared" ca="1" si="44"/>
        <v/>
      </c>
      <c r="K203" s="16" t="str">
        <f t="shared" ca="1" si="45"/>
        <v>Active</v>
      </c>
      <c r="L203" s="26">
        <f ca="1">_xlfn.XLOOKUP(G203,Lookup!$P$2:$P$28,Lookup!$Q$2:$Q$28)*(1+MIN(X203*3%,30%))</f>
        <v>44520</v>
      </c>
      <c r="M203" s="24">
        <f t="shared" ca="1" si="55"/>
        <v>4</v>
      </c>
      <c r="N203" s="24">
        <f t="shared" ca="1" si="46"/>
        <v>40</v>
      </c>
      <c r="O203" s="24">
        <f t="shared" ca="1" si="47"/>
        <v>8</v>
      </c>
      <c r="P203" s="24">
        <f t="shared" ca="1" si="48"/>
        <v>40</v>
      </c>
      <c r="Q203" s="16" t="str">
        <f t="shared" ca="1" si="49"/>
        <v>Promoted</v>
      </c>
      <c r="R203" s="16" t="str" cm="1">
        <f t="array" ref="R203" ca="1">INDEX(Lookup!$E$2:$E$6,RANDBETWEEN(1,5))</f>
        <v>Master's</v>
      </c>
      <c r="S203" s="16" t="str" cm="1">
        <f t="array" ref="S203" ca="1">INDEX(Lookup!$J$2:$J$11,RANDBETWEEN(1,10))</f>
        <v>Emma Wilson</v>
      </c>
      <c r="T203" s="16" t="str">
        <f t="shared" ca="1" si="50"/>
        <v>ryan.king@hranalytics.com</v>
      </c>
      <c r="U203" s="16" t="str">
        <f t="shared" ca="1" si="51"/>
        <v>0852818585</v>
      </c>
      <c r="V203" s="16" t="str" cm="1">
        <f t="array" ref="V203" ca="1">_xlfn.LET(_xlpm.r,RANDBETWEEN(1,100),_xlfn.IFS(_xlpm.r&lt;=70,"Full-Time",_xlpm.r&lt;=85,"Part-Time",_xlpm.r&lt;=95,"Contract",TRUE,"Intern"))</f>
        <v>Full-Time</v>
      </c>
      <c r="W203" s="16" cm="1">
        <f t="array" ref="W203" ca="1">IF(K203&lt;&gt;"Active",0,_xlfn.IFS(M203=5,L203*15%,M203=4,L203*10%,M203=3,L203*5%,M203=2,L203*2%,TRUE,0))</f>
        <v>890.4</v>
      </c>
      <c r="X203" s="24">
        <f t="shared" ca="1" si="52"/>
        <v>2</v>
      </c>
      <c r="Y203" s="24">
        <f t="shared" ca="1" si="53"/>
        <v>2</v>
      </c>
    </row>
    <row r="204" spans="1:25">
      <c r="A204" s="16" t="str">
        <f t="shared" si="54"/>
        <v>EMP203</v>
      </c>
      <c r="B204" s="16" t="str" cm="1">
        <f t="array" ref="B204" ca="1">IF(D204="Male",INDEX(Lookup!$L$2:$L$13,RANDBETWEEN(1,12)),IF(D204="Female",INDEX(Lookup!$M$2:$M$13,RANDBETWEEN(1,12)),INDEX(Lookup!$N$2:$N$13,RANDBETWEEN(1,12))))</f>
        <v>Amelia</v>
      </c>
      <c r="C204" s="16" t="str" cm="1">
        <f t="array" ref="C204" ca="1">INDEX(Lookup!$K$2:$K$31,RANDBETWEEN(1,30))</f>
        <v>King</v>
      </c>
      <c r="D204" s="16" t="str" cm="1">
        <f t="array" ref="D204" ca="1">INDEX(Lookup!$H$2:$H$4,RANDBETWEEN(1,3))</f>
        <v>Female</v>
      </c>
      <c r="E204" s="16">
        <f t="shared" ca="1" si="42"/>
        <v>53</v>
      </c>
      <c r="F204" s="16" t="str" cm="1">
        <f t="array" ref="F204" ca="1">INDEX(Lookup!$A$2:$A$10,RANDBETWEEN(1,9))</f>
        <v>Customer Support</v>
      </c>
      <c r="G204" s="16" t="str" cm="1">
        <f t="array" ref="G204" ca="1">_xlfn.LET(_xlpm.Roles,_xlfn._xlws.FILTER(Lookup!$P$2:$P$28,Lookup!$O$2:$O$28=F204),INDEX(_xlpm.Roles,RANDBETWEEN(1,ROWS(_xlpm.Roles))))</f>
        <v>Customer Success Specialist</v>
      </c>
      <c r="H204" s="16" t="str" cm="1">
        <f t="array" ref="H204" ca="1">INDEX(Lookup!$B$2:$B$7,RANDBETWEEN(1,6))</f>
        <v>Galway</v>
      </c>
      <c r="I204" s="22">
        <f t="shared" ca="1" si="43"/>
        <v>44380</v>
      </c>
      <c r="J204" s="22" t="str">
        <f t="shared" ca="1" si="44"/>
        <v/>
      </c>
      <c r="K204" s="16" t="str">
        <f t="shared" ca="1" si="45"/>
        <v>Active</v>
      </c>
      <c r="L204" s="26">
        <f ca="1">_xlfn.XLOOKUP(G204,Lookup!$P$2:$P$28,Lookup!$Q$2:$Q$28)*(1+MIN(X204*3%,30%))</f>
        <v>42000</v>
      </c>
      <c r="M204" s="24">
        <f t="shared" ca="1" si="55"/>
        <v>2</v>
      </c>
      <c r="N204" s="24">
        <f t="shared" ca="1" si="46"/>
        <v>11</v>
      </c>
      <c r="O204" s="24">
        <f t="shared" ca="1" si="47"/>
        <v>6</v>
      </c>
      <c r="P204" s="24">
        <f t="shared" ca="1" si="48"/>
        <v>50</v>
      </c>
      <c r="Q204" s="16" t="str">
        <f t="shared" ca="1" si="49"/>
        <v>Not Promoted</v>
      </c>
      <c r="R204" s="16" t="str" cm="1">
        <f t="array" ref="R204" ca="1">INDEX(Lookup!$E$2:$E$6,RANDBETWEEN(1,5))</f>
        <v>Bachelor's</v>
      </c>
      <c r="S204" s="16" t="str" cm="1">
        <f t="array" ref="S204" ca="1">INDEX(Lookup!$J$2:$J$11,RANDBETWEEN(1,10))</f>
        <v>Grace O'Connor</v>
      </c>
      <c r="T204" s="16" t="str">
        <f t="shared" ca="1" si="50"/>
        <v>amelia.king@hranalytics.com</v>
      </c>
      <c r="U204" s="16" t="str">
        <f t="shared" ca="1" si="51"/>
        <v>0848261474</v>
      </c>
      <c r="V204" s="16" t="str" cm="1">
        <f t="array" ref="V204" ca="1">_xlfn.LET(_xlpm.r,RANDBETWEEN(1,100),_xlfn.IFS(_xlpm.r&lt;=70,"Full-Time",_xlpm.r&lt;=85,"Part-Time",_xlpm.r&lt;=95,"Contract",TRUE,"Intern"))</f>
        <v>Contract</v>
      </c>
      <c r="W204" s="16" cm="1">
        <f t="array" ref="W204" ca="1">IF(K204&lt;&gt;"Active",0,_xlfn.IFS(M204=5,L204*15%,M204=4,L204*10%,M204=3,L204*5%,M204=2,L204*2%,TRUE,0))</f>
        <v>0</v>
      </c>
      <c r="X204" s="24">
        <f t="shared" ca="1" si="52"/>
        <v>5</v>
      </c>
      <c r="Y204" s="24">
        <f t="shared" ca="1" si="53"/>
        <v>3</v>
      </c>
    </row>
    <row r="205" spans="1:25">
      <c r="A205" s="16" t="str">
        <f t="shared" si="54"/>
        <v>EMP204</v>
      </c>
      <c r="B205" s="16" t="str" cm="1">
        <f t="array" ref="B205" ca="1">IF(D205="Male",INDEX(Lookup!$L$2:$L$13,RANDBETWEEN(1,12)),IF(D205="Female",INDEX(Lookup!$M$2:$M$13,RANDBETWEEN(1,12)),INDEX(Lookup!$N$2:$N$13,RANDBETWEEN(1,12))))</f>
        <v>Jordan</v>
      </c>
      <c r="C205" s="16" t="str" cm="1">
        <f t="array" ref="C205" ca="1">INDEX(Lookup!$K$2:$K$31,RANDBETWEEN(1,30))</f>
        <v>Allen</v>
      </c>
      <c r="D205" s="16" t="str" cm="1">
        <f t="array" ref="D205" ca="1">INDEX(Lookup!$H$2:$H$4,RANDBETWEEN(1,3))</f>
        <v>Other</v>
      </c>
      <c r="E205" s="16">
        <f t="shared" ca="1" si="42"/>
        <v>51</v>
      </c>
      <c r="F205" s="16" t="str" cm="1">
        <f t="array" ref="F205" ca="1">INDEX(Lookup!$A$2:$A$10,RANDBETWEEN(1,9))</f>
        <v>Operations</v>
      </c>
      <c r="G205" s="16" t="str" cm="1">
        <f t="array" ref="G205" ca="1">_xlfn.LET(_xlpm.Roles,_xlfn._xlws.FILTER(Lookup!$P$2:$P$28,Lookup!$O$2:$O$28=F205),INDEX(_xlpm.Roles,RANDBETWEEN(1,ROWS(_xlpm.Roles))))</f>
        <v>Operations Coordinator</v>
      </c>
      <c r="H205" s="16" t="str" cm="1">
        <f t="array" ref="H205" ca="1">INDEX(Lookup!$B$2:$B$7,RANDBETWEEN(1,6))</f>
        <v>Dublin</v>
      </c>
      <c r="I205" s="22">
        <f t="shared" ca="1" si="43"/>
        <v>44743</v>
      </c>
      <c r="J205" s="22" t="str">
        <f t="shared" ca="1" si="44"/>
        <v/>
      </c>
      <c r="K205" s="16" t="str">
        <f t="shared" ca="1" si="45"/>
        <v>Active</v>
      </c>
      <c r="L205" s="26">
        <f ca="1">_xlfn.XLOOKUP(G205,Lookup!$P$2:$P$28,Lookup!$Q$2:$Q$28)*(1+MIN(X205*3%,30%))</f>
        <v>53100</v>
      </c>
      <c r="M205" s="24">
        <f t="shared" ca="1" si="55"/>
        <v>1</v>
      </c>
      <c r="N205" s="24">
        <f t="shared" ca="1" si="46"/>
        <v>69</v>
      </c>
      <c r="O205" s="24">
        <f t="shared" ca="1" si="47"/>
        <v>10</v>
      </c>
      <c r="P205" s="24">
        <f t="shared" ca="1" si="48"/>
        <v>24</v>
      </c>
      <c r="Q205" s="16" t="str">
        <f t="shared" ca="1" si="49"/>
        <v>Promoted</v>
      </c>
      <c r="R205" s="16" t="str" cm="1">
        <f t="array" ref="R205" ca="1">INDEX(Lookup!$E$2:$E$6,RANDBETWEEN(1,5))</f>
        <v>High School</v>
      </c>
      <c r="S205" s="16" t="str" cm="1">
        <f t="array" ref="S205" ca="1">INDEX(Lookup!$J$2:$J$11,RANDBETWEEN(1,10))</f>
        <v>Olivia Smith</v>
      </c>
      <c r="T205" s="16" t="str">
        <f t="shared" ca="1" si="50"/>
        <v>jordan.allen@hranalytics.com</v>
      </c>
      <c r="U205" s="16" t="str">
        <f t="shared" ca="1" si="51"/>
        <v>0845190439</v>
      </c>
      <c r="V205" s="16" t="str" cm="1">
        <f t="array" ref="V205" ca="1">_xlfn.LET(_xlpm.r,RANDBETWEEN(1,100),_xlfn.IFS(_xlpm.r&lt;=70,"Full-Time",_xlpm.r&lt;=85,"Part-Time",_xlpm.r&lt;=95,"Contract",TRUE,"Intern"))</f>
        <v>Intern</v>
      </c>
      <c r="W205" s="16" cm="1">
        <f t="array" ref="W205" ca="1">IF(K205&lt;&gt;"Active",0,_xlfn.IFS(M205=5,L205*15%,M205=4,L205*10%,M205=3,L205*5%,M205=2,L205*2%,TRUE,0))</f>
        <v>0</v>
      </c>
      <c r="X205" s="24">
        <f t="shared" ca="1" si="52"/>
        <v>4</v>
      </c>
      <c r="Y205" s="24">
        <f t="shared" ca="1" si="53"/>
        <v>2</v>
      </c>
    </row>
    <row r="206" spans="1:25">
      <c r="A206" s="16" t="str">
        <f t="shared" si="54"/>
        <v>EMP205</v>
      </c>
      <c r="B206" s="16" t="str" cm="1">
        <f t="array" ref="B206" ca="1">IF(D206="Male",INDEX(Lookup!$L$2:$L$13,RANDBETWEEN(1,12)),IF(D206="Female",INDEX(Lookup!$M$2:$M$13,RANDBETWEEN(1,12)),INDEX(Lookup!$N$2:$N$13,RANDBETWEEN(1,12))))</f>
        <v>Casey</v>
      </c>
      <c r="C206" s="16" t="str" cm="1">
        <f t="array" ref="C206" ca="1">INDEX(Lookup!$K$2:$K$31,RANDBETWEEN(1,30))</f>
        <v>Johnson</v>
      </c>
      <c r="D206" s="16" t="str" cm="1">
        <f t="array" ref="D206" ca="1">INDEX(Lookup!$H$2:$H$4,RANDBETWEEN(1,3))</f>
        <v>Other</v>
      </c>
      <c r="E206" s="16">
        <f t="shared" ca="1" si="42"/>
        <v>32</v>
      </c>
      <c r="F206" s="16" t="str" cm="1">
        <f t="array" ref="F206" ca="1">INDEX(Lookup!$A$2:$A$10,RANDBETWEEN(1,9))</f>
        <v>IT</v>
      </c>
      <c r="G206" s="16" t="str" cm="1">
        <f t="array" ref="G206" ca="1">_xlfn.LET(_xlpm.Roles,_xlfn._xlws.FILTER(Lookup!$P$2:$P$28,Lookup!$O$2:$O$28=F206),INDEX(_xlpm.Roles,RANDBETWEEN(1,ROWS(_xlpm.Roles))))</f>
        <v>Data Analyst</v>
      </c>
      <c r="H206" s="16" t="str" cm="1">
        <f t="array" ref="H206" ca="1">INDEX(Lookup!$B$2:$B$7,RANDBETWEEN(1,6))</f>
        <v>Galway</v>
      </c>
      <c r="I206" s="22">
        <f t="shared" ca="1" si="43"/>
        <v>44442</v>
      </c>
      <c r="J206" s="22" t="str">
        <f t="shared" ca="1" si="44"/>
        <v/>
      </c>
      <c r="K206" s="16" t="str">
        <f t="shared" ca="1" si="45"/>
        <v>Active</v>
      </c>
      <c r="L206" s="26">
        <f ca="1">_xlfn.XLOOKUP(G206,Lookup!$P$2:$P$28,Lookup!$Q$2:$Q$28)*(1+MIN(X206*3%,30%))</f>
        <v>63250</v>
      </c>
      <c r="M206" s="24">
        <f t="shared" ca="1" si="55"/>
        <v>3</v>
      </c>
      <c r="N206" s="24">
        <f t="shared" ca="1" si="46"/>
        <v>36</v>
      </c>
      <c r="O206" s="24">
        <f t="shared" ca="1" si="47"/>
        <v>18</v>
      </c>
      <c r="P206" s="24">
        <f t="shared" ca="1" si="48"/>
        <v>7</v>
      </c>
      <c r="Q206" s="16" t="str">
        <f t="shared" ca="1" si="49"/>
        <v>Promoted</v>
      </c>
      <c r="R206" s="16" t="str" cm="1">
        <f t="array" ref="R206" ca="1">INDEX(Lookup!$E$2:$E$6,RANDBETWEEN(1,5))</f>
        <v>Master's</v>
      </c>
      <c r="S206" s="16" t="str" cm="1">
        <f t="array" ref="S206" ca="1">INDEX(Lookup!$J$2:$J$11,RANDBETWEEN(1,10))</f>
        <v>Olivia Smith</v>
      </c>
      <c r="T206" s="16" t="str">
        <f t="shared" ca="1" si="50"/>
        <v>casey.johnson@hranalytics.com</v>
      </c>
      <c r="U206" s="16" t="str">
        <f t="shared" ca="1" si="51"/>
        <v>0857678705</v>
      </c>
      <c r="V206" s="16" t="str" cm="1">
        <f t="array" ref="V206" ca="1">_xlfn.LET(_xlpm.r,RANDBETWEEN(1,100),_xlfn.IFS(_xlpm.r&lt;=70,"Full-Time",_xlpm.r&lt;=85,"Part-Time",_xlpm.r&lt;=95,"Contract",TRUE,"Intern"))</f>
        <v>Full-Time</v>
      </c>
      <c r="W206" s="16" cm="1">
        <f t="array" ref="W206" ca="1">IF(K206&lt;&gt;"Active",0,_xlfn.IFS(M206=5,L206*15%,M206=4,L206*10%,M206=3,L206*5%,M206=2,L206*2%,TRUE,0))</f>
        <v>0</v>
      </c>
      <c r="X206" s="24">
        <f t="shared" ca="1" si="52"/>
        <v>4</v>
      </c>
      <c r="Y206" s="24">
        <f t="shared" ca="1" si="53"/>
        <v>1</v>
      </c>
    </row>
    <row r="207" spans="1:25">
      <c r="A207" s="16" t="str">
        <f t="shared" si="54"/>
        <v>EMP206</v>
      </c>
      <c r="B207" s="16" t="str" cm="1">
        <f t="array" ref="B207" ca="1">IF(D207="Male",INDEX(Lookup!$L$2:$L$13,RANDBETWEEN(1,12)),IF(D207="Female",INDEX(Lookup!$M$2:$M$13,RANDBETWEEN(1,12)),INDEX(Lookup!$N$2:$N$13,RANDBETWEEN(1,12))))</f>
        <v>Grace</v>
      </c>
      <c r="C207" s="16" t="str" cm="1">
        <f t="array" ref="C207" ca="1">INDEX(Lookup!$K$2:$K$31,RANDBETWEEN(1,30))</f>
        <v>Murphy</v>
      </c>
      <c r="D207" s="16" t="str" cm="1">
        <f t="array" ref="D207" ca="1">INDEX(Lookup!$H$2:$H$4,RANDBETWEEN(1,3))</f>
        <v>Female</v>
      </c>
      <c r="E207" s="16">
        <f t="shared" ca="1" si="42"/>
        <v>33</v>
      </c>
      <c r="F207" s="16" t="str" cm="1">
        <f t="array" ref="F207" ca="1">INDEX(Lookup!$A$2:$A$10,RANDBETWEEN(1,9))</f>
        <v>IT</v>
      </c>
      <c r="G207" s="16" t="str" cm="1">
        <f t="array" ref="G207" ca="1">_xlfn.LET(_xlpm.Roles,_xlfn._xlws.FILTER(Lookup!$P$2:$P$28,Lookup!$O$2:$O$28=F207),INDEX(_xlpm.Roles,RANDBETWEEN(1,ROWS(_xlpm.Roles))))</f>
        <v>Data Analyst</v>
      </c>
      <c r="H207" s="16" t="str" cm="1">
        <f t="array" ref="H207" ca="1">INDEX(Lookup!$B$2:$B$7,RANDBETWEEN(1,6))</f>
        <v>Belfast</v>
      </c>
      <c r="I207" s="22">
        <f t="shared" ca="1" si="43"/>
        <v>44145</v>
      </c>
      <c r="J207" s="22">
        <f t="shared" ca="1" si="44"/>
        <v>45529</v>
      </c>
      <c r="K207" s="16" t="str">
        <f t="shared" ca="1" si="45"/>
        <v>Resigned</v>
      </c>
      <c r="L207" s="26">
        <f ca="1">_xlfn.XLOOKUP(G207,Lookup!$P$2:$P$28,Lookup!$Q$2:$Q$28)*(1+MIN(X207*3%,30%))</f>
        <v>63250</v>
      </c>
      <c r="M207" s="24">
        <f t="shared" ca="1" si="55"/>
        <v>1</v>
      </c>
      <c r="N207" s="24">
        <f t="shared" ca="1" si="46"/>
        <v>18</v>
      </c>
      <c r="O207" s="24">
        <f t="shared" ca="1" si="47"/>
        <v>18</v>
      </c>
      <c r="P207" s="24">
        <f t="shared" ca="1" si="48"/>
        <v>5</v>
      </c>
      <c r="Q207" s="16" t="str">
        <f t="shared" ca="1" si="49"/>
        <v>Not Promoted</v>
      </c>
      <c r="R207" s="16" t="str" cm="1">
        <f t="array" ref="R207" ca="1">INDEX(Lookup!$E$2:$E$6,RANDBETWEEN(1,5))</f>
        <v>Bachelor's</v>
      </c>
      <c r="S207" s="16" t="str" cm="1">
        <f t="array" ref="S207" ca="1">INDEX(Lookup!$J$2:$J$11,RANDBETWEEN(1,10))</f>
        <v>Grace O'Connor</v>
      </c>
      <c r="T207" s="16" t="str">
        <f t="shared" ca="1" si="50"/>
        <v>grace.murphy@hranalytics.com</v>
      </c>
      <c r="U207" s="16" t="str">
        <f t="shared" ca="1" si="51"/>
        <v>0833683995</v>
      </c>
      <c r="V207" s="16" t="str" cm="1">
        <f t="array" ref="V207" ca="1">_xlfn.LET(_xlpm.r,RANDBETWEEN(1,100),_xlfn.IFS(_xlpm.r&lt;=70,"Full-Time",_xlpm.r&lt;=85,"Part-Time",_xlpm.r&lt;=95,"Contract",TRUE,"Intern"))</f>
        <v>Full-Time</v>
      </c>
      <c r="W207" s="16" cm="1">
        <f t="array" ref="W207" ca="1">IF(K207&lt;&gt;"Active",0,_xlfn.IFS(M207=5,L207*15%,M207=4,L207*10%,M207=3,L207*5%,M207=2,L207*2%,TRUE,0))</f>
        <v>0</v>
      </c>
      <c r="X207" s="24">
        <f t="shared" ca="1" si="52"/>
        <v>5</v>
      </c>
      <c r="Y207" s="24">
        <f t="shared" ca="1" si="53"/>
        <v>2</v>
      </c>
    </row>
    <row r="208" spans="1:25">
      <c r="A208" s="16" t="str">
        <f t="shared" si="54"/>
        <v>EMP207</v>
      </c>
      <c r="B208" s="16" t="str" cm="1">
        <f t="array" ref="B208" ca="1">IF(D208="Male",INDEX(Lookup!$L$2:$L$13,RANDBETWEEN(1,12)),IF(D208="Female",INDEX(Lookup!$M$2:$M$13,RANDBETWEEN(1,12)),INDEX(Lookup!$N$2:$N$13,RANDBETWEEN(1,12))))</f>
        <v>John</v>
      </c>
      <c r="C208" s="16" t="str" cm="1">
        <f t="array" ref="C208" ca="1">INDEX(Lookup!$K$2:$K$31,RANDBETWEEN(1,30))</f>
        <v>King</v>
      </c>
      <c r="D208" s="16" t="str" cm="1">
        <f t="array" ref="D208" ca="1">INDEX(Lookup!$H$2:$H$4,RANDBETWEEN(1,3))</f>
        <v>Male</v>
      </c>
      <c r="E208" s="16">
        <f t="shared" ca="1" si="42"/>
        <v>51</v>
      </c>
      <c r="F208" s="16" t="str" cm="1">
        <f t="array" ref="F208" ca="1">INDEX(Lookup!$A$2:$A$10,RANDBETWEEN(1,9))</f>
        <v>Marketing</v>
      </c>
      <c r="G208" s="16" t="str" cm="1">
        <f t="array" ref="G208" ca="1">_xlfn.LET(_xlpm.Roles,_xlfn._xlws.FILTER(Lookup!$P$2:$P$28,Lookup!$O$2:$O$28=F208),INDEX(_xlpm.Roles,RANDBETWEEN(1,ROWS(_xlpm.Roles))))</f>
        <v>Brand Executive</v>
      </c>
      <c r="H208" s="16" t="str" cm="1">
        <f t="array" ref="H208" ca="1">INDEX(Lookup!$B$2:$B$7,RANDBETWEEN(1,6))</f>
        <v>Waterford</v>
      </c>
      <c r="I208" s="22">
        <f t="shared" ca="1" si="43"/>
        <v>44177</v>
      </c>
      <c r="J208" s="22" t="str">
        <f t="shared" ca="1" si="44"/>
        <v/>
      </c>
      <c r="K208" s="16" t="str">
        <f t="shared" ca="1" si="45"/>
        <v>Active</v>
      </c>
      <c r="L208" s="26">
        <f ca="1">_xlfn.XLOOKUP(G208,Lookup!$P$2:$P$28,Lookup!$Q$2:$Q$28)*(1+MIN(X208*3%,30%))</f>
        <v>57040</v>
      </c>
      <c r="M208" s="24">
        <f t="shared" ca="1" si="55"/>
        <v>5</v>
      </c>
      <c r="N208" s="24">
        <f t="shared" ca="1" si="46"/>
        <v>73</v>
      </c>
      <c r="O208" s="24">
        <f t="shared" ca="1" si="47"/>
        <v>19</v>
      </c>
      <c r="P208" s="24">
        <f t="shared" ca="1" si="48"/>
        <v>33</v>
      </c>
      <c r="Q208" s="16" t="str">
        <f t="shared" ca="1" si="49"/>
        <v>Promoted</v>
      </c>
      <c r="R208" s="16" t="str" cm="1">
        <f t="array" ref="R208" ca="1">INDEX(Lookup!$E$2:$E$6,RANDBETWEEN(1,5))</f>
        <v>Dipolma</v>
      </c>
      <c r="S208" s="16" t="str" cm="1">
        <f t="array" ref="S208" ca="1">INDEX(Lookup!$J$2:$J$11,RANDBETWEEN(1,10))</f>
        <v>Emma Wilson</v>
      </c>
      <c r="T208" s="16" t="str">
        <f t="shared" ca="1" si="50"/>
        <v>john.king@hranalytics.com</v>
      </c>
      <c r="U208" s="16" t="str">
        <f t="shared" ca="1" si="51"/>
        <v>0895572590</v>
      </c>
      <c r="V208" s="16" t="str" cm="1">
        <f t="array" ref="V208" ca="1">_xlfn.LET(_xlpm.r,RANDBETWEEN(1,100),_xlfn.IFS(_xlpm.r&lt;=70,"Full-Time",_xlpm.r&lt;=85,"Part-Time",_xlpm.r&lt;=95,"Contract",TRUE,"Intern"))</f>
        <v>Full-Time</v>
      </c>
      <c r="W208" s="16" cm="1">
        <f t="array" ref="W208" ca="1">IF(K208&lt;&gt;"Active",0,_xlfn.IFS(M208=5,L208*15%,M208=4,L208*10%,M208=3,L208*5%,M208=2,L208*2%,TRUE,0))</f>
        <v>8556</v>
      </c>
      <c r="X208" s="24">
        <f t="shared" ca="1" si="52"/>
        <v>5</v>
      </c>
      <c r="Y208" s="24">
        <f t="shared" ca="1" si="53"/>
        <v>2</v>
      </c>
    </row>
    <row r="209" spans="1:25">
      <c r="A209" s="16" t="str">
        <f t="shared" si="54"/>
        <v>EMP208</v>
      </c>
      <c r="B209" s="16" t="str" cm="1">
        <f t="array" ref="B209" ca="1">IF(D209="Male",INDEX(Lookup!$L$2:$L$13,RANDBETWEEN(1,12)),IF(D209="Female",INDEX(Lookup!$M$2:$M$13,RANDBETWEEN(1,12)),INDEX(Lookup!$N$2:$N$13,RANDBETWEEN(1,12))))</f>
        <v>Cameron</v>
      </c>
      <c r="C209" s="16" t="str" cm="1">
        <f t="array" ref="C209" ca="1">INDEX(Lookup!$K$2:$K$31,RANDBETWEEN(1,30))</f>
        <v>White</v>
      </c>
      <c r="D209" s="16" t="str" cm="1">
        <f t="array" ref="D209" ca="1">INDEX(Lookup!$H$2:$H$4,RANDBETWEEN(1,3))</f>
        <v>Other</v>
      </c>
      <c r="E209" s="16">
        <f t="shared" ca="1" si="42"/>
        <v>58</v>
      </c>
      <c r="F209" s="16" t="str" cm="1">
        <f t="array" ref="F209" ca="1">INDEX(Lookup!$A$2:$A$10,RANDBETWEEN(1,9))</f>
        <v>Legal</v>
      </c>
      <c r="G209" s="16" t="str" cm="1">
        <f t="array" ref="G209" ca="1">_xlfn.LET(_xlpm.Roles,_xlfn._xlws.FILTER(Lookup!$P$2:$P$28,Lookup!$O$2:$O$28=F209),INDEX(_xlpm.Roles,RANDBETWEEN(1,ROWS(_xlpm.Roles))))</f>
        <v>Legal Assistant</v>
      </c>
      <c r="H209" s="16" t="str" cm="1">
        <f t="array" ref="H209" ca="1">INDEX(Lookup!$B$2:$B$7,RANDBETWEEN(1,6))</f>
        <v>Galway</v>
      </c>
      <c r="I209" s="22">
        <f t="shared" ca="1" si="43"/>
        <v>44588</v>
      </c>
      <c r="J209" s="22" t="str">
        <f t="shared" ca="1" si="44"/>
        <v/>
      </c>
      <c r="K209" s="16" t="str">
        <f t="shared" ca="1" si="45"/>
        <v>Active</v>
      </c>
      <c r="L209" s="26">
        <f ca="1">_xlfn.XLOOKUP(G209,Lookup!$P$2:$P$28,Lookup!$Q$2:$Q$28)*(1+MIN(X209*3%,30%))</f>
        <v>45780</v>
      </c>
      <c r="M209" s="24">
        <f t="shared" ca="1" si="55"/>
        <v>1</v>
      </c>
      <c r="N209" s="24">
        <f t="shared" ca="1" si="46"/>
        <v>20</v>
      </c>
      <c r="O209" s="24">
        <f t="shared" ca="1" si="47"/>
        <v>17</v>
      </c>
      <c r="P209" s="24">
        <f t="shared" ca="1" si="48"/>
        <v>58</v>
      </c>
      <c r="Q209" s="16" t="str">
        <f t="shared" ca="1" si="49"/>
        <v>Promoted</v>
      </c>
      <c r="R209" s="16" t="str" cm="1">
        <f t="array" ref="R209" ca="1">INDEX(Lookup!$E$2:$E$6,RANDBETWEEN(1,5))</f>
        <v>Bachelor's</v>
      </c>
      <c r="S209" s="16" t="str" cm="1">
        <f t="array" ref="S209" ca="1">INDEX(Lookup!$J$2:$J$11,RANDBETWEEN(1,10))</f>
        <v>Sarah Johnson</v>
      </c>
      <c r="T209" s="16" t="str">
        <f t="shared" ca="1" si="50"/>
        <v>cameron.white@hranalytics.com</v>
      </c>
      <c r="U209" s="16" t="str">
        <f t="shared" ca="1" si="51"/>
        <v>0893227475</v>
      </c>
      <c r="V209" s="16" t="str" cm="1">
        <f t="array" ref="V209" ca="1">_xlfn.LET(_xlpm.r,RANDBETWEEN(1,100),_xlfn.IFS(_xlpm.r&lt;=70,"Full-Time",_xlpm.r&lt;=85,"Part-Time",_xlpm.r&lt;=95,"Contract",TRUE,"Intern"))</f>
        <v>Full-Time</v>
      </c>
      <c r="W209" s="16" cm="1">
        <f t="array" ref="W209" ca="1">IF(K209&lt;&gt;"Active",0,_xlfn.IFS(M209=5,L209*15%,M209=4,L209*10%,M209=3,L209*5%,M209=2,L209*2%,TRUE,0))</f>
        <v>4578</v>
      </c>
      <c r="X209" s="24">
        <f t="shared" ca="1" si="52"/>
        <v>4</v>
      </c>
      <c r="Y209" s="24">
        <f t="shared" ca="1" si="53"/>
        <v>1</v>
      </c>
    </row>
    <row r="210" spans="1:25">
      <c r="A210" s="16" t="str">
        <f t="shared" si="54"/>
        <v>EMP209</v>
      </c>
      <c r="B210" s="16" t="str" cm="1">
        <f t="array" ref="B210" ca="1">IF(D210="Male",INDEX(Lookup!$L$2:$L$13,RANDBETWEEN(1,12)),IF(D210="Female",INDEX(Lookup!$M$2:$M$13,RANDBETWEEN(1,12)),INDEX(Lookup!$N$2:$N$13,RANDBETWEEN(1,12))))</f>
        <v>Robin</v>
      </c>
      <c r="C210" s="16" t="str" cm="1">
        <f t="array" ref="C210" ca="1">INDEX(Lookup!$K$2:$K$31,RANDBETWEEN(1,30))</f>
        <v>Johnson</v>
      </c>
      <c r="D210" s="16" t="str" cm="1">
        <f t="array" ref="D210" ca="1">INDEX(Lookup!$H$2:$H$4,RANDBETWEEN(1,3))</f>
        <v>Other</v>
      </c>
      <c r="E210" s="16">
        <f t="shared" ca="1" si="42"/>
        <v>28</v>
      </c>
      <c r="F210" s="16" t="str" cm="1">
        <f t="array" ref="F210" ca="1">INDEX(Lookup!$A$2:$A$10,RANDBETWEEN(1,9))</f>
        <v>Legal</v>
      </c>
      <c r="G210" s="16" t="str" cm="1">
        <f t="array" ref="G210" ca="1">_xlfn.LET(_xlpm.Roles,_xlfn._xlws.FILTER(Lookup!$P$2:$P$28,Lookup!$O$2:$O$28=F210),INDEX(_xlpm.Roles,RANDBETWEEN(1,ROWS(_xlpm.Roles))))</f>
        <v>Legal Assistant</v>
      </c>
      <c r="H210" s="16" t="str" cm="1">
        <f t="array" ref="H210" ca="1">INDEX(Lookup!$B$2:$B$7,RANDBETWEEN(1,6))</f>
        <v>Galway</v>
      </c>
      <c r="I210" s="22">
        <f t="shared" ca="1" si="43"/>
        <v>44970</v>
      </c>
      <c r="J210" s="22" t="str">
        <f t="shared" ca="1" si="44"/>
        <v/>
      </c>
      <c r="K210" s="16" t="str">
        <f t="shared" ca="1" si="45"/>
        <v>Active</v>
      </c>
      <c r="L210" s="26">
        <f ca="1">_xlfn.XLOOKUP(G210,Lookup!$P$2:$P$28,Lookup!$Q$2:$Q$28)*(1+MIN(X210*3%,30%))</f>
        <v>44520</v>
      </c>
      <c r="M210" s="24">
        <f t="shared" ca="1" si="55"/>
        <v>3</v>
      </c>
      <c r="N210" s="24">
        <f t="shared" ca="1" si="46"/>
        <v>13</v>
      </c>
      <c r="O210" s="24">
        <f t="shared" ca="1" si="47"/>
        <v>17</v>
      </c>
      <c r="P210" s="24">
        <f t="shared" ca="1" si="48"/>
        <v>55</v>
      </c>
      <c r="Q210" s="16" t="str">
        <f t="shared" ca="1" si="49"/>
        <v>Not Promoted</v>
      </c>
      <c r="R210" s="16" t="str" cm="1">
        <f t="array" ref="R210" ca="1">INDEX(Lookup!$E$2:$E$6,RANDBETWEEN(1,5))</f>
        <v>Dipolma</v>
      </c>
      <c r="S210" s="16" t="str" cm="1">
        <f t="array" ref="S210" ca="1">INDEX(Lookup!$J$2:$J$11,RANDBETWEEN(1,10))</f>
        <v>James Taylor</v>
      </c>
      <c r="T210" s="16" t="str">
        <f t="shared" ca="1" si="50"/>
        <v>robin.johnson@hranalytics.com</v>
      </c>
      <c r="U210" s="16" t="str">
        <f t="shared" ca="1" si="51"/>
        <v>0849844603</v>
      </c>
      <c r="V210" s="16" t="str" cm="1">
        <f t="array" ref="V210" ca="1">_xlfn.LET(_xlpm.r,RANDBETWEEN(1,100),_xlfn.IFS(_xlpm.r&lt;=70,"Full-Time",_xlpm.r&lt;=85,"Part-Time",_xlpm.r&lt;=95,"Contract",TRUE,"Intern"))</f>
        <v>Full-Time</v>
      </c>
      <c r="W210" s="16" cm="1">
        <f t="array" ref="W210" ca="1">IF(K210&lt;&gt;"Active",0,_xlfn.IFS(M210=5,L210*15%,M210=4,L210*10%,M210=3,L210*5%,M210=2,L210*2%,TRUE,0))</f>
        <v>0</v>
      </c>
      <c r="X210" s="24">
        <f t="shared" ca="1" si="52"/>
        <v>3</v>
      </c>
      <c r="Y210" s="24">
        <f t="shared" ca="1" si="53"/>
        <v>2</v>
      </c>
    </row>
    <row r="211" spans="1:25">
      <c r="A211" s="16" t="str">
        <f t="shared" si="54"/>
        <v>EMP210</v>
      </c>
      <c r="B211" s="16" t="str" cm="1">
        <f t="array" ref="B211" ca="1">IF(D211="Male",INDEX(Lookup!$L$2:$L$13,RANDBETWEEN(1,12)),IF(D211="Female",INDEX(Lookup!$M$2:$M$13,RANDBETWEEN(1,12)),INDEX(Lookup!$N$2:$N$13,RANDBETWEEN(1,12))))</f>
        <v>James</v>
      </c>
      <c r="C211" s="16" t="str" cm="1">
        <f t="array" ref="C211" ca="1">INDEX(Lookup!$K$2:$K$31,RANDBETWEEN(1,30))</f>
        <v>Wilson</v>
      </c>
      <c r="D211" s="16" t="str" cm="1">
        <f t="array" ref="D211" ca="1">INDEX(Lookup!$H$2:$H$4,RANDBETWEEN(1,3))</f>
        <v>Male</v>
      </c>
      <c r="E211" s="16">
        <f t="shared" ca="1" si="42"/>
        <v>40</v>
      </c>
      <c r="F211" s="16" t="str" cm="1">
        <f t="array" ref="F211" ca="1">INDEX(Lookup!$A$2:$A$10,RANDBETWEEN(1,9))</f>
        <v>Finance</v>
      </c>
      <c r="G211" s="16" t="str" cm="1">
        <f t="array" ref="G211" ca="1">_xlfn.LET(_xlpm.Roles,_xlfn._xlws.FILTER(Lookup!$P$2:$P$28,Lookup!$O$2:$O$28=F211),INDEX(_xlpm.Roles,RANDBETWEEN(1,ROWS(_xlpm.Roles))))</f>
        <v>Payroll Officer</v>
      </c>
      <c r="H211" s="16" t="str" cm="1">
        <f t="array" ref="H211" ca="1">INDEX(Lookup!$B$2:$B$7,RANDBETWEEN(1,6))</f>
        <v>Belfast</v>
      </c>
      <c r="I211" s="22">
        <f t="shared" ca="1" si="43"/>
        <v>44363</v>
      </c>
      <c r="J211" s="22" t="str">
        <f t="shared" ca="1" si="44"/>
        <v/>
      </c>
      <c r="K211" s="16" t="str">
        <f t="shared" ca="1" si="45"/>
        <v>Active</v>
      </c>
      <c r="L211" s="26">
        <f ca="1">_xlfn.XLOOKUP(G211,Lookup!$P$2:$P$28,Lookup!$Q$2:$Q$28)*(1+MIN(X211*3%,30%))</f>
        <v>50400</v>
      </c>
      <c r="M211" s="24">
        <f t="shared" ca="1" si="55"/>
        <v>2</v>
      </c>
      <c r="N211" s="24">
        <f t="shared" ca="1" si="46"/>
        <v>23</v>
      </c>
      <c r="O211" s="24">
        <f t="shared" ca="1" si="47"/>
        <v>8</v>
      </c>
      <c r="P211" s="24">
        <f t="shared" ca="1" si="48"/>
        <v>41</v>
      </c>
      <c r="Q211" s="16" t="str">
        <f t="shared" ca="1" si="49"/>
        <v>Promoted</v>
      </c>
      <c r="R211" s="16" t="str" cm="1">
        <f t="array" ref="R211" ca="1">INDEX(Lookup!$E$2:$E$6,RANDBETWEEN(1,5))</f>
        <v>Master's</v>
      </c>
      <c r="S211" s="16" t="str" cm="1">
        <f t="array" ref="S211" ca="1">INDEX(Lookup!$J$2:$J$11,RANDBETWEEN(1,10))</f>
        <v>Sarah Johnson</v>
      </c>
      <c r="T211" s="16" t="str">
        <f t="shared" ca="1" si="50"/>
        <v>james.wilson@hranalytics.com</v>
      </c>
      <c r="U211" s="16" t="str">
        <f t="shared" ca="1" si="51"/>
        <v>0872324903</v>
      </c>
      <c r="V211" s="16" t="str" cm="1">
        <f t="array" ref="V211" ca="1">_xlfn.LET(_xlpm.r,RANDBETWEEN(1,100),_xlfn.IFS(_xlpm.r&lt;=70,"Full-Time",_xlpm.r&lt;=85,"Part-Time",_xlpm.r&lt;=95,"Contract",TRUE,"Intern"))</f>
        <v>Full-Time</v>
      </c>
      <c r="W211" s="16" cm="1">
        <f t="array" ref="W211" ca="1">IF(K211&lt;&gt;"Active",0,_xlfn.IFS(M211=5,L211*15%,M211=4,L211*10%,M211=3,L211*5%,M211=2,L211*2%,TRUE,0))</f>
        <v>5040</v>
      </c>
      <c r="X211" s="24">
        <f t="shared" ca="1" si="52"/>
        <v>5</v>
      </c>
      <c r="Y211" s="24">
        <f t="shared" ca="1" si="53"/>
        <v>1</v>
      </c>
    </row>
    <row r="212" spans="1:25">
      <c r="A212" s="16" t="str">
        <f t="shared" si="54"/>
        <v>EMP211</v>
      </c>
      <c r="B212" s="16" t="str" cm="1">
        <f t="array" ref="B212" ca="1">IF(D212="Male",INDEX(Lookup!$L$2:$L$13,RANDBETWEEN(1,12)),IF(D212="Female",INDEX(Lookup!$M$2:$M$13,RANDBETWEEN(1,12)),INDEX(Lookup!$N$2:$N$13,RANDBETWEEN(1,12))))</f>
        <v>James</v>
      </c>
      <c r="C212" s="16" t="str" cm="1">
        <f t="array" ref="C212" ca="1">INDEX(Lookup!$K$2:$K$31,RANDBETWEEN(1,30))</f>
        <v>Murphy</v>
      </c>
      <c r="D212" s="16" t="str" cm="1">
        <f t="array" ref="D212" ca="1">INDEX(Lookup!$H$2:$H$4,RANDBETWEEN(1,3))</f>
        <v>Male</v>
      </c>
      <c r="E212" s="16">
        <f t="shared" ca="1" si="42"/>
        <v>36</v>
      </c>
      <c r="F212" s="16" t="str" cm="1">
        <f t="array" ref="F212" ca="1">INDEX(Lookup!$A$2:$A$10,RANDBETWEEN(1,9))</f>
        <v>Finance</v>
      </c>
      <c r="G212" s="16" t="str" cm="1">
        <f t="array" ref="G212" ca="1">_xlfn.LET(_xlpm.Roles,_xlfn._xlws.FILTER(Lookup!$P$2:$P$28,Lookup!$O$2:$O$28=F212),INDEX(_xlpm.Roles,RANDBETWEEN(1,ROWS(_xlpm.Roles))))</f>
        <v>Accountant</v>
      </c>
      <c r="H212" s="16" t="str" cm="1">
        <f t="array" ref="H212" ca="1">INDEX(Lookup!$B$2:$B$7,RANDBETWEEN(1,6))</f>
        <v>Waterford</v>
      </c>
      <c r="I212" s="22">
        <f t="shared" ca="1" si="43"/>
        <v>45815</v>
      </c>
      <c r="J212" s="22" t="str">
        <f t="shared" ca="1" si="44"/>
        <v/>
      </c>
      <c r="K212" s="16" t="str">
        <f t="shared" ca="1" si="45"/>
        <v>Active</v>
      </c>
      <c r="L212" s="26">
        <f ca="1">_xlfn.XLOOKUP(G212,Lookup!$P$2:$P$28,Lookup!$Q$2:$Q$28)*(1+MIN(X212*3%,30%))</f>
        <v>53000</v>
      </c>
      <c r="M212" s="24">
        <f t="shared" ca="1" si="55"/>
        <v>3</v>
      </c>
      <c r="N212" s="24">
        <f t="shared" ca="1" si="46"/>
        <v>7</v>
      </c>
      <c r="O212" s="24">
        <f t="shared" ca="1" si="47"/>
        <v>11</v>
      </c>
      <c r="P212" s="24">
        <f t="shared" ca="1" si="48"/>
        <v>1</v>
      </c>
      <c r="Q212" s="16" t="str">
        <f t="shared" ca="1" si="49"/>
        <v>Not Promoted</v>
      </c>
      <c r="R212" s="16" t="str" cm="1">
        <f t="array" ref="R212" ca="1">INDEX(Lookup!$E$2:$E$6,RANDBETWEEN(1,5))</f>
        <v>Dipolma</v>
      </c>
      <c r="S212" s="16" t="str" cm="1">
        <f t="array" ref="S212" ca="1">INDEX(Lookup!$J$2:$J$11,RANDBETWEEN(1,10))</f>
        <v>David Murphy</v>
      </c>
      <c r="T212" s="16" t="str">
        <f t="shared" ca="1" si="50"/>
        <v>james.murphy@hranalytics.com</v>
      </c>
      <c r="U212" s="16" t="str">
        <f t="shared" ca="1" si="51"/>
        <v>0855103024</v>
      </c>
      <c r="V212" s="16" t="str" cm="1">
        <f t="array" ref="V212" ca="1">_xlfn.LET(_xlpm.r,RANDBETWEEN(1,100),_xlfn.IFS(_xlpm.r&lt;=70,"Full-Time",_xlpm.r&lt;=85,"Part-Time",_xlpm.r&lt;=95,"Contract",TRUE,"Intern"))</f>
        <v>Full-Time</v>
      </c>
      <c r="W212" s="16" cm="1">
        <f t="array" ref="W212" ca="1">IF(K212&lt;&gt;"Active",0,_xlfn.IFS(M212=5,L212*15%,M212=4,L212*10%,M212=3,L212*5%,M212=2,L212*2%,TRUE,0))</f>
        <v>0</v>
      </c>
      <c r="X212" s="24">
        <f t="shared" ca="1" si="52"/>
        <v>1</v>
      </c>
      <c r="Y212" s="24">
        <f t="shared" ca="1" si="53"/>
        <v>2</v>
      </c>
    </row>
    <row r="213" spans="1:25">
      <c r="A213" s="16" t="str">
        <f t="shared" si="54"/>
        <v>EMP212</v>
      </c>
      <c r="B213" s="16" t="str" cm="1">
        <f t="array" ref="B213" ca="1">IF(D213="Male",INDEX(Lookup!$L$2:$L$13,RANDBETWEEN(1,12)),IF(D213="Female",INDEX(Lookup!$M$2:$M$13,RANDBETWEEN(1,12)),INDEX(Lookup!$N$2:$N$13,RANDBETWEEN(1,12))))</f>
        <v>Michael</v>
      </c>
      <c r="C213" s="16" t="str" cm="1">
        <f t="array" ref="C213" ca="1">INDEX(Lookup!$K$2:$K$31,RANDBETWEEN(1,30))</f>
        <v>Johnson</v>
      </c>
      <c r="D213" s="16" t="str" cm="1">
        <f t="array" ref="D213" ca="1">INDEX(Lookup!$H$2:$H$4,RANDBETWEEN(1,3))</f>
        <v>Male</v>
      </c>
      <c r="E213" s="16">
        <f t="shared" ca="1" si="42"/>
        <v>48</v>
      </c>
      <c r="F213" s="16" t="str" cm="1">
        <f t="array" ref="F213" ca="1">INDEX(Lookup!$A$2:$A$10,RANDBETWEEN(1,9))</f>
        <v>HR</v>
      </c>
      <c r="G213" s="16" t="str" cm="1">
        <f t="array" ref="G213" ca="1">_xlfn.LET(_xlpm.Roles,_xlfn._xlws.FILTER(Lookup!$P$2:$P$28,Lookup!$O$2:$O$28=F213),INDEX(_xlpm.Roles,RANDBETWEEN(1,ROWS(_xlpm.Roles))))</f>
        <v>HR Assistant</v>
      </c>
      <c r="H213" s="16" t="str" cm="1">
        <f t="array" ref="H213" ca="1">INDEX(Lookup!$B$2:$B$7,RANDBETWEEN(1,6))</f>
        <v>Galway</v>
      </c>
      <c r="I213" s="22">
        <f t="shared" ca="1" si="43"/>
        <v>45790</v>
      </c>
      <c r="J213" s="22" t="str">
        <f t="shared" ca="1" si="44"/>
        <v/>
      </c>
      <c r="K213" s="16" t="str">
        <f t="shared" ca="1" si="45"/>
        <v>Active</v>
      </c>
      <c r="L213" s="26">
        <f ca="1">_xlfn.XLOOKUP(G213,Lookup!$P$2:$P$28,Lookup!$Q$2:$Q$28)*(1+MIN(X213*3%,30%))</f>
        <v>36040</v>
      </c>
      <c r="M213" s="24">
        <f t="shared" ca="1" si="55"/>
        <v>2</v>
      </c>
      <c r="N213" s="24">
        <f t="shared" ca="1" si="46"/>
        <v>60</v>
      </c>
      <c r="O213" s="24">
        <f t="shared" ca="1" si="47"/>
        <v>15</v>
      </c>
      <c r="P213" s="24">
        <f t="shared" ca="1" si="48"/>
        <v>41</v>
      </c>
      <c r="Q213" s="16" t="str">
        <f t="shared" ca="1" si="49"/>
        <v>Promoted</v>
      </c>
      <c r="R213" s="16" t="str" cm="1">
        <f t="array" ref="R213" ca="1">INDEX(Lookup!$E$2:$E$6,RANDBETWEEN(1,5))</f>
        <v>PhD</v>
      </c>
      <c r="S213" s="16" t="str" cm="1">
        <f t="array" ref="S213" ca="1">INDEX(Lookup!$J$2:$J$11,RANDBETWEEN(1,10))</f>
        <v>Grace O'Connor</v>
      </c>
      <c r="T213" s="16" t="str">
        <f t="shared" ca="1" si="50"/>
        <v>michael.johnson@hranalytics.com</v>
      </c>
      <c r="U213" s="16" t="str">
        <f t="shared" ca="1" si="51"/>
        <v>0855123366</v>
      </c>
      <c r="V213" s="16" t="str" cm="1">
        <f t="array" ref="V213" ca="1">_xlfn.LET(_xlpm.r,RANDBETWEEN(1,100),_xlfn.IFS(_xlpm.r&lt;=70,"Full-Time",_xlpm.r&lt;=85,"Part-Time",_xlpm.r&lt;=95,"Contract",TRUE,"Intern"))</f>
        <v>Full-Time</v>
      </c>
      <c r="W213" s="16" cm="1">
        <f t="array" ref="W213" ca="1">IF(K213&lt;&gt;"Active",0,_xlfn.IFS(M213=5,L213*15%,M213=4,L213*10%,M213=3,L213*5%,M213=2,L213*2%,TRUE,0))</f>
        <v>720.8</v>
      </c>
      <c r="X213" s="24">
        <f t="shared" ca="1" si="52"/>
        <v>1</v>
      </c>
      <c r="Y213" s="24">
        <f t="shared" ca="1" si="53"/>
        <v>2</v>
      </c>
    </row>
    <row r="214" spans="1:25">
      <c r="A214" s="16" t="str">
        <f t="shared" si="54"/>
        <v>EMP213</v>
      </c>
      <c r="B214" s="16" t="str" cm="1">
        <f t="array" ref="B214" ca="1">IF(D214="Male",INDEX(Lookup!$L$2:$L$13,RANDBETWEEN(1,12)),IF(D214="Female",INDEX(Lookup!$M$2:$M$13,RANDBETWEEN(1,12)),INDEX(Lookup!$N$2:$N$13,RANDBETWEEN(1,12))))</f>
        <v>Ella</v>
      </c>
      <c r="C214" s="16" t="str" cm="1">
        <f t="array" ref="C214" ca="1">INDEX(Lookup!$K$2:$K$31,RANDBETWEEN(1,30))</f>
        <v>Parker</v>
      </c>
      <c r="D214" s="16" t="str" cm="1">
        <f t="array" ref="D214" ca="1">INDEX(Lookup!$H$2:$H$4,RANDBETWEEN(1,3))</f>
        <v>Female</v>
      </c>
      <c r="E214" s="16">
        <f t="shared" ca="1" si="42"/>
        <v>26</v>
      </c>
      <c r="F214" s="16" t="str" cm="1">
        <f t="array" ref="F214" ca="1">INDEX(Lookup!$A$2:$A$10,RANDBETWEEN(1,9))</f>
        <v>Finance</v>
      </c>
      <c r="G214" s="16" t="str" cm="1">
        <f t="array" ref="G214" ca="1">_xlfn.LET(_xlpm.Roles,_xlfn._xlws.FILTER(Lookup!$P$2:$P$28,Lookup!$O$2:$O$28=F214),INDEX(_xlpm.Roles,RANDBETWEEN(1,ROWS(_xlpm.Roles))))</f>
        <v>Financial Analyst</v>
      </c>
      <c r="H214" s="16" t="str" cm="1">
        <f t="array" ref="H214" ca="1">INDEX(Lookup!$B$2:$B$7,RANDBETWEEN(1,6))</f>
        <v>Cork</v>
      </c>
      <c r="I214" s="22">
        <f t="shared" ca="1" si="43"/>
        <v>44654</v>
      </c>
      <c r="J214" s="22" t="str">
        <f t="shared" ca="1" si="44"/>
        <v/>
      </c>
      <c r="K214" s="16" t="str">
        <f t="shared" ca="1" si="45"/>
        <v>Active</v>
      </c>
      <c r="L214" s="26">
        <f ca="1">_xlfn.XLOOKUP(G214,Lookup!$P$2:$P$28,Lookup!$Q$2:$Q$28)*(1+MIN(X214*3%,30%))</f>
        <v>71920</v>
      </c>
      <c r="M214" s="24">
        <f t="shared" ca="1" si="55"/>
        <v>1</v>
      </c>
      <c r="N214" s="24">
        <f t="shared" ca="1" si="46"/>
        <v>23</v>
      </c>
      <c r="O214" s="24">
        <f t="shared" ca="1" si="47"/>
        <v>7</v>
      </c>
      <c r="P214" s="24">
        <f t="shared" ca="1" si="48"/>
        <v>51</v>
      </c>
      <c r="Q214" s="16" t="str">
        <f t="shared" ca="1" si="49"/>
        <v>Promoted</v>
      </c>
      <c r="R214" s="16" t="str" cm="1">
        <f t="array" ref="R214" ca="1">INDEX(Lookup!$E$2:$E$6,RANDBETWEEN(1,5))</f>
        <v>PhD</v>
      </c>
      <c r="S214" s="16" t="str" cm="1">
        <f t="array" ref="S214" ca="1">INDEX(Lookup!$J$2:$J$11,RANDBETWEEN(1,10))</f>
        <v>Grace O'Connor</v>
      </c>
      <c r="T214" s="16" t="str">
        <f t="shared" ca="1" si="50"/>
        <v>ella.parker@hranalytics.com</v>
      </c>
      <c r="U214" s="16" t="str">
        <f t="shared" ca="1" si="51"/>
        <v>0847327577</v>
      </c>
      <c r="V214" s="16" t="str" cm="1">
        <f t="array" ref="V214" ca="1">_xlfn.LET(_xlpm.r,RANDBETWEEN(1,100),_xlfn.IFS(_xlpm.r&lt;=70,"Full-Time",_xlpm.r&lt;=85,"Part-Time",_xlpm.r&lt;=95,"Contract",TRUE,"Intern"))</f>
        <v>Full-Time</v>
      </c>
      <c r="W214" s="16" cm="1">
        <f t="array" ref="W214" ca="1">IF(K214&lt;&gt;"Active",0,_xlfn.IFS(M214=5,L214*15%,M214=4,L214*10%,M214=3,L214*5%,M214=2,L214*2%,TRUE,0))</f>
        <v>0</v>
      </c>
      <c r="X214" s="24">
        <f t="shared" ca="1" si="52"/>
        <v>4</v>
      </c>
      <c r="Y214" s="24">
        <f t="shared" ca="1" si="53"/>
        <v>3</v>
      </c>
    </row>
    <row r="215" spans="1:25">
      <c r="A215" s="16" t="str">
        <f t="shared" si="54"/>
        <v>EMP214</v>
      </c>
      <c r="B215" s="16" t="str" cm="1">
        <f t="array" ref="B215" ca="1">IF(D215="Male",INDEX(Lookup!$L$2:$L$13,RANDBETWEEN(1,12)),IF(D215="Female",INDEX(Lookup!$M$2:$M$13,RANDBETWEEN(1,12)),INDEX(Lookup!$N$2:$N$13,RANDBETWEEN(1,12))))</f>
        <v>Casey</v>
      </c>
      <c r="C215" s="16" t="str" cm="1">
        <f t="array" ref="C215" ca="1">INDEX(Lookup!$K$2:$K$31,RANDBETWEEN(1,30))</f>
        <v>Evans</v>
      </c>
      <c r="D215" s="16" t="str" cm="1">
        <f t="array" ref="D215" ca="1">INDEX(Lookup!$H$2:$H$4,RANDBETWEEN(1,3))</f>
        <v>Other</v>
      </c>
      <c r="E215" s="16">
        <f t="shared" ca="1" si="42"/>
        <v>54</v>
      </c>
      <c r="F215" s="16" t="str" cm="1">
        <f t="array" ref="F215" ca="1">INDEX(Lookup!$A$2:$A$10,RANDBETWEEN(1,9))</f>
        <v>Sales</v>
      </c>
      <c r="G215" s="16" t="str" cm="1">
        <f t="array" ref="G215" ca="1">_xlfn.LET(_xlpm.Roles,_xlfn._xlws.FILTER(Lookup!$P$2:$P$28,Lookup!$O$2:$O$28=F215),INDEX(_xlpm.Roles,RANDBETWEEN(1,ROWS(_xlpm.Roles))))</f>
        <v>Business Development Executive</v>
      </c>
      <c r="H215" s="16" t="str" cm="1">
        <f t="array" ref="H215" ca="1">INDEX(Lookup!$B$2:$B$7,RANDBETWEEN(1,6))</f>
        <v>Limerick</v>
      </c>
      <c r="I215" s="22">
        <f t="shared" ca="1" si="43"/>
        <v>45722</v>
      </c>
      <c r="J215" s="22" t="str">
        <f t="shared" ca="1" si="44"/>
        <v/>
      </c>
      <c r="K215" s="16" t="str">
        <f t="shared" ca="1" si="45"/>
        <v>Active</v>
      </c>
      <c r="L215" s="26">
        <f ca="1">_xlfn.XLOOKUP(G215,Lookup!$P$2:$P$28,Lookup!$Q$2:$Q$28)*(1+MIN(X215*3%,30%))</f>
        <v>55200</v>
      </c>
      <c r="M215" s="24">
        <f t="shared" ca="1" si="55"/>
        <v>2</v>
      </c>
      <c r="N215" s="24">
        <f t="shared" ca="1" si="46"/>
        <v>5</v>
      </c>
      <c r="O215" s="24">
        <f t="shared" ca="1" si="47"/>
        <v>13</v>
      </c>
      <c r="P215" s="24">
        <f t="shared" ca="1" si="48"/>
        <v>14</v>
      </c>
      <c r="Q215" s="16" t="str">
        <f t="shared" ca="1" si="49"/>
        <v>Promoted</v>
      </c>
      <c r="R215" s="16" t="str" cm="1">
        <f t="array" ref="R215" ca="1">INDEX(Lookup!$E$2:$E$6,RANDBETWEEN(1,5))</f>
        <v>High School</v>
      </c>
      <c r="S215" s="16" t="str" cm="1">
        <f t="array" ref="S215" ca="1">INDEX(Lookup!$J$2:$J$11,RANDBETWEEN(1,10))</f>
        <v>Sophia Martin</v>
      </c>
      <c r="T215" s="16" t="str">
        <f t="shared" ca="1" si="50"/>
        <v>casey.evans@hranalytics.com</v>
      </c>
      <c r="U215" s="16" t="str">
        <f t="shared" ca="1" si="51"/>
        <v>0862878153</v>
      </c>
      <c r="V215" s="16" t="str" cm="1">
        <f t="array" ref="V215" ca="1">_xlfn.LET(_xlpm.r,RANDBETWEEN(1,100),_xlfn.IFS(_xlpm.r&lt;=70,"Full-Time",_xlpm.r&lt;=85,"Part-Time",_xlpm.r&lt;=95,"Contract",TRUE,"Intern"))</f>
        <v>Part-Time</v>
      </c>
      <c r="W215" s="16" cm="1">
        <f t="array" ref="W215" ca="1">IF(K215&lt;&gt;"Active",0,_xlfn.IFS(M215=5,L215*15%,M215=4,L215*10%,M215=3,L215*5%,M215=2,L215*2%,TRUE,0))</f>
        <v>5520</v>
      </c>
      <c r="X215" s="24">
        <f t="shared" ca="1" si="52"/>
        <v>1</v>
      </c>
      <c r="Y215" s="24">
        <f t="shared" ca="1" si="53"/>
        <v>3</v>
      </c>
    </row>
    <row r="216" spans="1:25">
      <c r="A216" s="16" t="str">
        <f t="shared" si="54"/>
        <v>EMP215</v>
      </c>
      <c r="B216" s="16" t="str" cm="1">
        <f t="array" ref="B216" ca="1">IF(D216="Male",INDEX(Lookup!$L$2:$L$13,RANDBETWEEN(1,12)),IF(D216="Female",INDEX(Lookup!$M$2:$M$13,RANDBETWEEN(1,12)),INDEX(Lookup!$N$2:$N$13,RANDBETWEEN(1,12))))</f>
        <v>Ella</v>
      </c>
      <c r="C216" s="16" t="str" cm="1">
        <f t="array" ref="C216" ca="1">INDEX(Lookup!$K$2:$K$31,RANDBETWEEN(1,30))</f>
        <v>Edwards</v>
      </c>
      <c r="D216" s="16" t="str" cm="1">
        <f t="array" ref="D216" ca="1">INDEX(Lookup!$H$2:$H$4,RANDBETWEEN(1,3))</f>
        <v>Female</v>
      </c>
      <c r="E216" s="16">
        <f t="shared" ca="1" si="42"/>
        <v>23</v>
      </c>
      <c r="F216" s="16" t="str" cm="1">
        <f t="array" ref="F216" ca="1">INDEX(Lookup!$A$2:$A$10,RANDBETWEEN(1,9))</f>
        <v>Customer Support</v>
      </c>
      <c r="G216" s="16" t="str" cm="1">
        <f t="array" ref="G216" ca="1">_xlfn.LET(_xlpm.Roles,_xlfn._xlws.FILTER(Lookup!$P$2:$P$28,Lookup!$O$2:$O$28=F216),INDEX(_xlpm.Roles,RANDBETWEEN(1,ROWS(_xlpm.Roles))))</f>
        <v>Technical Support Specialist</v>
      </c>
      <c r="H216" s="16" t="str" cm="1">
        <f t="array" ref="H216" ca="1">INDEX(Lookup!$B$2:$B$7,RANDBETWEEN(1,6))</f>
        <v>Cork</v>
      </c>
      <c r="I216" s="22">
        <f t="shared" ca="1" si="43"/>
        <v>45102</v>
      </c>
      <c r="J216" s="22" t="str">
        <f t="shared" ca="1" si="44"/>
        <v/>
      </c>
      <c r="K216" s="16" t="str">
        <f t="shared" ca="1" si="45"/>
        <v>Active</v>
      </c>
      <c r="L216" s="26">
        <f ca="1">_xlfn.XLOOKUP(G216,Lookup!$P$2:$P$28,Lookup!$Q$2:$Q$28)*(1+MIN(X216*3%,30%))</f>
        <v>51750</v>
      </c>
      <c r="M216" s="24">
        <f t="shared" ca="1" si="55"/>
        <v>2</v>
      </c>
      <c r="N216" s="24">
        <f t="shared" ca="1" si="46"/>
        <v>57</v>
      </c>
      <c r="O216" s="24">
        <f t="shared" ca="1" si="47"/>
        <v>12</v>
      </c>
      <c r="P216" s="24">
        <f t="shared" ca="1" si="48"/>
        <v>9</v>
      </c>
      <c r="Q216" s="16" t="str">
        <f t="shared" ca="1" si="49"/>
        <v>Not Promoted</v>
      </c>
      <c r="R216" s="16" t="str" cm="1">
        <f t="array" ref="R216" ca="1">INDEX(Lookup!$E$2:$E$6,RANDBETWEEN(1,5))</f>
        <v>PhD</v>
      </c>
      <c r="S216" s="16" t="str" cm="1">
        <f t="array" ref="S216" ca="1">INDEX(Lookup!$J$2:$J$11,RANDBETWEEN(1,10))</f>
        <v>Grace O'Connor</v>
      </c>
      <c r="T216" s="16" t="str">
        <f t="shared" ca="1" si="50"/>
        <v>ella.edwards@hranalytics.com</v>
      </c>
      <c r="U216" s="16" t="str">
        <f t="shared" ca="1" si="51"/>
        <v>0844880121</v>
      </c>
      <c r="V216" s="16" t="str" cm="1">
        <f t="array" ref="V216" ca="1">_xlfn.LET(_xlpm.r,RANDBETWEEN(1,100),_xlfn.IFS(_xlpm.r&lt;=70,"Full-Time",_xlpm.r&lt;=85,"Part-Time",_xlpm.r&lt;=95,"Contract",TRUE,"Intern"))</f>
        <v>Full-Time</v>
      </c>
      <c r="W216" s="16" cm="1">
        <f t="array" ref="W216" ca="1">IF(K216&lt;&gt;"Active",0,_xlfn.IFS(M216=5,L216*15%,M216=4,L216*10%,M216=3,L216*5%,M216=2,L216*2%,TRUE,0))</f>
        <v>0</v>
      </c>
      <c r="X216" s="24">
        <f t="shared" ca="1" si="52"/>
        <v>3</v>
      </c>
      <c r="Y216" s="24">
        <f t="shared" ca="1" si="53"/>
        <v>2</v>
      </c>
    </row>
    <row r="217" spans="1:25">
      <c r="A217" s="16" t="str">
        <f t="shared" si="54"/>
        <v>EMP216</v>
      </c>
      <c r="B217" s="16" t="str" cm="1">
        <f t="array" ref="B217" ca="1">IF(D217="Male",INDEX(Lookup!$L$2:$L$13,RANDBETWEEN(1,12)),IF(D217="Female",INDEX(Lookup!$M$2:$M$13,RANDBETWEEN(1,12)),INDEX(Lookup!$N$2:$N$13,RANDBETWEEN(1,12))))</f>
        <v>Isabella</v>
      </c>
      <c r="C217" s="16" t="str" cm="1">
        <f t="array" ref="C217" ca="1">INDEX(Lookup!$K$2:$K$31,RANDBETWEEN(1,30))</f>
        <v>Young</v>
      </c>
      <c r="D217" s="16" t="str" cm="1">
        <f t="array" ref="D217" ca="1">INDEX(Lookup!$H$2:$H$4,RANDBETWEEN(1,3))</f>
        <v>Female</v>
      </c>
      <c r="E217" s="16">
        <f t="shared" ca="1" si="42"/>
        <v>34</v>
      </c>
      <c r="F217" s="16" t="str" cm="1">
        <f t="array" ref="F217" ca="1">INDEX(Lookup!$A$2:$A$10,RANDBETWEEN(1,9))</f>
        <v>Customer Support</v>
      </c>
      <c r="G217" s="16" t="str" cm="1">
        <f t="array" ref="G217" ca="1">_xlfn.LET(_xlpm.Roles,_xlfn._xlws.FILTER(Lookup!$P$2:$P$28,Lookup!$O$2:$O$28=F217),INDEX(_xlpm.Roles,RANDBETWEEN(1,ROWS(_xlpm.Roles))))</f>
        <v>Customer Success Specialist</v>
      </c>
      <c r="H217" s="16" t="str" cm="1">
        <f t="array" ref="H217" ca="1">INDEX(Lookup!$B$2:$B$7,RANDBETWEEN(1,6))</f>
        <v>Galway</v>
      </c>
      <c r="I217" s="22">
        <f t="shared" ca="1" si="43"/>
        <v>44777</v>
      </c>
      <c r="J217" s="22" t="str">
        <f t="shared" ca="1" si="44"/>
        <v/>
      </c>
      <c r="K217" s="16" t="str">
        <f t="shared" ca="1" si="45"/>
        <v>Active</v>
      </c>
      <c r="L217" s="26">
        <f ca="1">_xlfn.XLOOKUP(G217,Lookup!$P$2:$P$28,Lookup!$Q$2:$Q$28)*(1+MIN(X217*3%,30%))</f>
        <v>48300</v>
      </c>
      <c r="M217" s="24">
        <f t="shared" ca="1" si="55"/>
        <v>2</v>
      </c>
      <c r="N217" s="24">
        <f t="shared" ca="1" si="46"/>
        <v>26</v>
      </c>
      <c r="O217" s="24">
        <f t="shared" ca="1" si="47"/>
        <v>6</v>
      </c>
      <c r="P217" s="24">
        <f t="shared" ca="1" si="48"/>
        <v>1</v>
      </c>
      <c r="Q217" s="16" t="str">
        <f t="shared" ca="1" si="49"/>
        <v>Promoted</v>
      </c>
      <c r="R217" s="16" t="str" cm="1">
        <f t="array" ref="R217" ca="1">INDEX(Lookup!$E$2:$E$6,RANDBETWEEN(1,5))</f>
        <v>Master's</v>
      </c>
      <c r="S217" s="16" t="str" cm="1">
        <f t="array" ref="S217" ca="1">INDEX(Lookup!$J$2:$J$11,RANDBETWEEN(1,10))</f>
        <v>Michael Brown</v>
      </c>
      <c r="T217" s="16" t="str">
        <f t="shared" ca="1" si="50"/>
        <v>isabella.young@hranalytics.com</v>
      </c>
      <c r="U217" s="16" t="str">
        <f t="shared" ca="1" si="51"/>
        <v>0831313736</v>
      </c>
      <c r="V217" s="16" t="str" cm="1">
        <f t="array" ref="V217" ca="1">_xlfn.LET(_xlpm.r,RANDBETWEEN(1,100),_xlfn.IFS(_xlpm.r&lt;=70,"Full-Time",_xlpm.r&lt;=85,"Part-Time",_xlpm.r&lt;=95,"Contract",TRUE,"Intern"))</f>
        <v>Full-Time</v>
      </c>
      <c r="W217" s="16" cm="1">
        <f t="array" ref="W217" ca="1">IF(K217&lt;&gt;"Active",0,_xlfn.IFS(M217=5,L217*15%,M217=4,L217*10%,M217=3,L217*5%,M217=2,L217*2%,TRUE,0))</f>
        <v>7245</v>
      </c>
      <c r="X217" s="24">
        <f t="shared" ca="1" si="52"/>
        <v>4</v>
      </c>
      <c r="Y217" s="24">
        <f t="shared" ca="1" si="53"/>
        <v>3</v>
      </c>
    </row>
    <row r="218" spans="1:25">
      <c r="A218" s="16" t="str">
        <f t="shared" si="54"/>
        <v>EMP217</v>
      </c>
      <c r="B218" s="16" t="str" cm="1">
        <f t="array" ref="B218" ca="1">IF(D218="Male",INDEX(Lookup!$L$2:$L$13,RANDBETWEEN(1,12)),IF(D218="Female",INDEX(Lookup!$M$2:$M$13,RANDBETWEEN(1,12)),INDEX(Lookup!$N$2:$N$13,RANDBETWEEN(1,12))))</f>
        <v>Olivia</v>
      </c>
      <c r="C218" s="16" t="str" cm="1">
        <f t="array" ref="C218" ca="1">INDEX(Lookup!$K$2:$K$31,RANDBETWEEN(1,30))</f>
        <v>Walker</v>
      </c>
      <c r="D218" s="16" t="str" cm="1">
        <f t="array" ref="D218" ca="1">INDEX(Lookup!$H$2:$H$4,RANDBETWEEN(1,3))</f>
        <v>Female</v>
      </c>
      <c r="E218" s="16">
        <f t="shared" ca="1" si="42"/>
        <v>51</v>
      </c>
      <c r="F218" s="16" t="str" cm="1">
        <f t="array" ref="F218" ca="1">INDEX(Lookup!$A$2:$A$10,RANDBETWEEN(1,9))</f>
        <v>Legal</v>
      </c>
      <c r="G218" s="16" t="str" cm="1">
        <f t="array" ref="G218" ca="1">_xlfn.LET(_xlpm.Roles,_xlfn._xlws.FILTER(Lookup!$P$2:$P$28,Lookup!$O$2:$O$28=F218),INDEX(_xlpm.Roles,RANDBETWEEN(1,ROWS(_xlpm.Roles))))</f>
        <v>Legal Assistant</v>
      </c>
      <c r="H218" s="16" t="str" cm="1">
        <f t="array" ref="H218" ca="1">INDEX(Lookup!$B$2:$B$7,RANDBETWEEN(1,6))</f>
        <v>Dublin</v>
      </c>
      <c r="I218" s="22">
        <f t="shared" ca="1" si="43"/>
        <v>44512</v>
      </c>
      <c r="J218" s="22">
        <f t="shared" ca="1" si="44"/>
        <v>45503</v>
      </c>
      <c r="K218" s="16" t="str">
        <f t="shared" ca="1" si="45"/>
        <v>Resigned</v>
      </c>
      <c r="L218" s="26">
        <f ca="1">_xlfn.XLOOKUP(G218,Lookup!$P$2:$P$28,Lookup!$Q$2:$Q$28)*(1+MIN(X218*3%,30%))</f>
        <v>47040</v>
      </c>
      <c r="M218" s="24">
        <f t="shared" ca="1" si="55"/>
        <v>5</v>
      </c>
      <c r="N218" s="24">
        <f t="shared" ca="1" si="46"/>
        <v>10</v>
      </c>
      <c r="O218" s="24">
        <f t="shared" ca="1" si="47"/>
        <v>4</v>
      </c>
      <c r="P218" s="24">
        <f t="shared" ca="1" si="48"/>
        <v>15</v>
      </c>
      <c r="Q218" s="16" t="str">
        <f t="shared" ca="1" si="49"/>
        <v>Promoted</v>
      </c>
      <c r="R218" s="16" t="str" cm="1">
        <f t="array" ref="R218" ca="1">INDEX(Lookup!$E$2:$E$6,RANDBETWEEN(1,5))</f>
        <v>High School</v>
      </c>
      <c r="S218" s="16" t="str" cm="1">
        <f t="array" ref="S218" ca="1">INDEX(Lookup!$J$2:$J$11,RANDBETWEEN(1,10))</f>
        <v>Emma Wilson</v>
      </c>
      <c r="T218" s="16" t="str">
        <f t="shared" ca="1" si="50"/>
        <v>olivia.walker@hranalytics.com</v>
      </c>
      <c r="U218" s="16" t="str">
        <f t="shared" ca="1" si="51"/>
        <v>0845010248</v>
      </c>
      <c r="V218" s="16" t="str" cm="1">
        <f t="array" ref="V218" ca="1">_xlfn.LET(_xlpm.r,RANDBETWEEN(1,100),_xlfn.IFS(_xlpm.r&lt;=70,"Full-Time",_xlpm.r&lt;=85,"Part-Time",_xlpm.r&lt;=95,"Contract",TRUE,"Intern"))</f>
        <v>Contract</v>
      </c>
      <c r="W218" s="16" cm="1">
        <f t="array" ref="W218" ca="1">IF(K218&lt;&gt;"Active",0,_xlfn.IFS(M218=5,L218*15%,M218=4,L218*10%,M218=3,L218*5%,M218=2,L218*2%,TRUE,0))</f>
        <v>0</v>
      </c>
      <c r="X218" s="24">
        <f t="shared" ca="1" si="52"/>
        <v>4</v>
      </c>
      <c r="Y218" s="24">
        <f t="shared" ca="1" si="53"/>
        <v>3</v>
      </c>
    </row>
    <row r="219" spans="1:25">
      <c r="A219" s="16" t="str">
        <f t="shared" si="54"/>
        <v>EMP218</v>
      </c>
      <c r="B219" s="16" t="str" cm="1">
        <f t="array" ref="B219" ca="1">IF(D219="Male",INDEX(Lookup!$L$2:$L$13,RANDBETWEEN(1,12)),IF(D219="Female",INDEX(Lookup!$M$2:$M$13,RANDBETWEEN(1,12)),INDEX(Lookup!$N$2:$N$13,RANDBETWEEN(1,12))))</f>
        <v>Daniel</v>
      </c>
      <c r="C219" s="16" t="str" cm="1">
        <f t="array" ref="C219" ca="1">INDEX(Lookup!$K$2:$K$31,RANDBETWEEN(1,30))</f>
        <v>Brown</v>
      </c>
      <c r="D219" s="16" t="str" cm="1">
        <f t="array" ref="D219" ca="1">INDEX(Lookup!$H$2:$H$4,RANDBETWEEN(1,3))</f>
        <v>Male</v>
      </c>
      <c r="E219" s="16">
        <f t="shared" ca="1" si="42"/>
        <v>46</v>
      </c>
      <c r="F219" s="16" t="str" cm="1">
        <f t="array" ref="F219" ca="1">INDEX(Lookup!$A$2:$A$10,RANDBETWEEN(1,9))</f>
        <v>Procurement</v>
      </c>
      <c r="G219" s="16" t="str" cm="1">
        <f t="array" ref="G219" ca="1">_xlfn.LET(_xlpm.Roles,_xlfn._xlws.FILTER(Lookup!$P$2:$P$28,Lookup!$O$2:$O$28=F219),INDEX(_xlpm.Roles,RANDBETWEEN(1,ROWS(_xlpm.Roles))))</f>
        <v>Procurement Officer</v>
      </c>
      <c r="H219" s="16" t="str" cm="1">
        <f t="array" ref="H219" ca="1">INDEX(Lookup!$B$2:$B$7,RANDBETWEEN(1,6))</f>
        <v>Cork</v>
      </c>
      <c r="I219" s="22">
        <f t="shared" ca="1" si="43"/>
        <v>45665</v>
      </c>
      <c r="J219" s="22" t="str">
        <f t="shared" ca="1" si="44"/>
        <v/>
      </c>
      <c r="K219" s="16" t="str">
        <f t="shared" ca="1" si="45"/>
        <v>Active</v>
      </c>
      <c r="L219" s="26">
        <f ca="1">_xlfn.XLOOKUP(G219,Lookup!$P$2:$P$28,Lookup!$Q$2:$Q$28)*(1+MIN(X219*3%,30%))</f>
        <v>53100</v>
      </c>
      <c r="M219" s="24">
        <f t="shared" ca="1" si="55"/>
        <v>3</v>
      </c>
      <c r="N219" s="24">
        <f t="shared" ca="1" si="46"/>
        <v>20</v>
      </c>
      <c r="O219" s="24">
        <f t="shared" ca="1" si="47"/>
        <v>11</v>
      </c>
      <c r="P219" s="24">
        <f t="shared" ca="1" si="48"/>
        <v>36</v>
      </c>
      <c r="Q219" s="16" t="str">
        <f t="shared" ca="1" si="49"/>
        <v>Promoted</v>
      </c>
      <c r="R219" s="16" t="str" cm="1">
        <f t="array" ref="R219" ca="1">INDEX(Lookup!$E$2:$E$6,RANDBETWEEN(1,5))</f>
        <v>Master's</v>
      </c>
      <c r="S219" s="16" t="str" cm="1">
        <f t="array" ref="S219" ca="1">INDEX(Lookup!$J$2:$J$11,RANDBETWEEN(1,10))</f>
        <v>Emma Wilson</v>
      </c>
      <c r="T219" s="16" t="str">
        <f t="shared" ca="1" si="50"/>
        <v>daniel.brown@hranalytics.com</v>
      </c>
      <c r="U219" s="16" t="str">
        <f t="shared" ca="1" si="51"/>
        <v>0859709768</v>
      </c>
      <c r="V219" s="16" t="str" cm="1">
        <f t="array" ref="V219" ca="1">_xlfn.LET(_xlpm.r,RANDBETWEEN(1,100),_xlfn.IFS(_xlpm.r&lt;=70,"Full-Time",_xlpm.r&lt;=85,"Part-Time",_xlpm.r&lt;=95,"Contract",TRUE,"Intern"))</f>
        <v>Full-Time</v>
      </c>
      <c r="W219" s="16" cm="1">
        <f t="array" ref="W219" ca="1">IF(K219&lt;&gt;"Active",0,_xlfn.IFS(M219=5,L219*15%,M219=4,L219*10%,M219=3,L219*5%,M219=2,L219*2%,TRUE,0))</f>
        <v>7965</v>
      </c>
      <c r="X219" s="24">
        <f t="shared" ca="1" si="52"/>
        <v>1</v>
      </c>
      <c r="Y219" s="24">
        <f t="shared" ca="1" si="53"/>
        <v>3</v>
      </c>
    </row>
    <row r="220" spans="1:25">
      <c r="A220" s="16" t="str">
        <f t="shared" si="54"/>
        <v>EMP219</v>
      </c>
      <c r="B220" s="16" t="str" cm="1">
        <f t="array" ref="B220" ca="1">IF(D220="Male",INDEX(Lookup!$L$2:$L$13,RANDBETWEEN(1,12)),IF(D220="Female",INDEX(Lookup!$M$2:$M$13,RANDBETWEEN(1,12)),INDEX(Lookup!$N$2:$N$13,RANDBETWEEN(1,12))))</f>
        <v>Isabella</v>
      </c>
      <c r="C220" s="16" t="str" cm="1">
        <f t="array" ref="C220" ca="1">INDEX(Lookup!$K$2:$K$31,RANDBETWEEN(1,30))</f>
        <v>Nelson</v>
      </c>
      <c r="D220" s="16" t="str" cm="1">
        <f t="array" ref="D220" ca="1">INDEX(Lookup!$H$2:$H$4,RANDBETWEEN(1,3))</f>
        <v>Female</v>
      </c>
      <c r="E220" s="16">
        <f t="shared" ca="1" si="42"/>
        <v>34</v>
      </c>
      <c r="F220" s="16" t="str" cm="1">
        <f t="array" ref="F220" ca="1">INDEX(Lookup!$A$2:$A$10,RANDBETWEEN(1,9))</f>
        <v>Procurement</v>
      </c>
      <c r="G220" s="16" t="str" cm="1">
        <f t="array" ref="G220" ca="1">_xlfn.LET(_xlpm.Roles,_xlfn._xlws.FILTER(Lookup!$P$2:$P$28,Lookup!$O$2:$O$28=F220),INDEX(_xlpm.Roles,RANDBETWEEN(1,ROWS(_xlpm.Roles))))</f>
        <v>Procurement Analyst</v>
      </c>
      <c r="H220" s="16" t="str" cm="1">
        <f t="array" ref="H220" ca="1">INDEX(Lookup!$B$2:$B$7,RANDBETWEEN(1,6))</f>
        <v>Waterford</v>
      </c>
      <c r="I220" s="22">
        <f t="shared" ca="1" si="43"/>
        <v>44203</v>
      </c>
      <c r="J220" s="22" t="str">
        <f t="shared" ca="1" si="44"/>
        <v/>
      </c>
      <c r="K220" s="16" t="str">
        <f t="shared" ca="1" si="45"/>
        <v>Active</v>
      </c>
      <c r="L220" s="26">
        <f ca="1">_xlfn.XLOOKUP(G220,Lookup!$P$2:$P$28,Lookup!$Q$2:$Q$28)*(1+MIN(X220*3%,30%))</f>
        <v>50000</v>
      </c>
      <c r="M220" s="24">
        <f t="shared" ca="1" si="55"/>
        <v>1</v>
      </c>
      <c r="N220" s="24">
        <f t="shared" ca="1" si="46"/>
        <v>2</v>
      </c>
      <c r="O220" s="24">
        <f t="shared" ca="1" si="47"/>
        <v>17</v>
      </c>
      <c r="P220" s="24">
        <f t="shared" ca="1" si="48"/>
        <v>35</v>
      </c>
      <c r="Q220" s="16" t="str">
        <f t="shared" ca="1" si="49"/>
        <v>Not Promoted</v>
      </c>
      <c r="R220" s="16" t="str" cm="1">
        <f t="array" ref="R220" ca="1">INDEX(Lookup!$E$2:$E$6,RANDBETWEEN(1,5))</f>
        <v>High School</v>
      </c>
      <c r="S220" s="16" t="str" cm="1">
        <f t="array" ref="S220" ca="1">INDEX(Lookup!$J$2:$J$11,RANDBETWEEN(1,10))</f>
        <v>Michael Brown</v>
      </c>
      <c r="T220" s="16" t="str">
        <f t="shared" ca="1" si="50"/>
        <v>isabella.nelson@hranalytics.com</v>
      </c>
      <c r="U220" s="16" t="str">
        <f t="shared" ca="1" si="51"/>
        <v>0878612034</v>
      </c>
      <c r="V220" s="16" t="str" cm="1">
        <f t="array" ref="V220" ca="1">_xlfn.LET(_xlpm.r,RANDBETWEEN(1,100),_xlfn.IFS(_xlpm.r&lt;=70,"Full-Time",_xlpm.r&lt;=85,"Part-Time",_xlpm.r&lt;=95,"Contract",TRUE,"Intern"))</f>
        <v>Full-Time</v>
      </c>
      <c r="W220" s="16" cm="1">
        <f t="array" ref="W220" ca="1">IF(K220&lt;&gt;"Active",0,_xlfn.IFS(M220=5,L220*15%,M220=4,L220*10%,M220=3,L220*5%,M220=2,L220*2%,TRUE,0))</f>
        <v>7500</v>
      </c>
      <c r="X220" s="24">
        <f t="shared" ca="1" si="52"/>
        <v>5</v>
      </c>
      <c r="Y220" s="24">
        <f t="shared" ca="1" si="53"/>
        <v>2</v>
      </c>
    </row>
    <row r="221" spans="1:25">
      <c r="A221" s="16" t="str">
        <f t="shared" si="54"/>
        <v>EMP220</v>
      </c>
      <c r="B221" s="16" t="str" cm="1">
        <f t="array" ref="B221" ca="1">IF(D221="Male",INDEX(Lookup!$L$2:$L$13,RANDBETWEEN(1,12)),IF(D221="Female",INDEX(Lookup!$M$2:$M$13,RANDBETWEEN(1,12)),INDEX(Lookup!$N$2:$N$13,RANDBETWEEN(1,12))))</f>
        <v>Mia</v>
      </c>
      <c r="C221" s="16" t="str" cm="1">
        <f t="array" ref="C221" ca="1">INDEX(Lookup!$K$2:$K$31,RANDBETWEEN(1,30))</f>
        <v>Martin</v>
      </c>
      <c r="D221" s="16" t="str" cm="1">
        <f t="array" ref="D221" ca="1">INDEX(Lookup!$H$2:$H$4,RANDBETWEEN(1,3))</f>
        <v>Female</v>
      </c>
      <c r="E221" s="16">
        <f t="shared" ca="1" si="42"/>
        <v>33</v>
      </c>
      <c r="F221" s="16" t="str" cm="1">
        <f t="array" ref="F221" ca="1">INDEX(Lookup!$A$2:$A$10,RANDBETWEEN(1,9))</f>
        <v>Marketing</v>
      </c>
      <c r="G221" s="16" t="str" cm="1">
        <f t="array" ref="G221" ca="1">_xlfn.LET(_xlpm.Roles,_xlfn._xlws.FILTER(Lookup!$P$2:$P$28,Lookup!$O$2:$O$28=F221),INDEX(_xlpm.Roles,RANDBETWEEN(1,ROWS(_xlpm.Roles))))</f>
        <v>Digital Marketing Specialist</v>
      </c>
      <c r="H221" s="16" t="str" cm="1">
        <f t="array" ref="H221" ca="1">INDEX(Lookup!$B$2:$B$7,RANDBETWEEN(1,6))</f>
        <v>Waterford</v>
      </c>
      <c r="I221" s="22">
        <f t="shared" ca="1" si="43"/>
        <v>43426</v>
      </c>
      <c r="J221" s="22" t="str">
        <f t="shared" ca="1" si="44"/>
        <v/>
      </c>
      <c r="K221" s="16" t="str">
        <f t="shared" ca="1" si="45"/>
        <v>Active</v>
      </c>
      <c r="L221" s="26">
        <f ca="1">_xlfn.XLOOKUP(G221,Lookup!$P$2:$P$28,Lookup!$Q$2:$Q$28)*(1+MIN(X221*3%,30%))</f>
        <v>56000</v>
      </c>
      <c r="M221" s="24">
        <f t="shared" ca="1" si="55"/>
        <v>5</v>
      </c>
      <c r="N221" s="24">
        <f t="shared" ca="1" si="46"/>
        <v>15</v>
      </c>
      <c r="O221" s="24">
        <f t="shared" ca="1" si="47"/>
        <v>11</v>
      </c>
      <c r="P221" s="24">
        <f t="shared" ca="1" si="48"/>
        <v>45</v>
      </c>
      <c r="Q221" s="16" t="str">
        <f t="shared" ca="1" si="49"/>
        <v>Promoted</v>
      </c>
      <c r="R221" s="16" t="str" cm="1">
        <f t="array" ref="R221" ca="1">INDEX(Lookup!$E$2:$E$6,RANDBETWEEN(1,5))</f>
        <v>Master's</v>
      </c>
      <c r="S221" s="16" t="str" cm="1">
        <f t="array" ref="S221" ca="1">INDEX(Lookup!$J$2:$J$11,RANDBETWEEN(1,10))</f>
        <v>Grace O'Connor</v>
      </c>
      <c r="T221" s="16" t="str">
        <f t="shared" ca="1" si="50"/>
        <v>mia.martin@hranalytics.com</v>
      </c>
      <c r="U221" s="16" t="str">
        <f t="shared" ca="1" si="51"/>
        <v>0895596874</v>
      </c>
      <c r="V221" s="16" t="str" cm="1">
        <f t="array" ref="V221" ca="1">_xlfn.LET(_xlpm.r,RANDBETWEEN(1,100),_xlfn.IFS(_xlpm.r&lt;=70,"Full-Time",_xlpm.r&lt;=85,"Part-Time",_xlpm.r&lt;=95,"Contract",TRUE,"Intern"))</f>
        <v>Contract</v>
      </c>
      <c r="W221" s="16" cm="1">
        <f t="array" ref="W221" ca="1">IF(K221&lt;&gt;"Active",0,_xlfn.IFS(M221=5,L221*15%,M221=4,L221*10%,M221=3,L221*5%,M221=2,L221*2%,TRUE,0))</f>
        <v>0</v>
      </c>
      <c r="X221" s="24">
        <f t="shared" ca="1" si="52"/>
        <v>7</v>
      </c>
      <c r="Y221" s="24">
        <f t="shared" ca="1" si="53"/>
        <v>3</v>
      </c>
    </row>
    <row r="222" spans="1:25">
      <c r="A222" s="16" t="str">
        <f t="shared" si="54"/>
        <v>EMP221</v>
      </c>
      <c r="B222" s="16" t="str" cm="1">
        <f t="array" ref="B222" ca="1">IF(D222="Male",INDEX(Lookup!$L$2:$L$13,RANDBETWEEN(1,12)),IF(D222="Female",INDEX(Lookup!$M$2:$M$13,RANDBETWEEN(1,12)),INDEX(Lookup!$N$2:$N$13,RANDBETWEEN(1,12))))</f>
        <v>Hannah</v>
      </c>
      <c r="C222" s="16" t="str" cm="1">
        <f t="array" ref="C222" ca="1">INDEX(Lookup!$K$2:$K$31,RANDBETWEEN(1,30))</f>
        <v>Lewis</v>
      </c>
      <c r="D222" s="16" t="str" cm="1">
        <f t="array" ref="D222" ca="1">INDEX(Lookup!$H$2:$H$4,RANDBETWEEN(1,3))</f>
        <v>Female</v>
      </c>
      <c r="E222" s="16">
        <f t="shared" ca="1" si="42"/>
        <v>21</v>
      </c>
      <c r="F222" s="16" t="str" cm="1">
        <f t="array" ref="F222" ca="1">INDEX(Lookup!$A$2:$A$10,RANDBETWEEN(1,9))</f>
        <v>Sales</v>
      </c>
      <c r="G222" s="16" t="str" cm="1">
        <f t="array" ref="G222" ca="1">_xlfn.LET(_xlpm.Roles,_xlfn._xlws.FILTER(Lookup!$P$2:$P$28,Lookup!$O$2:$O$28=F222),INDEX(_xlpm.Roles,RANDBETWEEN(1,ROWS(_xlpm.Roles))))</f>
        <v>Business Development Executive</v>
      </c>
      <c r="H222" s="16" t="str" cm="1">
        <f t="array" ref="H222" ca="1">INDEX(Lookup!$B$2:$B$7,RANDBETWEEN(1,6))</f>
        <v>Waterford</v>
      </c>
      <c r="I222" s="22">
        <f t="shared" ca="1" si="43"/>
        <v>45814</v>
      </c>
      <c r="J222" s="22" t="str">
        <f t="shared" ca="1" si="44"/>
        <v/>
      </c>
      <c r="K222" s="16" t="str">
        <f t="shared" ca="1" si="45"/>
        <v>Active</v>
      </c>
      <c r="L222" s="26">
        <f ca="1">_xlfn.XLOOKUP(G222,Lookup!$P$2:$P$28,Lookup!$Q$2:$Q$28)*(1+MIN(X222*3%,30%))</f>
        <v>52320</v>
      </c>
      <c r="M222" s="24">
        <f t="shared" ca="1" si="55"/>
        <v>1</v>
      </c>
      <c r="N222" s="24">
        <f t="shared" ca="1" si="46"/>
        <v>20</v>
      </c>
      <c r="O222" s="24">
        <f t="shared" ca="1" si="47"/>
        <v>7</v>
      </c>
      <c r="P222" s="24">
        <f t="shared" ca="1" si="48"/>
        <v>42</v>
      </c>
      <c r="Q222" s="16" t="str">
        <f t="shared" ca="1" si="49"/>
        <v>Not Promoted</v>
      </c>
      <c r="R222" s="16" t="str" cm="1">
        <f t="array" ref="R222" ca="1">INDEX(Lookup!$E$2:$E$6,RANDBETWEEN(1,5))</f>
        <v>High School</v>
      </c>
      <c r="S222" s="16" t="str" cm="1">
        <f t="array" ref="S222" ca="1">INDEX(Lookup!$J$2:$J$11,RANDBETWEEN(1,10))</f>
        <v>Sophia Martin</v>
      </c>
      <c r="T222" s="16" t="str">
        <f t="shared" ca="1" si="50"/>
        <v>hannah.lewis@hranalytics.com</v>
      </c>
      <c r="U222" s="16" t="str">
        <f t="shared" ca="1" si="51"/>
        <v>0882453050</v>
      </c>
      <c r="V222" s="16" t="str" cm="1">
        <f t="array" ref="V222" ca="1">_xlfn.LET(_xlpm.r,RANDBETWEEN(1,100),_xlfn.IFS(_xlpm.r&lt;=70,"Full-Time",_xlpm.r&lt;=85,"Part-Time",_xlpm.r&lt;=95,"Contract",TRUE,"Intern"))</f>
        <v>Part-Time</v>
      </c>
      <c r="W222" s="16" cm="1">
        <f t="array" ref="W222" ca="1">IF(K222&lt;&gt;"Active",0,_xlfn.IFS(M222=5,L222*15%,M222=4,L222*10%,M222=3,L222*5%,M222=2,L222*2%,TRUE,0))</f>
        <v>0</v>
      </c>
      <c r="X222" s="24">
        <f t="shared" ca="1" si="52"/>
        <v>1</v>
      </c>
      <c r="Y222" s="24">
        <f t="shared" ca="1" si="53"/>
        <v>1</v>
      </c>
    </row>
    <row r="223" spans="1:25">
      <c r="A223" s="16" t="str">
        <f t="shared" si="54"/>
        <v>EMP222</v>
      </c>
      <c r="B223" s="16" t="str" cm="1">
        <f t="array" ref="B223" ca="1">IF(D223="Male",INDEX(Lookup!$L$2:$L$13,RANDBETWEEN(1,12)),IF(D223="Female",INDEX(Lookup!$M$2:$M$13,RANDBETWEEN(1,12)),INDEX(Lookup!$N$2:$N$13,RANDBETWEEN(1,12))))</f>
        <v>Quinn</v>
      </c>
      <c r="C223" s="16" t="str" cm="1">
        <f t="array" ref="C223" ca="1">INDEX(Lookup!$K$2:$K$31,RANDBETWEEN(1,30))</f>
        <v>Martin</v>
      </c>
      <c r="D223" s="16" t="str" cm="1">
        <f t="array" ref="D223" ca="1">INDEX(Lookup!$H$2:$H$4,RANDBETWEEN(1,3))</f>
        <v>Other</v>
      </c>
      <c r="E223" s="16">
        <f t="shared" ca="1" si="42"/>
        <v>58</v>
      </c>
      <c r="F223" s="16" t="str" cm="1">
        <f t="array" ref="F223" ca="1">INDEX(Lookup!$A$2:$A$10,RANDBETWEEN(1,9))</f>
        <v>Marketing</v>
      </c>
      <c r="G223" s="16" t="str" cm="1">
        <f t="array" ref="G223" ca="1">_xlfn.LET(_xlpm.Roles,_xlfn._xlws.FILTER(Lookup!$P$2:$P$28,Lookup!$O$2:$O$28=F223),INDEX(_xlpm.Roles,RANDBETWEEN(1,ROWS(_xlpm.Roles))))</f>
        <v>Brand Executive</v>
      </c>
      <c r="H223" s="16" t="str" cm="1">
        <f t="array" ref="H223" ca="1">INDEX(Lookup!$B$2:$B$7,RANDBETWEEN(1,6))</f>
        <v>Belfast</v>
      </c>
      <c r="I223" s="22">
        <f t="shared" ca="1" si="43"/>
        <v>44936</v>
      </c>
      <c r="J223" s="22" t="str">
        <f t="shared" ca="1" si="44"/>
        <v/>
      </c>
      <c r="K223" s="16" t="str">
        <f t="shared" ca="1" si="45"/>
        <v>Active</v>
      </c>
      <c r="L223" s="26">
        <f ca="1">_xlfn.XLOOKUP(G223,Lookup!$P$2:$P$28,Lookup!$Q$2:$Q$28)*(1+MIN(X223*3%,30%))</f>
        <v>50140</v>
      </c>
      <c r="M223" s="24">
        <f t="shared" ca="1" si="55"/>
        <v>4</v>
      </c>
      <c r="N223" s="24">
        <f t="shared" ca="1" si="46"/>
        <v>0</v>
      </c>
      <c r="O223" s="24">
        <f t="shared" ca="1" si="47"/>
        <v>20</v>
      </c>
      <c r="P223" s="24">
        <f t="shared" ca="1" si="48"/>
        <v>5</v>
      </c>
      <c r="Q223" s="16" t="str">
        <f t="shared" ca="1" si="49"/>
        <v>Not Promoted</v>
      </c>
      <c r="R223" s="16" t="str" cm="1">
        <f t="array" ref="R223" ca="1">INDEX(Lookup!$E$2:$E$6,RANDBETWEEN(1,5))</f>
        <v>Dipolma</v>
      </c>
      <c r="S223" s="16" t="str" cm="1">
        <f t="array" ref="S223" ca="1">INDEX(Lookup!$J$2:$J$11,RANDBETWEEN(1,10))</f>
        <v>Olivia Smith</v>
      </c>
      <c r="T223" s="16" t="str">
        <f t="shared" ca="1" si="50"/>
        <v>quinn.martin@hranalytics.com</v>
      </c>
      <c r="U223" s="16" t="str">
        <f t="shared" ca="1" si="51"/>
        <v>0865666323</v>
      </c>
      <c r="V223" s="16" t="str" cm="1">
        <f t="array" ref="V223" ca="1">_xlfn.LET(_xlpm.r,RANDBETWEEN(1,100),_xlfn.IFS(_xlpm.r&lt;=70,"Full-Time",_xlpm.r&lt;=85,"Part-Time",_xlpm.r&lt;=95,"Contract",TRUE,"Intern"))</f>
        <v>Part-Time</v>
      </c>
      <c r="W223" s="16" cm="1">
        <f t="array" ref="W223" ca="1">IF(K223&lt;&gt;"Active",0,_xlfn.IFS(M223=5,L223*15%,M223=4,L223*10%,M223=3,L223*5%,M223=2,L223*2%,TRUE,0))</f>
        <v>0</v>
      </c>
      <c r="X223" s="24">
        <f t="shared" ca="1" si="52"/>
        <v>3</v>
      </c>
      <c r="Y223" s="24">
        <f t="shared" ca="1" si="53"/>
        <v>1</v>
      </c>
    </row>
    <row r="224" spans="1:25">
      <c r="A224" s="16" t="str">
        <f t="shared" si="54"/>
        <v>EMP223</v>
      </c>
      <c r="B224" s="16" t="str" cm="1">
        <f t="array" ref="B224" ca="1">IF(D224="Male",INDEX(Lookup!$L$2:$L$13,RANDBETWEEN(1,12)),IF(D224="Female",INDEX(Lookup!$M$2:$M$13,RANDBETWEEN(1,12)),INDEX(Lookup!$N$2:$N$13,RANDBETWEEN(1,12))))</f>
        <v>William</v>
      </c>
      <c r="C224" s="16" t="str" cm="1">
        <f t="array" ref="C224" ca="1">INDEX(Lookup!$K$2:$K$31,RANDBETWEEN(1,30))</f>
        <v>Taylor</v>
      </c>
      <c r="D224" s="16" t="str" cm="1">
        <f t="array" ref="D224" ca="1">INDEX(Lookup!$H$2:$H$4,RANDBETWEEN(1,3))</f>
        <v>Male</v>
      </c>
      <c r="E224" s="16">
        <f t="shared" ca="1" si="42"/>
        <v>40</v>
      </c>
      <c r="F224" s="16" t="str" cm="1">
        <f t="array" ref="F224" ca="1">INDEX(Lookup!$A$2:$A$10,RANDBETWEEN(1,9))</f>
        <v>Legal</v>
      </c>
      <c r="G224" s="16" t="str" cm="1">
        <f t="array" ref="G224" ca="1">_xlfn.LET(_xlpm.Roles,_xlfn._xlws.FILTER(Lookup!$P$2:$P$28,Lookup!$O$2:$O$28=F224),INDEX(_xlpm.Roles,RANDBETWEEN(1,ROWS(_xlpm.Roles))))</f>
        <v>Legal Executive</v>
      </c>
      <c r="H224" s="16" t="str" cm="1">
        <f t="array" ref="H224" ca="1">INDEX(Lookup!$B$2:$B$7,RANDBETWEEN(1,6))</f>
        <v>Waterford</v>
      </c>
      <c r="I224" s="22">
        <f t="shared" ca="1" si="43"/>
        <v>43877</v>
      </c>
      <c r="J224" s="22" t="str">
        <f t="shared" ca="1" si="44"/>
        <v/>
      </c>
      <c r="K224" s="16" t="str">
        <f t="shared" ca="1" si="45"/>
        <v>Active</v>
      </c>
      <c r="L224" s="26">
        <f ca="1">_xlfn.XLOOKUP(G224,Lookup!$P$2:$P$28,Lookup!$Q$2:$Q$28)*(1+MIN(X224*3%,30%))</f>
        <v>55120</v>
      </c>
      <c r="M224" s="24">
        <f t="shared" ca="1" si="55"/>
        <v>1</v>
      </c>
      <c r="N224" s="24">
        <f t="shared" ca="1" si="46"/>
        <v>25</v>
      </c>
      <c r="O224" s="24">
        <f t="shared" ca="1" si="47"/>
        <v>10</v>
      </c>
      <c r="P224" s="24">
        <f t="shared" ca="1" si="48"/>
        <v>44</v>
      </c>
      <c r="Q224" s="16" t="str">
        <f t="shared" ca="1" si="49"/>
        <v>Promoted</v>
      </c>
      <c r="R224" s="16" t="str" cm="1">
        <f t="array" ref="R224" ca="1">INDEX(Lookup!$E$2:$E$6,RANDBETWEEN(1,5))</f>
        <v>Bachelor's</v>
      </c>
      <c r="S224" s="16" t="str" cm="1">
        <f t="array" ref="S224" ca="1">INDEX(Lookup!$J$2:$J$11,RANDBETWEEN(1,10))</f>
        <v>Grace O'Connor</v>
      </c>
      <c r="T224" s="16" t="str">
        <f t="shared" ca="1" si="50"/>
        <v>william.taylor@hranalytics.com</v>
      </c>
      <c r="U224" s="16" t="str">
        <f t="shared" ca="1" si="51"/>
        <v>0877430736</v>
      </c>
      <c r="V224" s="16" t="str" cm="1">
        <f t="array" ref="V224" ca="1">_xlfn.LET(_xlpm.r,RANDBETWEEN(1,100),_xlfn.IFS(_xlpm.r&lt;=70,"Full-Time",_xlpm.r&lt;=85,"Part-Time",_xlpm.r&lt;=95,"Contract",TRUE,"Intern"))</f>
        <v>Full-Time</v>
      </c>
      <c r="W224" s="16" cm="1">
        <f t="array" ref="W224" ca="1">IF(K224&lt;&gt;"Active",0,_xlfn.IFS(M224=5,L224*15%,M224=4,L224*10%,M224=3,L224*5%,M224=2,L224*2%,TRUE,0))</f>
        <v>8268</v>
      </c>
      <c r="X224" s="24">
        <f t="shared" ca="1" si="52"/>
        <v>6</v>
      </c>
      <c r="Y224" s="24">
        <f t="shared" ca="1" si="53"/>
        <v>2</v>
      </c>
    </row>
    <row r="225" spans="1:25">
      <c r="A225" s="16" t="str">
        <f t="shared" si="54"/>
        <v>EMP224</v>
      </c>
      <c r="B225" s="16" t="str" cm="1">
        <f t="array" ref="B225" ca="1">IF(D225="Male",INDEX(Lookup!$L$2:$L$13,RANDBETWEEN(1,12)),IF(D225="Female",INDEX(Lookup!$M$2:$M$13,RANDBETWEEN(1,12)),INDEX(Lookup!$N$2:$N$13,RANDBETWEEN(1,12))))</f>
        <v>Charlotte</v>
      </c>
      <c r="C225" s="16" t="str" cm="1">
        <f t="array" ref="C225" ca="1">INDEX(Lookup!$K$2:$K$31,RANDBETWEEN(1,30))</f>
        <v>Moore</v>
      </c>
      <c r="D225" s="16" t="str" cm="1">
        <f t="array" ref="D225" ca="1">INDEX(Lookup!$H$2:$H$4,RANDBETWEEN(1,3))</f>
        <v>Female</v>
      </c>
      <c r="E225" s="16">
        <f t="shared" ca="1" si="42"/>
        <v>39</v>
      </c>
      <c r="F225" s="16" t="str" cm="1">
        <f t="array" ref="F225" ca="1">INDEX(Lookup!$A$2:$A$10,RANDBETWEEN(1,9))</f>
        <v>Customer Support</v>
      </c>
      <c r="G225" s="16" t="str" cm="1">
        <f t="array" ref="G225" ca="1">_xlfn.LET(_xlpm.Roles,_xlfn._xlws.FILTER(Lookup!$P$2:$P$28,Lookup!$O$2:$O$28=F225),INDEX(_xlpm.Roles,RANDBETWEEN(1,ROWS(_xlpm.Roles))))</f>
        <v>Customer Success Specialist</v>
      </c>
      <c r="H225" s="16" t="str" cm="1">
        <f t="array" ref="H225" ca="1">INDEX(Lookup!$B$2:$B$7,RANDBETWEEN(1,6))</f>
        <v>Belfast</v>
      </c>
      <c r="I225" s="22">
        <f t="shared" ca="1" si="43"/>
        <v>43441</v>
      </c>
      <c r="J225" s="22" t="str">
        <f t="shared" ca="1" si="44"/>
        <v/>
      </c>
      <c r="K225" s="16" t="str">
        <f t="shared" ca="1" si="45"/>
        <v>Active</v>
      </c>
      <c r="L225" s="26">
        <f ca="1">_xlfn.XLOOKUP(G225,Lookup!$P$2:$P$28,Lookup!$Q$2:$Q$28)*(1+MIN(X225*3%,30%))</f>
        <v>52080</v>
      </c>
      <c r="M225" s="24">
        <f t="shared" ca="1" si="55"/>
        <v>5</v>
      </c>
      <c r="N225" s="24">
        <f t="shared" ca="1" si="46"/>
        <v>69</v>
      </c>
      <c r="O225" s="24">
        <f t="shared" ca="1" si="47"/>
        <v>5</v>
      </c>
      <c r="P225" s="24">
        <f t="shared" ca="1" si="48"/>
        <v>3</v>
      </c>
      <c r="Q225" s="16" t="str">
        <f t="shared" ca="1" si="49"/>
        <v>Promoted</v>
      </c>
      <c r="R225" s="16" t="str" cm="1">
        <f t="array" ref="R225" ca="1">INDEX(Lookup!$E$2:$E$6,RANDBETWEEN(1,5))</f>
        <v>Bachelor's</v>
      </c>
      <c r="S225" s="16" t="str" cm="1">
        <f t="array" ref="S225" ca="1">INDEX(Lookup!$J$2:$J$11,RANDBETWEEN(1,10))</f>
        <v>Olivia Smith</v>
      </c>
      <c r="T225" s="16" t="str">
        <f t="shared" ca="1" si="50"/>
        <v>charlotte.moore@hranalytics.com</v>
      </c>
      <c r="U225" s="16" t="str">
        <f t="shared" ca="1" si="51"/>
        <v>0891701693</v>
      </c>
      <c r="V225" s="16" t="str" cm="1">
        <f t="array" ref="V225" ca="1">_xlfn.LET(_xlpm.r,RANDBETWEEN(1,100),_xlfn.IFS(_xlpm.r&lt;=70,"Full-Time",_xlpm.r&lt;=85,"Part-Time",_xlpm.r&lt;=95,"Contract",TRUE,"Intern"))</f>
        <v>Full-Time</v>
      </c>
      <c r="W225" s="16" cm="1">
        <f t="array" ref="W225" ca="1">IF(K225&lt;&gt;"Active",0,_xlfn.IFS(M225=5,L225*15%,M225=4,L225*10%,M225=3,L225*5%,M225=2,L225*2%,TRUE,0))</f>
        <v>2604</v>
      </c>
      <c r="X225" s="24">
        <f t="shared" ca="1" si="52"/>
        <v>7</v>
      </c>
      <c r="Y225" s="24">
        <f t="shared" ca="1" si="53"/>
        <v>3</v>
      </c>
    </row>
    <row r="226" spans="1:25">
      <c r="A226" s="16" t="str">
        <f t="shared" si="54"/>
        <v>EMP225</v>
      </c>
      <c r="B226" s="16" t="str" cm="1">
        <f t="array" ref="B226" ca="1">IF(D226="Male",INDEX(Lookup!$L$2:$L$13,RANDBETWEEN(1,12)),IF(D226="Female",INDEX(Lookup!$M$2:$M$13,RANDBETWEEN(1,12)),INDEX(Lookup!$N$2:$N$13,RANDBETWEEN(1,12))))</f>
        <v>Morgan</v>
      </c>
      <c r="C226" s="16" t="str" cm="1">
        <f t="array" ref="C226" ca="1">INDEX(Lookup!$K$2:$K$31,RANDBETWEEN(1,30))</f>
        <v>Evans</v>
      </c>
      <c r="D226" s="16" t="str" cm="1">
        <f t="array" ref="D226" ca="1">INDEX(Lookup!$H$2:$H$4,RANDBETWEEN(1,3))</f>
        <v>Other</v>
      </c>
      <c r="E226" s="16">
        <f t="shared" ca="1" si="42"/>
        <v>44</v>
      </c>
      <c r="F226" s="16" t="str" cm="1">
        <f t="array" ref="F226" ca="1">INDEX(Lookup!$A$2:$A$10,RANDBETWEEN(1,9))</f>
        <v>Customer Support</v>
      </c>
      <c r="G226" s="16" t="str" cm="1">
        <f t="array" ref="G226" ca="1">_xlfn.LET(_xlpm.Roles,_xlfn._xlws.FILTER(Lookup!$P$2:$P$28,Lookup!$O$2:$O$28=F226),INDEX(_xlpm.Roles,RANDBETWEEN(1,ROWS(_xlpm.Roles))))</f>
        <v>Customer Support Representative</v>
      </c>
      <c r="H226" s="16" t="str" cm="1">
        <f t="array" ref="H226" ca="1">INDEX(Lookup!$B$2:$B$7,RANDBETWEEN(1,6))</f>
        <v>Galway</v>
      </c>
      <c r="I226" s="22">
        <f t="shared" ca="1" si="43"/>
        <v>45880</v>
      </c>
      <c r="J226" s="22" t="str">
        <f t="shared" ca="1" si="44"/>
        <v/>
      </c>
      <c r="K226" s="16" t="str">
        <f t="shared" ca="1" si="45"/>
        <v>Active</v>
      </c>
      <c r="L226" s="26">
        <f ca="1">_xlfn.XLOOKUP(G226,Lookup!$P$2:$P$28,Lookup!$Q$2:$Q$28)*(1+MIN(X226*3%,30%))</f>
        <v>40320</v>
      </c>
      <c r="M226" s="24">
        <f t="shared" ca="1" si="55"/>
        <v>3</v>
      </c>
      <c r="N226" s="24">
        <f t="shared" ca="1" si="46"/>
        <v>14</v>
      </c>
      <c r="O226" s="24">
        <f t="shared" ca="1" si="47"/>
        <v>14</v>
      </c>
      <c r="P226" s="24">
        <f t="shared" ca="1" si="48"/>
        <v>10</v>
      </c>
      <c r="Q226" s="16" t="str">
        <f t="shared" ca="1" si="49"/>
        <v>Not Promoted</v>
      </c>
      <c r="R226" s="16" t="str" cm="1">
        <f t="array" ref="R226" ca="1">INDEX(Lookup!$E$2:$E$6,RANDBETWEEN(1,5))</f>
        <v>Dipolma</v>
      </c>
      <c r="S226" s="16" t="str" cm="1">
        <f t="array" ref="S226" ca="1">INDEX(Lookup!$J$2:$J$11,RANDBETWEEN(1,10))</f>
        <v>Grace O'Connor</v>
      </c>
      <c r="T226" s="16" t="str">
        <f t="shared" ca="1" si="50"/>
        <v>morgan.evans@hranalytics.com</v>
      </c>
      <c r="U226" s="16" t="str">
        <f t="shared" ca="1" si="51"/>
        <v>0839213943</v>
      </c>
      <c r="V226" s="16" t="str" cm="1">
        <f t="array" ref="V226" ca="1">_xlfn.LET(_xlpm.r,RANDBETWEEN(1,100),_xlfn.IFS(_xlpm.r&lt;=70,"Full-Time",_xlpm.r&lt;=85,"Part-Time",_xlpm.r&lt;=95,"Contract",TRUE,"Intern"))</f>
        <v>Full-Time</v>
      </c>
      <c r="W226" s="16" cm="1">
        <f t="array" ref="W226" ca="1">IF(K226&lt;&gt;"Active",0,_xlfn.IFS(M226=5,L226*15%,M226=4,L226*10%,M226=3,L226*5%,M226=2,L226*2%,TRUE,0))</f>
        <v>0</v>
      </c>
      <c r="X226" s="24">
        <f t="shared" ca="1" si="52"/>
        <v>1</v>
      </c>
      <c r="Y226" s="24">
        <f t="shared" ca="1" si="53"/>
        <v>1</v>
      </c>
    </row>
    <row r="227" spans="1:25">
      <c r="A227" s="16" t="str">
        <f t="shared" si="54"/>
        <v>EMP226</v>
      </c>
      <c r="B227" s="16" t="str" cm="1">
        <f t="array" ref="B227" ca="1">IF(D227="Male",INDEX(Lookup!$L$2:$L$13,RANDBETWEEN(1,12)),IF(D227="Female",INDEX(Lookup!$M$2:$M$13,RANDBETWEEN(1,12)),INDEX(Lookup!$N$2:$N$13,RANDBETWEEN(1,12))))</f>
        <v>Hannah</v>
      </c>
      <c r="C227" s="16" t="str" cm="1">
        <f t="array" ref="C227" ca="1">INDEX(Lookup!$K$2:$K$31,RANDBETWEEN(1,30))</f>
        <v>Nelson</v>
      </c>
      <c r="D227" s="16" t="str" cm="1">
        <f t="array" ref="D227" ca="1">INDEX(Lookup!$H$2:$H$4,RANDBETWEEN(1,3))</f>
        <v>Female</v>
      </c>
      <c r="E227" s="16">
        <f t="shared" ca="1" si="42"/>
        <v>56</v>
      </c>
      <c r="F227" s="16" t="str" cm="1">
        <f t="array" ref="F227" ca="1">INDEX(Lookup!$A$2:$A$10,RANDBETWEEN(1,9))</f>
        <v>Legal</v>
      </c>
      <c r="G227" s="16" t="str" cm="1">
        <f t="array" ref="G227" ca="1">_xlfn.LET(_xlpm.Roles,_xlfn._xlws.FILTER(Lookup!$P$2:$P$28,Lookup!$O$2:$O$28=F227),INDEX(_xlpm.Roles,RANDBETWEEN(1,ROWS(_xlpm.Roles))))</f>
        <v>Legal Executive</v>
      </c>
      <c r="H227" s="16" t="str" cm="1">
        <f t="array" ref="H227" ca="1">INDEX(Lookup!$B$2:$B$7,RANDBETWEEN(1,6))</f>
        <v>Galway</v>
      </c>
      <c r="I227" s="22">
        <f t="shared" ca="1" si="43"/>
        <v>45102</v>
      </c>
      <c r="J227" s="22" t="str">
        <f t="shared" ca="1" si="44"/>
        <v/>
      </c>
      <c r="K227" s="16" t="str">
        <f t="shared" ca="1" si="45"/>
        <v>Active</v>
      </c>
      <c r="L227" s="26">
        <f ca="1">_xlfn.XLOOKUP(G227,Lookup!$P$2:$P$28,Lookup!$Q$2:$Q$28)*(1+MIN(X227*3%,30%))</f>
        <v>58240</v>
      </c>
      <c r="M227" s="24">
        <f t="shared" ca="1" si="55"/>
        <v>3</v>
      </c>
      <c r="N227" s="24">
        <f t="shared" ca="1" si="46"/>
        <v>75</v>
      </c>
      <c r="O227" s="24">
        <f t="shared" ca="1" si="47"/>
        <v>0</v>
      </c>
      <c r="P227" s="24">
        <f t="shared" ca="1" si="48"/>
        <v>28</v>
      </c>
      <c r="Q227" s="16" t="str">
        <f t="shared" ca="1" si="49"/>
        <v>Promoted</v>
      </c>
      <c r="R227" s="16" t="str" cm="1">
        <f t="array" ref="R227" ca="1">INDEX(Lookup!$E$2:$E$6,RANDBETWEEN(1,5))</f>
        <v>PhD</v>
      </c>
      <c r="S227" s="16" t="str" cm="1">
        <f t="array" ref="S227" ca="1">INDEX(Lookup!$J$2:$J$11,RANDBETWEEN(1,10))</f>
        <v>Liam Byrne</v>
      </c>
      <c r="T227" s="16" t="str">
        <f t="shared" ca="1" si="50"/>
        <v>hannah.nelson@hranalytics.com</v>
      </c>
      <c r="U227" s="16" t="str">
        <f t="shared" ca="1" si="51"/>
        <v>0841496995</v>
      </c>
      <c r="V227" s="16" t="str" cm="1">
        <f t="array" ref="V227" ca="1">_xlfn.LET(_xlpm.r,RANDBETWEEN(1,100),_xlfn.IFS(_xlpm.r&lt;=70,"Full-Time",_xlpm.r&lt;=85,"Part-Time",_xlpm.r&lt;=95,"Contract",TRUE,"Intern"))</f>
        <v>Contract</v>
      </c>
      <c r="W227" s="16" cm="1">
        <f t="array" ref="W227" ca="1">IF(K227&lt;&gt;"Active",0,_xlfn.IFS(M227=5,L227*15%,M227=4,L227*10%,M227=3,L227*5%,M227=2,L227*2%,TRUE,0))</f>
        <v>1164.8</v>
      </c>
      <c r="X227" s="24">
        <f t="shared" ca="1" si="52"/>
        <v>3</v>
      </c>
      <c r="Y227" s="24">
        <f t="shared" ca="1" si="53"/>
        <v>2</v>
      </c>
    </row>
    <row r="228" spans="1:25">
      <c r="A228" s="16" t="str">
        <f t="shared" si="54"/>
        <v>EMP227</v>
      </c>
      <c r="B228" s="16" t="str" cm="1">
        <f t="array" ref="B228" ca="1">IF(D228="Male",INDEX(Lookup!$L$2:$L$13,RANDBETWEEN(1,12)),IF(D228="Female",INDEX(Lookup!$M$2:$M$13,RANDBETWEEN(1,12)),INDEX(Lookup!$N$2:$N$13,RANDBETWEEN(1,12))))</f>
        <v>William</v>
      </c>
      <c r="C228" s="16" t="str" cm="1">
        <f t="array" ref="C228" ca="1">INDEX(Lookup!$K$2:$K$31,RANDBETWEEN(1,30))</f>
        <v>Allen</v>
      </c>
      <c r="D228" s="16" t="str" cm="1">
        <f t="array" ref="D228" ca="1">INDEX(Lookup!$H$2:$H$4,RANDBETWEEN(1,3))</f>
        <v>Male</v>
      </c>
      <c r="E228" s="16">
        <f t="shared" ca="1" si="42"/>
        <v>57</v>
      </c>
      <c r="F228" s="16" t="str" cm="1">
        <f t="array" ref="F228" ca="1">INDEX(Lookup!$A$2:$A$10,RANDBETWEEN(1,9))</f>
        <v>Finance</v>
      </c>
      <c r="G228" s="16" t="str" cm="1">
        <f t="array" ref="G228" ca="1">_xlfn.LET(_xlpm.Roles,_xlfn._xlws.FILTER(Lookup!$P$2:$P$28,Lookup!$O$2:$O$28=F228),INDEX(_xlpm.Roles,RANDBETWEEN(1,ROWS(_xlpm.Roles))))</f>
        <v>Financial Analyst</v>
      </c>
      <c r="H228" s="16" t="str" cm="1">
        <f t="array" ref="H228" ca="1">INDEX(Lookup!$B$2:$B$7,RANDBETWEEN(1,6))</f>
        <v>Waterford</v>
      </c>
      <c r="I228" s="22">
        <f t="shared" ca="1" si="43"/>
        <v>45782</v>
      </c>
      <c r="J228" s="22" t="str">
        <f t="shared" ca="1" si="44"/>
        <v/>
      </c>
      <c r="K228" s="16" t="str">
        <f t="shared" ca="1" si="45"/>
        <v>Active</v>
      </c>
      <c r="L228" s="26">
        <f ca="1">_xlfn.XLOOKUP(G228,Lookup!$P$2:$P$28,Lookup!$Q$2:$Q$28)*(1+MIN(X228*3%,30%))</f>
        <v>63220</v>
      </c>
      <c r="M228" s="24">
        <f t="shared" ca="1" si="55"/>
        <v>3</v>
      </c>
      <c r="N228" s="24">
        <f t="shared" ca="1" si="46"/>
        <v>0</v>
      </c>
      <c r="O228" s="24">
        <f t="shared" ca="1" si="47"/>
        <v>8</v>
      </c>
      <c r="P228" s="24">
        <f t="shared" ca="1" si="48"/>
        <v>7</v>
      </c>
      <c r="Q228" s="16" t="str">
        <f t="shared" ca="1" si="49"/>
        <v>Promoted</v>
      </c>
      <c r="R228" s="16" t="str" cm="1">
        <f t="array" ref="R228" ca="1">INDEX(Lookup!$E$2:$E$6,RANDBETWEEN(1,5))</f>
        <v>PhD</v>
      </c>
      <c r="S228" s="16" t="str" cm="1">
        <f t="array" ref="S228" ca="1">INDEX(Lookup!$J$2:$J$11,RANDBETWEEN(1,10))</f>
        <v>Sophia Martin</v>
      </c>
      <c r="T228" s="16" t="str">
        <f t="shared" ca="1" si="50"/>
        <v>william.allen@hranalytics.com</v>
      </c>
      <c r="U228" s="16" t="str">
        <f t="shared" ca="1" si="51"/>
        <v>0883091779</v>
      </c>
      <c r="V228" s="16" t="str" cm="1">
        <f t="array" ref="V228" ca="1">_xlfn.LET(_xlpm.r,RANDBETWEEN(1,100),_xlfn.IFS(_xlpm.r&lt;=70,"Full-Time",_xlpm.r&lt;=85,"Part-Time",_xlpm.r&lt;=95,"Contract",TRUE,"Intern"))</f>
        <v>Contract</v>
      </c>
      <c r="W228" s="16" cm="1">
        <f t="array" ref="W228" ca="1">IF(K228&lt;&gt;"Active",0,_xlfn.IFS(M228=5,L228*15%,M228=4,L228*10%,M228=3,L228*5%,M228=2,L228*2%,TRUE,0))</f>
        <v>1264.4000000000001</v>
      </c>
      <c r="X228" s="24">
        <f t="shared" ca="1" si="52"/>
        <v>1</v>
      </c>
      <c r="Y228" s="24">
        <f t="shared" ca="1" si="53"/>
        <v>3</v>
      </c>
    </row>
    <row r="229" spans="1:25">
      <c r="A229" s="16" t="str">
        <f t="shared" si="54"/>
        <v>EMP228</v>
      </c>
      <c r="B229" s="16" t="str" cm="1">
        <f t="array" ref="B229" ca="1">IF(D229="Male",INDEX(Lookup!$L$2:$L$13,RANDBETWEEN(1,12)),IF(D229="Female",INDEX(Lookup!$M$2:$M$13,RANDBETWEEN(1,12)),INDEX(Lookup!$N$2:$N$13,RANDBETWEEN(1,12))))</f>
        <v>James</v>
      </c>
      <c r="C229" s="16" t="str" cm="1">
        <f t="array" ref="C229" ca="1">INDEX(Lookup!$K$2:$K$31,RANDBETWEEN(1,30))</f>
        <v>Adams</v>
      </c>
      <c r="D229" s="16" t="str" cm="1">
        <f t="array" ref="D229" ca="1">INDEX(Lookup!$H$2:$H$4,RANDBETWEEN(1,3))</f>
        <v>Male</v>
      </c>
      <c r="E229" s="16">
        <f t="shared" ca="1" si="42"/>
        <v>47</v>
      </c>
      <c r="F229" s="16" t="str" cm="1">
        <f t="array" ref="F229" ca="1">INDEX(Lookup!$A$2:$A$10,RANDBETWEEN(1,9))</f>
        <v>Operations</v>
      </c>
      <c r="G229" s="16" t="str" cm="1">
        <f t="array" ref="G229" ca="1">_xlfn.LET(_xlpm.Roles,_xlfn._xlws.FILTER(Lookup!$P$2:$P$28,Lookup!$O$2:$O$28=F229),INDEX(_xlpm.Roles,RANDBETWEEN(1,ROWS(_xlpm.Roles))))</f>
        <v>Operations Executive</v>
      </c>
      <c r="H229" s="16" t="str" cm="1">
        <f t="array" ref="H229" ca="1">INDEX(Lookup!$B$2:$B$7,RANDBETWEEN(1,6))</f>
        <v>Limerick</v>
      </c>
      <c r="I229" s="22">
        <f t="shared" ca="1" si="43"/>
        <v>43235</v>
      </c>
      <c r="J229" s="22" t="str">
        <f t="shared" ca="1" si="44"/>
        <v/>
      </c>
      <c r="K229" s="16" t="str">
        <f t="shared" ca="1" si="45"/>
        <v>Active</v>
      </c>
      <c r="L229" s="26">
        <f ca="1">_xlfn.XLOOKUP(G229,Lookup!$P$2:$P$28,Lookup!$Q$2:$Q$28)*(1+MIN(X229*3%,30%))</f>
        <v>50820</v>
      </c>
      <c r="M229" s="24">
        <f t="shared" ca="1" si="55"/>
        <v>2</v>
      </c>
      <c r="N229" s="24">
        <f t="shared" ca="1" si="46"/>
        <v>65</v>
      </c>
      <c r="O229" s="24">
        <f t="shared" ca="1" si="47"/>
        <v>2</v>
      </c>
      <c r="P229" s="24">
        <f t="shared" ca="1" si="48"/>
        <v>26</v>
      </c>
      <c r="Q229" s="16" t="str">
        <f t="shared" ca="1" si="49"/>
        <v>Promoted</v>
      </c>
      <c r="R229" s="16" t="str" cm="1">
        <f t="array" ref="R229" ca="1">INDEX(Lookup!$E$2:$E$6,RANDBETWEEN(1,5))</f>
        <v>High School</v>
      </c>
      <c r="S229" s="16" t="str" cm="1">
        <f t="array" ref="S229" ca="1">INDEX(Lookup!$J$2:$J$11,RANDBETWEEN(1,10))</f>
        <v>Emma Wilson</v>
      </c>
      <c r="T229" s="16" t="str">
        <f t="shared" ca="1" si="50"/>
        <v>james.adams@hranalytics.com</v>
      </c>
      <c r="U229" s="16" t="str">
        <f t="shared" ca="1" si="51"/>
        <v>0846098891</v>
      </c>
      <c r="V229" s="16" t="str" cm="1">
        <f t="array" ref="V229" ca="1">_xlfn.LET(_xlpm.r,RANDBETWEEN(1,100),_xlfn.IFS(_xlpm.r&lt;=70,"Full-Time",_xlpm.r&lt;=85,"Part-Time",_xlpm.r&lt;=95,"Contract",TRUE,"Intern"))</f>
        <v>Full-Time</v>
      </c>
      <c r="W229" s="16" cm="1">
        <f t="array" ref="W229" ca="1">IF(K229&lt;&gt;"Active",0,_xlfn.IFS(M229=5,L229*15%,M229=4,L229*10%,M229=3,L229*5%,M229=2,L229*2%,TRUE,0))</f>
        <v>5082</v>
      </c>
      <c r="X229" s="24">
        <f t="shared" ca="1" si="52"/>
        <v>8</v>
      </c>
      <c r="Y229" s="24">
        <f t="shared" ca="1" si="53"/>
        <v>3</v>
      </c>
    </row>
    <row r="230" spans="1:25">
      <c r="A230" s="16" t="str">
        <f t="shared" si="54"/>
        <v>EMP229</v>
      </c>
      <c r="B230" s="16" t="str" cm="1">
        <f t="array" ref="B230" ca="1">IF(D230="Male",INDEX(Lookup!$L$2:$L$13,RANDBETWEEN(1,12)),IF(D230="Female",INDEX(Lookup!$M$2:$M$13,RANDBETWEEN(1,12)),INDEX(Lookup!$N$2:$N$13,RANDBETWEEN(1,12))))</f>
        <v>Jordan</v>
      </c>
      <c r="C230" s="16" t="str" cm="1">
        <f t="array" ref="C230" ca="1">INDEX(Lookup!$K$2:$K$31,RANDBETWEEN(1,30))</f>
        <v>Green</v>
      </c>
      <c r="D230" s="16" t="str" cm="1">
        <f t="array" ref="D230" ca="1">INDEX(Lookup!$H$2:$H$4,RANDBETWEEN(1,3))</f>
        <v>Other</v>
      </c>
      <c r="E230" s="16">
        <f t="shared" ca="1" si="42"/>
        <v>45</v>
      </c>
      <c r="F230" s="16" t="str" cm="1">
        <f t="array" ref="F230" ca="1">INDEX(Lookup!$A$2:$A$10,RANDBETWEEN(1,9))</f>
        <v>HR</v>
      </c>
      <c r="G230" s="16" t="str" cm="1">
        <f t="array" ref="G230" ca="1">_xlfn.LET(_xlpm.Roles,_xlfn._xlws.FILTER(Lookup!$P$2:$P$28,Lookup!$O$2:$O$28=F230),INDEX(_xlpm.Roles,RANDBETWEEN(1,ROWS(_xlpm.Roles))))</f>
        <v>HR Executive</v>
      </c>
      <c r="H230" s="16" t="str" cm="1">
        <f t="array" ref="H230" ca="1">INDEX(Lookup!$B$2:$B$7,RANDBETWEEN(1,6))</f>
        <v>Limerick</v>
      </c>
      <c r="I230" s="22">
        <f t="shared" ca="1" si="43"/>
        <v>43650</v>
      </c>
      <c r="J230" s="22" t="str">
        <f t="shared" ca="1" si="44"/>
        <v/>
      </c>
      <c r="K230" s="16" t="str">
        <f t="shared" ca="1" si="45"/>
        <v>Active</v>
      </c>
      <c r="L230" s="26">
        <f ca="1">_xlfn.XLOOKUP(G230,Lookup!$P$2:$P$28,Lookup!$Q$2:$Q$28)*(1+MIN(X230*3%,30%))</f>
        <v>49560</v>
      </c>
      <c r="M230" s="24">
        <f t="shared" ca="1" si="55"/>
        <v>1</v>
      </c>
      <c r="N230" s="24">
        <f t="shared" ca="1" si="46"/>
        <v>55</v>
      </c>
      <c r="O230" s="24">
        <f t="shared" ca="1" si="47"/>
        <v>9</v>
      </c>
      <c r="P230" s="24">
        <f t="shared" ca="1" si="48"/>
        <v>60</v>
      </c>
      <c r="Q230" s="16" t="str">
        <f t="shared" ca="1" si="49"/>
        <v>Promoted</v>
      </c>
      <c r="R230" s="16" t="str" cm="1">
        <f t="array" ref="R230" ca="1">INDEX(Lookup!$E$2:$E$6,RANDBETWEEN(1,5))</f>
        <v>Master's</v>
      </c>
      <c r="S230" s="16" t="str" cm="1">
        <f t="array" ref="S230" ca="1">INDEX(Lookup!$J$2:$J$11,RANDBETWEEN(1,10))</f>
        <v>Emma Wilson</v>
      </c>
      <c r="T230" s="16" t="str">
        <f t="shared" ca="1" si="50"/>
        <v>jordan.green@hranalytics.com</v>
      </c>
      <c r="U230" s="16" t="str">
        <f t="shared" ca="1" si="51"/>
        <v>0875039257</v>
      </c>
      <c r="V230" s="16" t="str" cm="1">
        <f t="array" ref="V230" ca="1">_xlfn.LET(_xlpm.r,RANDBETWEEN(1,100),_xlfn.IFS(_xlpm.r&lt;=70,"Full-Time",_xlpm.r&lt;=85,"Part-Time",_xlpm.r&lt;=95,"Contract",TRUE,"Intern"))</f>
        <v>Full-Time</v>
      </c>
      <c r="W230" s="16" cm="1">
        <f t="array" ref="W230" ca="1">IF(K230&lt;&gt;"Active",0,_xlfn.IFS(M230=5,L230*15%,M230=4,L230*10%,M230=3,L230*5%,M230=2,L230*2%,TRUE,0))</f>
        <v>0</v>
      </c>
      <c r="X230" s="24">
        <f t="shared" ca="1" si="52"/>
        <v>7</v>
      </c>
      <c r="Y230" s="24">
        <f t="shared" ca="1" si="53"/>
        <v>3</v>
      </c>
    </row>
    <row r="231" spans="1:25">
      <c r="A231" s="16" t="str">
        <f t="shared" si="54"/>
        <v>EMP230</v>
      </c>
      <c r="B231" s="16" t="str" cm="1">
        <f t="array" ref="B231" ca="1">IF(D231="Male",INDEX(Lookup!$L$2:$L$13,RANDBETWEEN(1,12)),IF(D231="Female",INDEX(Lookup!$M$2:$M$13,RANDBETWEEN(1,12)),INDEX(Lookup!$N$2:$N$13,RANDBETWEEN(1,12))))</f>
        <v>Jack</v>
      </c>
      <c r="C231" s="16" t="str" cm="1">
        <f t="array" ref="C231" ca="1">INDEX(Lookup!$K$2:$K$31,RANDBETWEEN(1,30))</f>
        <v>Baker</v>
      </c>
      <c r="D231" s="16" t="str" cm="1">
        <f t="array" ref="D231" ca="1">INDEX(Lookup!$H$2:$H$4,RANDBETWEEN(1,3))</f>
        <v>Male</v>
      </c>
      <c r="E231" s="16">
        <f t="shared" ca="1" si="42"/>
        <v>55</v>
      </c>
      <c r="F231" s="16" t="str" cm="1">
        <f t="array" ref="F231" ca="1">INDEX(Lookup!$A$2:$A$10,RANDBETWEEN(1,9))</f>
        <v>HR</v>
      </c>
      <c r="G231" s="16" t="str" cm="1">
        <f t="array" ref="G231" ca="1">_xlfn.LET(_xlpm.Roles,_xlfn._xlws.FILTER(Lookup!$P$2:$P$28,Lookup!$O$2:$O$28=F231),INDEX(_xlpm.Roles,RANDBETWEEN(1,ROWS(_xlpm.Roles))))</f>
        <v>HR Executive</v>
      </c>
      <c r="H231" s="16" t="str" cm="1">
        <f t="array" ref="H231" ca="1">INDEX(Lookup!$B$2:$B$7,RANDBETWEEN(1,6))</f>
        <v>Cork</v>
      </c>
      <c r="I231" s="22">
        <f t="shared" ca="1" si="43"/>
        <v>43603</v>
      </c>
      <c r="J231" s="22" t="str">
        <f t="shared" ca="1" si="44"/>
        <v/>
      </c>
      <c r="K231" s="16" t="str">
        <f t="shared" ca="1" si="45"/>
        <v>Active</v>
      </c>
      <c r="L231" s="26">
        <f ca="1">_xlfn.XLOOKUP(G231,Lookup!$P$2:$P$28,Lookup!$Q$2:$Q$28)*(1+MIN(X231*3%,30%))</f>
        <v>48300</v>
      </c>
      <c r="M231" s="24">
        <f t="shared" ca="1" si="55"/>
        <v>2</v>
      </c>
      <c r="N231" s="24">
        <f t="shared" ca="1" si="46"/>
        <v>42</v>
      </c>
      <c r="O231" s="24">
        <f t="shared" ca="1" si="47"/>
        <v>3</v>
      </c>
      <c r="P231" s="24">
        <f t="shared" ca="1" si="48"/>
        <v>28</v>
      </c>
      <c r="Q231" s="16" t="str">
        <f t="shared" ca="1" si="49"/>
        <v>Promoted</v>
      </c>
      <c r="R231" s="16" t="str" cm="1">
        <f t="array" ref="R231" ca="1">INDEX(Lookup!$E$2:$E$6,RANDBETWEEN(1,5))</f>
        <v>Master's</v>
      </c>
      <c r="S231" s="16" t="str" cm="1">
        <f t="array" ref="S231" ca="1">INDEX(Lookup!$J$2:$J$11,RANDBETWEEN(1,10))</f>
        <v>Sophia Martin</v>
      </c>
      <c r="T231" s="16" t="str">
        <f t="shared" ca="1" si="50"/>
        <v>jack.baker@hranalytics.com</v>
      </c>
      <c r="U231" s="16" t="str">
        <f t="shared" ca="1" si="51"/>
        <v>0865338844</v>
      </c>
      <c r="V231" s="16" t="str" cm="1">
        <f t="array" ref="V231" ca="1">_xlfn.LET(_xlpm.r,RANDBETWEEN(1,100),_xlfn.IFS(_xlpm.r&lt;=70,"Full-Time",_xlpm.r&lt;=85,"Part-Time",_xlpm.r&lt;=95,"Contract",TRUE,"Intern"))</f>
        <v>Full-Time</v>
      </c>
      <c r="W231" s="16" cm="1">
        <f t="array" ref="W231" ca="1">IF(K231&lt;&gt;"Active",0,_xlfn.IFS(M231=5,L231*15%,M231=4,L231*10%,M231=3,L231*5%,M231=2,L231*2%,TRUE,0))</f>
        <v>7245</v>
      </c>
      <c r="X231" s="24">
        <f t="shared" ca="1" si="52"/>
        <v>7</v>
      </c>
      <c r="Y231" s="24">
        <f t="shared" ca="1" si="53"/>
        <v>3</v>
      </c>
    </row>
    <row r="232" spans="1:25">
      <c r="A232" s="16" t="str">
        <f t="shared" si="54"/>
        <v>EMP231</v>
      </c>
      <c r="B232" s="16" t="str" cm="1">
        <f t="array" ref="B232" ca="1">IF(D232="Male",INDEX(Lookup!$L$2:$L$13,RANDBETWEEN(1,12)),IF(D232="Female",INDEX(Lookup!$M$2:$M$13,RANDBETWEEN(1,12)),INDEX(Lookup!$N$2:$N$13,RANDBETWEEN(1,12))))</f>
        <v>Sophia</v>
      </c>
      <c r="C232" s="16" t="str" cm="1">
        <f t="array" ref="C232" ca="1">INDEX(Lookup!$K$2:$K$31,RANDBETWEEN(1,30))</f>
        <v>Hill</v>
      </c>
      <c r="D232" s="16" t="str" cm="1">
        <f t="array" ref="D232" ca="1">INDEX(Lookup!$H$2:$H$4,RANDBETWEEN(1,3))</f>
        <v>Female</v>
      </c>
      <c r="E232" s="16">
        <f t="shared" ca="1" si="42"/>
        <v>29</v>
      </c>
      <c r="F232" s="16" t="str" cm="1">
        <f t="array" ref="F232" ca="1">INDEX(Lookup!$A$2:$A$10,RANDBETWEEN(1,9))</f>
        <v>Marketing</v>
      </c>
      <c r="G232" s="16" t="str" cm="1">
        <f t="array" ref="G232" ca="1">_xlfn.LET(_xlpm.Roles,_xlfn._xlws.FILTER(Lookup!$P$2:$P$28,Lookup!$O$2:$O$28=F232),INDEX(_xlpm.Roles,RANDBETWEEN(1,ROWS(_xlpm.Roles))))</f>
        <v>Marketing Executive</v>
      </c>
      <c r="H232" s="16" t="str" cm="1">
        <f t="array" ref="H232" ca="1">INDEX(Lookup!$B$2:$B$7,RANDBETWEEN(1,6))</f>
        <v>Cork</v>
      </c>
      <c r="I232" s="22">
        <f t="shared" ca="1" si="43"/>
        <v>45143</v>
      </c>
      <c r="J232" s="22">
        <f t="shared" ca="1" si="44"/>
        <v>46956</v>
      </c>
      <c r="K232" s="16" t="str">
        <f t="shared" ca="1" si="45"/>
        <v>Resigned</v>
      </c>
      <c r="L232" s="26">
        <f ca="1">_xlfn.XLOOKUP(G232,Lookup!$P$2:$P$28,Lookup!$Q$2:$Q$28)*(1+MIN(X232*3%,30%))</f>
        <v>47040</v>
      </c>
      <c r="M232" s="24">
        <f t="shared" ca="1" si="55"/>
        <v>4</v>
      </c>
      <c r="N232" s="24">
        <f t="shared" ca="1" si="46"/>
        <v>75</v>
      </c>
      <c r="O232" s="24">
        <f t="shared" ca="1" si="47"/>
        <v>12</v>
      </c>
      <c r="P232" s="24">
        <f t="shared" ca="1" si="48"/>
        <v>18</v>
      </c>
      <c r="Q232" s="16" t="str">
        <f t="shared" ca="1" si="49"/>
        <v>Promoted</v>
      </c>
      <c r="R232" s="16" t="str" cm="1">
        <f t="array" ref="R232" ca="1">INDEX(Lookup!$E$2:$E$6,RANDBETWEEN(1,5))</f>
        <v>PhD</v>
      </c>
      <c r="S232" s="16" t="str" cm="1">
        <f t="array" ref="S232" ca="1">INDEX(Lookup!$J$2:$J$11,RANDBETWEEN(1,10))</f>
        <v>Michael Brown</v>
      </c>
      <c r="T232" s="16" t="str">
        <f t="shared" ca="1" si="50"/>
        <v>sophia.hill@hranalytics.com</v>
      </c>
      <c r="U232" s="16" t="str">
        <f t="shared" ca="1" si="51"/>
        <v>0848661942</v>
      </c>
      <c r="V232" s="16" t="str" cm="1">
        <f t="array" ref="V232" ca="1">_xlfn.LET(_xlpm.r,RANDBETWEEN(1,100),_xlfn.IFS(_xlpm.r&lt;=70,"Full-Time",_xlpm.r&lt;=85,"Part-Time",_xlpm.r&lt;=95,"Contract",TRUE,"Intern"))</f>
        <v>Full-Time</v>
      </c>
      <c r="W232" s="16" cm="1">
        <f t="array" ref="W232" ca="1">IF(K232&lt;&gt;"Active",0,_xlfn.IFS(M232=5,L232*15%,M232=4,L232*10%,M232=3,L232*5%,M232=2,L232*2%,TRUE,0))</f>
        <v>0</v>
      </c>
      <c r="X232" s="24">
        <f t="shared" ca="1" si="52"/>
        <v>3</v>
      </c>
      <c r="Y232" s="24">
        <f t="shared" ca="1" si="53"/>
        <v>2</v>
      </c>
    </row>
    <row r="233" spans="1:25">
      <c r="A233" s="16" t="str">
        <f t="shared" si="54"/>
        <v>EMP232</v>
      </c>
      <c r="B233" s="16" t="str" cm="1">
        <f t="array" ref="B233" ca="1">IF(D233="Male",INDEX(Lookup!$L$2:$L$13,RANDBETWEEN(1,12)),IF(D233="Female",INDEX(Lookup!$M$2:$M$13,RANDBETWEEN(1,12)),INDEX(Lookup!$N$2:$N$13,RANDBETWEEN(1,12))))</f>
        <v>Morgan</v>
      </c>
      <c r="C233" s="16" t="str" cm="1">
        <f t="array" ref="C233" ca="1">INDEX(Lookup!$K$2:$K$31,RANDBETWEEN(1,30))</f>
        <v>Parker</v>
      </c>
      <c r="D233" s="16" t="str" cm="1">
        <f t="array" ref="D233" ca="1">INDEX(Lookup!$H$2:$H$4,RANDBETWEEN(1,3))</f>
        <v>Other</v>
      </c>
      <c r="E233" s="16">
        <f t="shared" ca="1" si="42"/>
        <v>34</v>
      </c>
      <c r="F233" s="16" t="str" cm="1">
        <f t="array" ref="F233" ca="1">INDEX(Lookup!$A$2:$A$10,RANDBETWEEN(1,9))</f>
        <v>HR</v>
      </c>
      <c r="G233" s="16" t="str" cm="1">
        <f t="array" ref="G233" ca="1">_xlfn.LET(_xlpm.Roles,_xlfn._xlws.FILTER(Lookup!$P$2:$P$28,Lookup!$O$2:$O$28=F233),INDEX(_xlpm.Roles,RANDBETWEEN(1,ROWS(_xlpm.Roles))))</f>
        <v>HR Manager</v>
      </c>
      <c r="H233" s="16" t="str" cm="1">
        <f t="array" ref="H233" ca="1">INDEX(Lookup!$B$2:$B$7,RANDBETWEEN(1,6))</f>
        <v>Limerick</v>
      </c>
      <c r="I233" s="22">
        <f t="shared" ca="1" si="43"/>
        <v>44081</v>
      </c>
      <c r="J233" s="22" t="str">
        <f t="shared" ca="1" si="44"/>
        <v/>
      </c>
      <c r="K233" s="16" t="str">
        <f t="shared" ca="1" si="45"/>
        <v>Active</v>
      </c>
      <c r="L233" s="26">
        <f ca="1">_xlfn.XLOOKUP(G233,Lookup!$P$2:$P$28,Lookup!$Q$2:$Q$28)*(1+MIN(X233*3%,30%))</f>
        <v>68900</v>
      </c>
      <c r="M233" s="24">
        <f t="shared" ca="1" si="55"/>
        <v>5</v>
      </c>
      <c r="N233" s="24">
        <f t="shared" ca="1" si="46"/>
        <v>67</v>
      </c>
      <c r="O233" s="24">
        <f t="shared" ca="1" si="47"/>
        <v>15</v>
      </c>
      <c r="P233" s="24">
        <f t="shared" ca="1" si="48"/>
        <v>60</v>
      </c>
      <c r="Q233" s="16" t="str">
        <f t="shared" ca="1" si="49"/>
        <v>Promoted</v>
      </c>
      <c r="R233" s="16" t="str" cm="1">
        <f t="array" ref="R233" ca="1">INDEX(Lookup!$E$2:$E$6,RANDBETWEEN(1,5))</f>
        <v>Bachelor's</v>
      </c>
      <c r="S233" s="16" t="str" cm="1">
        <f t="array" ref="S233" ca="1">INDEX(Lookup!$J$2:$J$11,RANDBETWEEN(1,10))</f>
        <v>David Murphy</v>
      </c>
      <c r="T233" s="16" t="str">
        <f t="shared" ca="1" si="50"/>
        <v>morgan.parker@hranalytics.com</v>
      </c>
      <c r="U233" s="16" t="str">
        <f t="shared" ca="1" si="51"/>
        <v>0855639692</v>
      </c>
      <c r="V233" s="16" t="str" cm="1">
        <f t="array" ref="V233" ca="1">_xlfn.LET(_xlpm.r,RANDBETWEEN(1,100),_xlfn.IFS(_xlpm.r&lt;=70,"Full-Time",_xlpm.r&lt;=85,"Part-Time",_xlpm.r&lt;=95,"Contract",TRUE,"Intern"))</f>
        <v>Full-Time</v>
      </c>
      <c r="W233" s="16" cm="1">
        <f t="array" ref="W233" ca="1">IF(K233&lt;&gt;"Active",0,_xlfn.IFS(M233=5,L233*15%,M233=4,L233*10%,M233=3,L233*5%,M233=2,L233*2%,TRUE,0))</f>
        <v>3445</v>
      </c>
      <c r="X233" s="24">
        <f t="shared" ca="1" si="52"/>
        <v>5</v>
      </c>
      <c r="Y233" s="24">
        <f t="shared" ca="1" si="53"/>
        <v>1</v>
      </c>
    </row>
    <row r="234" spans="1:25">
      <c r="A234" s="16" t="str">
        <f t="shared" si="54"/>
        <v>EMP233</v>
      </c>
      <c r="B234" s="16" t="str" cm="1">
        <f t="array" ref="B234" ca="1">IF(D234="Male",INDEX(Lookup!$L$2:$L$13,RANDBETWEEN(1,12)),IF(D234="Female",INDEX(Lookup!$M$2:$M$13,RANDBETWEEN(1,12)),INDEX(Lookup!$N$2:$N$13,RANDBETWEEN(1,12))))</f>
        <v>Quinn</v>
      </c>
      <c r="C234" s="16" t="str" cm="1">
        <f t="array" ref="C234" ca="1">INDEX(Lookup!$K$2:$K$31,RANDBETWEEN(1,30))</f>
        <v>Moore</v>
      </c>
      <c r="D234" s="16" t="str" cm="1">
        <f t="array" ref="D234" ca="1">INDEX(Lookup!$H$2:$H$4,RANDBETWEEN(1,3))</f>
        <v>Other</v>
      </c>
      <c r="E234" s="16">
        <f t="shared" ca="1" si="42"/>
        <v>48</v>
      </c>
      <c r="F234" s="16" t="str" cm="1">
        <f t="array" ref="F234" ca="1">INDEX(Lookup!$A$2:$A$10,RANDBETWEEN(1,9))</f>
        <v>Procurement</v>
      </c>
      <c r="G234" s="16" t="str" cm="1">
        <f t="array" ref="G234" ca="1">_xlfn.LET(_xlpm.Roles,_xlfn._xlws.FILTER(Lookup!$P$2:$P$28,Lookup!$O$2:$O$28=F234),INDEX(_xlpm.Roles,RANDBETWEEN(1,ROWS(_xlpm.Roles))))</f>
        <v>Procurement Officer</v>
      </c>
      <c r="H234" s="16" t="str" cm="1">
        <f t="array" ref="H234" ca="1">INDEX(Lookup!$B$2:$B$7,RANDBETWEEN(1,6))</f>
        <v>Limerick</v>
      </c>
      <c r="I234" s="22">
        <f t="shared" ca="1" si="43"/>
        <v>45095</v>
      </c>
      <c r="J234" s="22" t="str">
        <f t="shared" ca="1" si="44"/>
        <v/>
      </c>
      <c r="K234" s="16" t="str">
        <f t="shared" ca="1" si="45"/>
        <v>Active</v>
      </c>
      <c r="L234" s="26">
        <f ca="1">_xlfn.XLOOKUP(G234,Lookup!$P$2:$P$28,Lookup!$Q$2:$Q$28)*(1+MIN(X234*3%,30%))</f>
        <v>53100</v>
      </c>
      <c r="M234" s="24">
        <f t="shared" ca="1" si="55"/>
        <v>3</v>
      </c>
      <c r="N234" s="24">
        <f t="shared" ca="1" si="46"/>
        <v>49</v>
      </c>
      <c r="O234" s="24">
        <f t="shared" ca="1" si="47"/>
        <v>13</v>
      </c>
      <c r="P234" s="24">
        <f t="shared" ca="1" si="48"/>
        <v>31</v>
      </c>
      <c r="Q234" s="16" t="str">
        <f t="shared" ca="1" si="49"/>
        <v>Not Promoted</v>
      </c>
      <c r="R234" s="16" t="str" cm="1">
        <f t="array" ref="R234" ca="1">INDEX(Lookup!$E$2:$E$6,RANDBETWEEN(1,5))</f>
        <v>High School</v>
      </c>
      <c r="S234" s="16" t="str" cm="1">
        <f t="array" ref="S234" ca="1">INDEX(Lookup!$J$2:$J$11,RANDBETWEEN(1,10))</f>
        <v>Sophia Martin</v>
      </c>
      <c r="T234" s="16" t="str">
        <f t="shared" ca="1" si="50"/>
        <v>quinn.moore@hranalytics.com</v>
      </c>
      <c r="U234" s="16" t="str">
        <f t="shared" ca="1" si="51"/>
        <v>0886839713</v>
      </c>
      <c r="V234" s="16" t="str" cm="1">
        <f t="array" ref="V234" ca="1">_xlfn.LET(_xlpm.r,RANDBETWEEN(1,100),_xlfn.IFS(_xlpm.r&lt;=70,"Full-Time",_xlpm.r&lt;=85,"Part-Time",_xlpm.r&lt;=95,"Contract",TRUE,"Intern"))</f>
        <v>Full-Time</v>
      </c>
      <c r="W234" s="16" cm="1">
        <f t="array" ref="W234" ca="1">IF(K234&lt;&gt;"Active",0,_xlfn.IFS(M234=5,L234*15%,M234=4,L234*10%,M234=3,L234*5%,M234=2,L234*2%,TRUE,0))</f>
        <v>0</v>
      </c>
      <c r="X234" s="24">
        <f t="shared" ca="1" si="52"/>
        <v>3</v>
      </c>
      <c r="Y234" s="24">
        <f t="shared" ca="1" si="53"/>
        <v>3</v>
      </c>
    </row>
    <row r="235" spans="1:25">
      <c r="A235" s="16" t="str">
        <f t="shared" si="54"/>
        <v>EMP234</v>
      </c>
      <c r="B235" s="16" t="str" cm="1">
        <f t="array" ref="B235" ca="1">IF(D235="Male",INDEX(Lookup!$L$2:$L$13,RANDBETWEEN(1,12)),IF(D235="Female",INDEX(Lookup!$M$2:$M$13,RANDBETWEEN(1,12)),INDEX(Lookup!$N$2:$N$13,RANDBETWEEN(1,12))))</f>
        <v>Jamie</v>
      </c>
      <c r="C235" s="16" t="str" cm="1">
        <f t="array" ref="C235" ca="1">INDEX(Lookup!$K$2:$K$31,RANDBETWEEN(1,30))</f>
        <v>Brown</v>
      </c>
      <c r="D235" s="16" t="str" cm="1">
        <f t="array" ref="D235" ca="1">INDEX(Lookup!$H$2:$H$4,RANDBETWEEN(1,3))</f>
        <v>Other</v>
      </c>
      <c r="E235" s="16">
        <f t="shared" ca="1" si="42"/>
        <v>45</v>
      </c>
      <c r="F235" s="16" t="str" cm="1">
        <f t="array" ref="F235" ca="1">INDEX(Lookup!$A$2:$A$10,RANDBETWEEN(1,9))</f>
        <v>Procurement</v>
      </c>
      <c r="G235" s="16" t="str" cm="1">
        <f t="array" ref="G235" ca="1">_xlfn.LET(_xlpm.Roles,_xlfn._xlws.FILTER(Lookup!$P$2:$P$28,Lookup!$O$2:$O$28=F235),INDEX(_xlpm.Roles,RANDBETWEEN(1,ROWS(_xlpm.Roles))))</f>
        <v>Procurement Analyst</v>
      </c>
      <c r="H235" s="16" t="str" cm="1">
        <f t="array" ref="H235" ca="1">INDEX(Lookup!$B$2:$B$7,RANDBETWEEN(1,6))</f>
        <v>Limerick</v>
      </c>
      <c r="I235" s="22">
        <f t="shared" ca="1" si="43"/>
        <v>45246</v>
      </c>
      <c r="J235" s="22" t="str">
        <f t="shared" ca="1" si="44"/>
        <v/>
      </c>
      <c r="K235" s="16" t="str">
        <f t="shared" ca="1" si="45"/>
        <v>Active</v>
      </c>
      <c r="L235" s="26">
        <f ca="1">_xlfn.XLOOKUP(G235,Lookup!$P$2:$P$28,Lookup!$Q$2:$Q$28)*(1+MIN(X235*3%,30%))</f>
        <v>57500</v>
      </c>
      <c r="M235" s="24">
        <f t="shared" ca="1" si="55"/>
        <v>2</v>
      </c>
      <c r="N235" s="24">
        <f t="shared" ca="1" si="46"/>
        <v>16</v>
      </c>
      <c r="O235" s="24">
        <f t="shared" ca="1" si="47"/>
        <v>8</v>
      </c>
      <c r="P235" s="24">
        <f t="shared" ca="1" si="48"/>
        <v>15</v>
      </c>
      <c r="Q235" s="16" t="str">
        <f t="shared" ca="1" si="49"/>
        <v>Promoted</v>
      </c>
      <c r="R235" s="16" t="str" cm="1">
        <f t="array" ref="R235" ca="1">INDEX(Lookup!$E$2:$E$6,RANDBETWEEN(1,5))</f>
        <v>Bachelor's</v>
      </c>
      <c r="S235" s="16" t="str" cm="1">
        <f t="array" ref="S235" ca="1">INDEX(Lookup!$J$2:$J$11,RANDBETWEEN(1,10))</f>
        <v>Emma Wilson</v>
      </c>
      <c r="T235" s="16" t="str">
        <f t="shared" ca="1" si="50"/>
        <v>jamie.brown@hranalytics.com</v>
      </c>
      <c r="U235" s="16" t="str">
        <f t="shared" ca="1" si="51"/>
        <v>0892646238</v>
      </c>
      <c r="V235" s="16" t="str" cm="1">
        <f t="array" ref="V235" ca="1">_xlfn.LET(_xlpm.r,RANDBETWEEN(1,100),_xlfn.IFS(_xlpm.r&lt;=70,"Full-Time",_xlpm.r&lt;=85,"Part-Time",_xlpm.r&lt;=95,"Contract",TRUE,"Intern"))</f>
        <v>Part-Time</v>
      </c>
      <c r="W235" s="16" cm="1">
        <f t="array" ref="W235" ca="1">IF(K235&lt;&gt;"Active",0,_xlfn.IFS(M235=5,L235*15%,M235=4,L235*10%,M235=3,L235*5%,M235=2,L235*2%,TRUE,0))</f>
        <v>8625</v>
      </c>
      <c r="X235" s="24">
        <f t="shared" ca="1" si="52"/>
        <v>2</v>
      </c>
      <c r="Y235" s="24">
        <f t="shared" ca="1" si="53"/>
        <v>3</v>
      </c>
    </row>
    <row r="236" spans="1:25">
      <c r="A236" s="16" t="str">
        <f t="shared" si="54"/>
        <v>EMP235</v>
      </c>
      <c r="B236" s="16" t="str" cm="1">
        <f t="array" ref="B236" ca="1">IF(D236="Male",INDEX(Lookup!$L$2:$L$13,RANDBETWEEN(1,12)),IF(D236="Female",INDEX(Lookup!$M$2:$M$13,RANDBETWEEN(1,12)),INDEX(Lookup!$N$2:$N$13,RANDBETWEEN(1,12))))</f>
        <v>Cameron</v>
      </c>
      <c r="C236" s="16" t="str" cm="1">
        <f t="array" ref="C236" ca="1">INDEX(Lookup!$K$2:$K$31,RANDBETWEEN(1,30))</f>
        <v>Lewis</v>
      </c>
      <c r="D236" s="16" t="str" cm="1">
        <f t="array" ref="D236" ca="1">INDEX(Lookup!$H$2:$H$4,RANDBETWEEN(1,3))</f>
        <v>Other</v>
      </c>
      <c r="E236" s="16">
        <f t="shared" ca="1" si="42"/>
        <v>40</v>
      </c>
      <c r="F236" s="16" t="str" cm="1">
        <f t="array" ref="F236" ca="1">INDEX(Lookup!$A$2:$A$10,RANDBETWEEN(1,9))</f>
        <v>Marketing</v>
      </c>
      <c r="G236" s="16" t="str" cm="1">
        <f t="array" ref="G236" ca="1">_xlfn.LET(_xlpm.Roles,_xlfn._xlws.FILTER(Lookup!$P$2:$P$28,Lookup!$O$2:$O$28=F236),INDEX(_xlpm.Roles,RANDBETWEEN(1,ROWS(_xlpm.Roles))))</f>
        <v>Brand Executive</v>
      </c>
      <c r="H236" s="16" t="str" cm="1">
        <f t="array" ref="H236" ca="1">INDEX(Lookup!$B$2:$B$7,RANDBETWEEN(1,6))</f>
        <v>Waterford</v>
      </c>
      <c r="I236" s="22">
        <f t="shared" ca="1" si="43"/>
        <v>45577</v>
      </c>
      <c r="J236" s="22" t="str">
        <f t="shared" ca="1" si="44"/>
        <v/>
      </c>
      <c r="K236" s="16" t="str">
        <f t="shared" ca="1" si="45"/>
        <v>Active</v>
      </c>
      <c r="L236" s="26">
        <f ca="1">_xlfn.XLOOKUP(G236,Lookup!$P$2:$P$28,Lookup!$Q$2:$Q$28)*(1+MIN(X236*3%,30%))</f>
        <v>52900</v>
      </c>
      <c r="M236" s="24">
        <f t="shared" ca="1" si="55"/>
        <v>5</v>
      </c>
      <c r="N236" s="24">
        <f t="shared" ca="1" si="46"/>
        <v>30</v>
      </c>
      <c r="O236" s="24">
        <f t="shared" ca="1" si="47"/>
        <v>16</v>
      </c>
      <c r="P236" s="24">
        <f t="shared" ca="1" si="48"/>
        <v>15</v>
      </c>
      <c r="Q236" s="16" t="str">
        <f t="shared" ca="1" si="49"/>
        <v>Promoted</v>
      </c>
      <c r="R236" s="16" t="str" cm="1">
        <f t="array" ref="R236" ca="1">INDEX(Lookup!$E$2:$E$6,RANDBETWEEN(1,5))</f>
        <v>PhD</v>
      </c>
      <c r="S236" s="16" t="str" cm="1">
        <f t="array" ref="S236" ca="1">INDEX(Lookup!$J$2:$J$11,RANDBETWEEN(1,10))</f>
        <v>Olivia Smith</v>
      </c>
      <c r="T236" s="16" t="str">
        <f t="shared" ca="1" si="50"/>
        <v>cameron.lewis@hranalytics.com</v>
      </c>
      <c r="U236" s="16" t="str">
        <f t="shared" ca="1" si="51"/>
        <v>0889306762</v>
      </c>
      <c r="V236" s="16" t="str" cm="1">
        <f t="array" ref="V236" ca="1">_xlfn.LET(_xlpm.r,RANDBETWEEN(1,100),_xlfn.IFS(_xlpm.r&lt;=70,"Full-Time",_xlpm.r&lt;=85,"Part-Time",_xlpm.r&lt;=95,"Contract",TRUE,"Intern"))</f>
        <v>Full-Time</v>
      </c>
      <c r="W236" s="16" cm="1">
        <f t="array" ref="W236" ca="1">IF(K236&lt;&gt;"Active",0,_xlfn.IFS(M236=5,L236*15%,M236=4,L236*10%,M236=3,L236*5%,M236=2,L236*2%,TRUE,0))</f>
        <v>5290</v>
      </c>
      <c r="X236" s="24">
        <f t="shared" ca="1" si="52"/>
        <v>1</v>
      </c>
      <c r="Y236" s="24">
        <f t="shared" ca="1" si="53"/>
        <v>3</v>
      </c>
    </row>
    <row r="237" spans="1:25">
      <c r="A237" s="16" t="str">
        <f t="shared" si="54"/>
        <v>EMP236</v>
      </c>
      <c r="B237" s="16" t="str" cm="1">
        <f t="array" ref="B237" ca="1">IF(D237="Male",INDEX(Lookup!$L$2:$L$13,RANDBETWEEN(1,12)),IF(D237="Female",INDEX(Lookup!$M$2:$M$13,RANDBETWEEN(1,12)),INDEX(Lookup!$N$2:$N$13,RANDBETWEEN(1,12))))</f>
        <v>Michael</v>
      </c>
      <c r="C237" s="16" t="str" cm="1">
        <f t="array" ref="C237" ca="1">INDEX(Lookup!$K$2:$K$31,RANDBETWEEN(1,30))</f>
        <v>Hall</v>
      </c>
      <c r="D237" s="16" t="str" cm="1">
        <f t="array" ref="D237" ca="1">INDEX(Lookup!$H$2:$H$4,RANDBETWEEN(1,3))</f>
        <v>Male</v>
      </c>
      <c r="E237" s="16">
        <f t="shared" ca="1" si="42"/>
        <v>23</v>
      </c>
      <c r="F237" s="16" t="str" cm="1">
        <f t="array" ref="F237" ca="1">INDEX(Lookup!$A$2:$A$10,RANDBETWEEN(1,9))</f>
        <v>Marketing</v>
      </c>
      <c r="G237" s="16" t="str" cm="1">
        <f t="array" ref="G237" ca="1">_xlfn.LET(_xlpm.Roles,_xlfn._xlws.FILTER(Lookup!$P$2:$P$28,Lookup!$O$2:$O$28=F237),INDEX(_xlpm.Roles,RANDBETWEEN(1,ROWS(_xlpm.Roles))))</f>
        <v>Digital Marketing Specialist</v>
      </c>
      <c r="H237" s="16" t="str" cm="1">
        <f t="array" ref="H237" ca="1">INDEX(Lookup!$B$2:$B$7,RANDBETWEEN(1,6))</f>
        <v>Galway</v>
      </c>
      <c r="I237" s="22">
        <f t="shared" ca="1" si="43"/>
        <v>43217</v>
      </c>
      <c r="J237" s="22" t="str">
        <f t="shared" ca="1" si="44"/>
        <v/>
      </c>
      <c r="K237" s="16" t="str">
        <f t="shared" ca="1" si="45"/>
        <v>Active</v>
      </c>
      <c r="L237" s="26">
        <f ca="1">_xlfn.XLOOKUP(G237,Lookup!$P$2:$P$28,Lookup!$Q$2:$Q$28)*(1+MIN(X237*3%,30%))</f>
        <v>54500</v>
      </c>
      <c r="M237" s="24">
        <f t="shared" ca="1" si="55"/>
        <v>4</v>
      </c>
      <c r="N237" s="24">
        <f t="shared" ca="1" si="46"/>
        <v>34</v>
      </c>
      <c r="O237" s="24">
        <f t="shared" ca="1" si="47"/>
        <v>8</v>
      </c>
      <c r="P237" s="24">
        <f t="shared" ca="1" si="48"/>
        <v>33</v>
      </c>
      <c r="Q237" s="16" t="str">
        <f t="shared" ca="1" si="49"/>
        <v>Not Promoted</v>
      </c>
      <c r="R237" s="16" t="str" cm="1">
        <f t="array" ref="R237" ca="1">INDEX(Lookup!$E$2:$E$6,RANDBETWEEN(1,5))</f>
        <v>Dipolma</v>
      </c>
      <c r="S237" s="16" t="str" cm="1">
        <f t="array" ref="S237" ca="1">INDEX(Lookup!$J$2:$J$11,RANDBETWEEN(1,10))</f>
        <v>David Murphy</v>
      </c>
      <c r="T237" s="16" t="str">
        <f t="shared" ca="1" si="50"/>
        <v>michael.hall@hranalytics.com</v>
      </c>
      <c r="U237" s="16" t="str">
        <f t="shared" ca="1" si="51"/>
        <v>0884825496</v>
      </c>
      <c r="V237" s="16" t="str" cm="1">
        <f t="array" ref="V237" ca="1">_xlfn.LET(_xlpm.r,RANDBETWEEN(1,100),_xlfn.IFS(_xlpm.r&lt;=70,"Full-Time",_xlpm.r&lt;=85,"Part-Time",_xlpm.r&lt;=95,"Contract",TRUE,"Intern"))</f>
        <v>Full-Time</v>
      </c>
      <c r="W237" s="16" cm="1">
        <f t="array" ref="W237" ca="1">IF(K237&lt;&gt;"Active",0,_xlfn.IFS(M237=5,L237*15%,M237=4,L237*10%,M237=3,L237*5%,M237=2,L237*2%,TRUE,0))</f>
        <v>0</v>
      </c>
      <c r="X237" s="24">
        <f t="shared" ca="1" si="52"/>
        <v>8</v>
      </c>
      <c r="Y237" s="24">
        <f t="shared" ca="1" si="53"/>
        <v>1</v>
      </c>
    </row>
    <row r="238" spans="1:25">
      <c r="A238" s="16" t="str">
        <f t="shared" si="54"/>
        <v>EMP237</v>
      </c>
      <c r="B238" s="16" t="str" cm="1">
        <f t="array" ref="B238" ca="1">IF(D238="Male",INDEX(Lookup!$L$2:$L$13,RANDBETWEEN(1,12)),IF(D238="Female",INDEX(Lookup!$M$2:$M$13,RANDBETWEEN(1,12)),INDEX(Lookup!$N$2:$N$13,RANDBETWEEN(1,12))))</f>
        <v>Jordan</v>
      </c>
      <c r="C238" s="16" t="str" cm="1">
        <f t="array" ref="C238" ca="1">INDEX(Lookup!$K$2:$K$31,RANDBETWEEN(1,30))</f>
        <v>Wilson</v>
      </c>
      <c r="D238" s="16" t="str" cm="1">
        <f t="array" ref="D238" ca="1">INDEX(Lookup!$H$2:$H$4,RANDBETWEEN(1,3))</f>
        <v>Other</v>
      </c>
      <c r="E238" s="16">
        <f t="shared" ca="1" si="42"/>
        <v>54</v>
      </c>
      <c r="F238" s="16" t="str" cm="1">
        <f t="array" ref="F238" ca="1">INDEX(Lookup!$A$2:$A$10,RANDBETWEEN(1,9))</f>
        <v>HR</v>
      </c>
      <c r="G238" s="16" t="str" cm="1">
        <f t="array" ref="G238" ca="1">_xlfn.LET(_xlpm.Roles,_xlfn._xlws.FILTER(Lookup!$P$2:$P$28,Lookup!$O$2:$O$28=F238),INDEX(_xlpm.Roles,RANDBETWEEN(1,ROWS(_xlpm.Roles))))</f>
        <v>HR Executive</v>
      </c>
      <c r="H238" s="16" t="str" cm="1">
        <f t="array" ref="H238" ca="1">INDEX(Lookup!$B$2:$B$7,RANDBETWEEN(1,6))</f>
        <v>Waterford</v>
      </c>
      <c r="I238" s="22">
        <f t="shared" ca="1" si="43"/>
        <v>44810</v>
      </c>
      <c r="J238" s="22" t="str">
        <f t="shared" ca="1" si="44"/>
        <v/>
      </c>
      <c r="K238" s="16" t="str">
        <f t="shared" ca="1" si="45"/>
        <v>Active</v>
      </c>
      <c r="L238" s="26">
        <f ca="1">_xlfn.XLOOKUP(G238,Lookup!$P$2:$P$28,Lookup!$Q$2:$Q$28)*(1+MIN(X238*3%,30%))</f>
        <v>49560</v>
      </c>
      <c r="M238" s="24">
        <f t="shared" ca="1" si="55"/>
        <v>3</v>
      </c>
      <c r="N238" s="24">
        <f t="shared" ca="1" si="46"/>
        <v>47</v>
      </c>
      <c r="O238" s="24">
        <f t="shared" ca="1" si="47"/>
        <v>2</v>
      </c>
      <c r="P238" s="24">
        <f t="shared" ca="1" si="48"/>
        <v>51</v>
      </c>
      <c r="Q238" s="16" t="str">
        <f t="shared" ca="1" si="49"/>
        <v>Promoted</v>
      </c>
      <c r="R238" s="16" t="str" cm="1">
        <f t="array" ref="R238" ca="1">INDEX(Lookup!$E$2:$E$6,RANDBETWEEN(1,5))</f>
        <v>PhD</v>
      </c>
      <c r="S238" s="16" t="str" cm="1">
        <f t="array" ref="S238" ca="1">INDEX(Lookup!$J$2:$J$11,RANDBETWEEN(1,10))</f>
        <v>Sophia Martin</v>
      </c>
      <c r="T238" s="16" t="str">
        <f t="shared" ca="1" si="50"/>
        <v>jordan.wilson@hranalytics.com</v>
      </c>
      <c r="U238" s="16" t="str">
        <f t="shared" ca="1" si="51"/>
        <v>0858795384</v>
      </c>
      <c r="V238" s="16" t="str" cm="1">
        <f t="array" ref="V238" ca="1">_xlfn.LET(_xlpm.r,RANDBETWEEN(1,100),_xlfn.IFS(_xlpm.r&lt;=70,"Full-Time",_xlpm.r&lt;=85,"Part-Time",_xlpm.r&lt;=95,"Contract",TRUE,"Intern"))</f>
        <v>Full-Time</v>
      </c>
      <c r="W238" s="16" cm="1">
        <f t="array" ref="W238" ca="1">IF(K238&lt;&gt;"Active",0,_xlfn.IFS(M238=5,L238*15%,M238=4,L238*10%,M238=3,L238*5%,M238=2,L238*2%,TRUE,0))</f>
        <v>2478</v>
      </c>
      <c r="X238" s="24">
        <f t="shared" ca="1" si="52"/>
        <v>3</v>
      </c>
      <c r="Y238" s="24">
        <f t="shared" ca="1" si="53"/>
        <v>1</v>
      </c>
    </row>
    <row r="239" spans="1:25">
      <c r="A239" s="16" t="str">
        <f t="shared" si="54"/>
        <v>EMP238</v>
      </c>
      <c r="B239" s="16" t="str" cm="1">
        <f t="array" ref="B239" ca="1">IF(D239="Male",INDEX(Lookup!$L$2:$L$13,RANDBETWEEN(1,12)),IF(D239="Female",INDEX(Lookup!$M$2:$M$13,RANDBETWEEN(1,12)),INDEX(Lookup!$N$2:$N$13,RANDBETWEEN(1,12))))</f>
        <v>Charlotte</v>
      </c>
      <c r="C239" s="16" t="str" cm="1">
        <f t="array" ref="C239" ca="1">INDEX(Lookup!$K$2:$K$31,RANDBETWEEN(1,30))</f>
        <v>Adams</v>
      </c>
      <c r="D239" s="16" t="str" cm="1">
        <f t="array" ref="D239" ca="1">INDEX(Lookup!$H$2:$H$4,RANDBETWEEN(1,3))</f>
        <v>Female</v>
      </c>
      <c r="E239" s="16">
        <f t="shared" ca="1" si="42"/>
        <v>35</v>
      </c>
      <c r="F239" s="16" t="str" cm="1">
        <f t="array" ref="F239" ca="1">INDEX(Lookup!$A$2:$A$10,RANDBETWEEN(1,9))</f>
        <v>Sales</v>
      </c>
      <c r="G239" s="16" t="str" cm="1">
        <f t="array" ref="G239" ca="1">_xlfn.LET(_xlpm.Roles,_xlfn._xlws.FILTER(Lookup!$P$2:$P$28,Lookup!$O$2:$O$28=F239),INDEX(_xlpm.Roles,RANDBETWEEN(1,ROWS(_xlpm.Roles))))</f>
        <v>Business Development Executive</v>
      </c>
      <c r="H239" s="16" t="str" cm="1">
        <f t="array" ref="H239" ca="1">INDEX(Lookup!$B$2:$B$7,RANDBETWEEN(1,6))</f>
        <v>Galway</v>
      </c>
      <c r="I239" s="22">
        <f t="shared" ca="1" si="43"/>
        <v>43602</v>
      </c>
      <c r="J239" s="22" t="str">
        <f t="shared" ca="1" si="44"/>
        <v/>
      </c>
      <c r="K239" s="16" t="str">
        <f t="shared" ca="1" si="45"/>
        <v>Active</v>
      </c>
      <c r="L239" s="26">
        <f ca="1">_xlfn.XLOOKUP(G239,Lookup!$P$2:$P$28,Lookup!$Q$2:$Q$28)*(1+MIN(X239*3%,30%))</f>
        <v>50880</v>
      </c>
      <c r="M239" s="24">
        <f t="shared" ca="1" si="55"/>
        <v>4</v>
      </c>
      <c r="N239" s="24">
        <f t="shared" ca="1" si="46"/>
        <v>25</v>
      </c>
      <c r="O239" s="24">
        <f t="shared" ca="1" si="47"/>
        <v>2</v>
      </c>
      <c r="P239" s="24">
        <f t="shared" ca="1" si="48"/>
        <v>32</v>
      </c>
      <c r="Q239" s="16" t="str">
        <f t="shared" ca="1" si="49"/>
        <v>Promoted</v>
      </c>
      <c r="R239" s="16" t="str" cm="1">
        <f t="array" ref="R239" ca="1">INDEX(Lookup!$E$2:$E$6,RANDBETWEEN(1,5))</f>
        <v>Dipolma</v>
      </c>
      <c r="S239" s="16" t="str" cm="1">
        <f t="array" ref="S239" ca="1">INDEX(Lookup!$J$2:$J$11,RANDBETWEEN(1,10))</f>
        <v>Sophia Martin</v>
      </c>
      <c r="T239" s="16" t="str">
        <f t="shared" ca="1" si="50"/>
        <v>charlotte.adams@hranalytics.com</v>
      </c>
      <c r="U239" s="16" t="str">
        <f t="shared" ca="1" si="51"/>
        <v>0892952162</v>
      </c>
      <c r="V239" s="16" t="str" cm="1">
        <f t="array" ref="V239" ca="1">_xlfn.LET(_xlpm.r,RANDBETWEEN(1,100),_xlfn.IFS(_xlpm.r&lt;=70,"Full-Time",_xlpm.r&lt;=85,"Part-Time",_xlpm.r&lt;=95,"Contract",TRUE,"Intern"))</f>
        <v>Full-Time</v>
      </c>
      <c r="W239" s="16" cm="1">
        <f t="array" ref="W239" ca="1">IF(K239&lt;&gt;"Active",0,_xlfn.IFS(M239=5,L239*15%,M239=4,L239*10%,M239=3,L239*5%,M239=2,L239*2%,TRUE,0))</f>
        <v>2544</v>
      </c>
      <c r="X239" s="24">
        <f t="shared" ca="1" si="52"/>
        <v>7</v>
      </c>
      <c r="Y239" s="24">
        <f t="shared" ca="1" si="53"/>
        <v>1</v>
      </c>
    </row>
    <row r="240" spans="1:25">
      <c r="A240" s="16" t="str">
        <f t="shared" si="54"/>
        <v>EMP239</v>
      </c>
      <c r="B240" s="16" t="str" cm="1">
        <f t="array" ref="B240" ca="1">IF(D240="Male",INDEX(Lookup!$L$2:$L$13,RANDBETWEEN(1,12)),IF(D240="Female",INDEX(Lookup!$M$2:$M$13,RANDBETWEEN(1,12)),INDEX(Lookup!$N$2:$N$13,RANDBETWEEN(1,12))))</f>
        <v>Ava</v>
      </c>
      <c r="C240" s="16" t="str" cm="1">
        <f t="array" ref="C240" ca="1">INDEX(Lookup!$K$2:$K$31,RANDBETWEEN(1,30))</f>
        <v>Wilson</v>
      </c>
      <c r="D240" s="16" t="str" cm="1">
        <f t="array" ref="D240" ca="1">INDEX(Lookup!$H$2:$H$4,RANDBETWEEN(1,3))</f>
        <v>Female</v>
      </c>
      <c r="E240" s="16">
        <f t="shared" ca="1" si="42"/>
        <v>48</v>
      </c>
      <c r="F240" s="16" t="str" cm="1">
        <f t="array" ref="F240" ca="1">INDEX(Lookup!$A$2:$A$10,RANDBETWEEN(1,9))</f>
        <v>IT</v>
      </c>
      <c r="G240" s="16" t="str" cm="1">
        <f t="array" ref="G240" ca="1">_xlfn.LET(_xlpm.Roles,_xlfn._xlws.FILTER(Lookup!$P$2:$P$28,Lookup!$O$2:$O$28=F240),INDEX(_xlpm.Roles,RANDBETWEEN(1,ROWS(_xlpm.Roles))))</f>
        <v>Business Analyst</v>
      </c>
      <c r="H240" s="16" t="str" cm="1">
        <f t="array" ref="H240" ca="1">INDEX(Lookup!$B$2:$B$7,RANDBETWEEN(1,6))</f>
        <v>Cork</v>
      </c>
      <c r="I240" s="22">
        <f t="shared" ca="1" si="43"/>
        <v>44323</v>
      </c>
      <c r="J240" s="22">
        <f t="shared" ca="1" si="44"/>
        <v>45216</v>
      </c>
      <c r="K240" s="16" t="str">
        <f t="shared" ca="1" si="45"/>
        <v>Resigned</v>
      </c>
      <c r="L240" s="26">
        <f ca="1">_xlfn.XLOOKUP(G240,Lookup!$P$2:$P$28,Lookup!$Q$2:$Q$28)*(1+MIN(X240*3%,30%))</f>
        <v>69000</v>
      </c>
      <c r="M240" s="24">
        <f t="shared" ca="1" si="55"/>
        <v>4</v>
      </c>
      <c r="N240" s="24">
        <f t="shared" ca="1" si="46"/>
        <v>27</v>
      </c>
      <c r="O240" s="24">
        <f t="shared" ca="1" si="47"/>
        <v>0</v>
      </c>
      <c r="P240" s="24">
        <f t="shared" ca="1" si="48"/>
        <v>12</v>
      </c>
      <c r="Q240" s="16" t="str">
        <f t="shared" ca="1" si="49"/>
        <v>Promoted</v>
      </c>
      <c r="R240" s="16" t="str" cm="1">
        <f t="array" ref="R240" ca="1">INDEX(Lookup!$E$2:$E$6,RANDBETWEEN(1,5))</f>
        <v>Bachelor's</v>
      </c>
      <c r="S240" s="16" t="str" cm="1">
        <f t="array" ref="S240" ca="1">INDEX(Lookup!$J$2:$J$11,RANDBETWEEN(1,10))</f>
        <v>Michael Brown</v>
      </c>
      <c r="T240" s="16" t="str">
        <f t="shared" ca="1" si="50"/>
        <v>ava.wilson@hranalytics.com</v>
      </c>
      <c r="U240" s="16" t="str">
        <f t="shared" ca="1" si="51"/>
        <v>0881028793</v>
      </c>
      <c r="V240" s="16" t="str" cm="1">
        <f t="array" ref="V240" ca="1">_xlfn.LET(_xlpm.r,RANDBETWEEN(1,100),_xlfn.IFS(_xlpm.r&lt;=70,"Full-Time",_xlpm.r&lt;=85,"Part-Time",_xlpm.r&lt;=95,"Contract",TRUE,"Intern"))</f>
        <v>Full-Time</v>
      </c>
      <c r="W240" s="16" cm="1">
        <f t="array" ref="W240" ca="1">IF(K240&lt;&gt;"Active",0,_xlfn.IFS(M240=5,L240*15%,M240=4,L240*10%,M240=3,L240*5%,M240=2,L240*2%,TRUE,0))</f>
        <v>10350</v>
      </c>
      <c r="X240" s="24">
        <f t="shared" ca="1" si="52"/>
        <v>5</v>
      </c>
      <c r="Y240" s="24">
        <f t="shared" ca="1" si="53"/>
        <v>2</v>
      </c>
    </row>
    <row r="241" spans="1:25">
      <c r="A241" s="16" t="str">
        <f t="shared" si="54"/>
        <v>EMP240</v>
      </c>
      <c r="B241" s="16" t="str" cm="1">
        <f t="array" ref="B241" ca="1">IF(D241="Male",INDEX(Lookup!$L$2:$L$13,RANDBETWEEN(1,12)),IF(D241="Female",INDEX(Lookup!$M$2:$M$13,RANDBETWEEN(1,12)),INDEX(Lookup!$N$2:$N$13,RANDBETWEEN(1,12))))</f>
        <v>Avery</v>
      </c>
      <c r="C241" s="16" t="str" cm="1">
        <f t="array" ref="C241" ca="1">INDEX(Lookup!$K$2:$K$31,RANDBETWEEN(1,30))</f>
        <v>Nelson</v>
      </c>
      <c r="D241" s="16" t="str" cm="1">
        <f t="array" ref="D241" ca="1">INDEX(Lookup!$H$2:$H$4,RANDBETWEEN(1,3))</f>
        <v>Other</v>
      </c>
      <c r="E241" s="16">
        <f t="shared" ca="1" si="42"/>
        <v>45</v>
      </c>
      <c r="F241" s="16" t="str" cm="1">
        <f t="array" ref="F241" ca="1">INDEX(Lookup!$A$2:$A$10,RANDBETWEEN(1,9))</f>
        <v>Legal</v>
      </c>
      <c r="G241" s="16" t="str" cm="1">
        <f t="array" ref="G241" ca="1">_xlfn.LET(_xlpm.Roles,_xlfn._xlws.FILTER(Lookup!$P$2:$P$28,Lookup!$O$2:$O$28=F241),INDEX(_xlpm.Roles,RANDBETWEEN(1,ROWS(_xlpm.Roles))))</f>
        <v>Legal Assistant</v>
      </c>
      <c r="H241" s="16" t="str" cm="1">
        <f t="array" ref="H241" ca="1">INDEX(Lookup!$B$2:$B$7,RANDBETWEEN(1,6))</f>
        <v>Limerick</v>
      </c>
      <c r="I241" s="22">
        <f t="shared" ca="1" si="43"/>
        <v>43298</v>
      </c>
      <c r="J241" s="22" t="str">
        <f t="shared" ca="1" si="44"/>
        <v/>
      </c>
      <c r="K241" s="16" t="str">
        <f t="shared" ca="1" si="45"/>
        <v>Active</v>
      </c>
      <c r="L241" s="26">
        <f ca="1">_xlfn.XLOOKUP(G241,Lookup!$P$2:$P$28,Lookup!$Q$2:$Q$28)*(1+MIN(X241*3%,30%))</f>
        <v>43260</v>
      </c>
      <c r="M241" s="24">
        <f t="shared" ca="1" si="55"/>
        <v>3</v>
      </c>
      <c r="N241" s="24">
        <f t="shared" ca="1" si="46"/>
        <v>35</v>
      </c>
      <c r="O241" s="24">
        <f t="shared" ca="1" si="47"/>
        <v>7</v>
      </c>
      <c r="P241" s="24">
        <f t="shared" ca="1" si="48"/>
        <v>37</v>
      </c>
      <c r="Q241" s="16" t="str">
        <f t="shared" ca="1" si="49"/>
        <v>Not Promoted</v>
      </c>
      <c r="R241" s="16" t="str" cm="1">
        <f t="array" ref="R241" ca="1">INDEX(Lookup!$E$2:$E$6,RANDBETWEEN(1,5))</f>
        <v>High School</v>
      </c>
      <c r="S241" s="16" t="str" cm="1">
        <f t="array" ref="S241" ca="1">INDEX(Lookup!$J$2:$J$11,RANDBETWEEN(1,10))</f>
        <v>Olivia Smith</v>
      </c>
      <c r="T241" s="16" t="str">
        <f t="shared" ca="1" si="50"/>
        <v>avery.nelson@hranalytics.com</v>
      </c>
      <c r="U241" s="16" t="str">
        <f t="shared" ca="1" si="51"/>
        <v>0852688271</v>
      </c>
      <c r="V241" s="16" t="str" cm="1">
        <f t="array" ref="V241" ca="1">_xlfn.LET(_xlpm.r,RANDBETWEEN(1,100),_xlfn.IFS(_xlpm.r&lt;=70,"Full-Time",_xlpm.r&lt;=85,"Part-Time",_xlpm.r&lt;=95,"Contract",TRUE,"Intern"))</f>
        <v>Full-Time</v>
      </c>
      <c r="W241" s="16" cm="1">
        <f t="array" ref="W241" ca="1">IF(K241&lt;&gt;"Active",0,_xlfn.IFS(M241=5,L241*15%,M241=4,L241*10%,M241=3,L241*5%,M241=2,L241*2%,TRUE,0))</f>
        <v>2163</v>
      </c>
      <c r="X241" s="24">
        <f t="shared" ca="1" si="52"/>
        <v>8</v>
      </c>
      <c r="Y241" s="24">
        <f t="shared" ca="1" si="53"/>
        <v>1</v>
      </c>
    </row>
    <row r="242" spans="1:25">
      <c r="A242" s="16" t="str">
        <f t="shared" si="54"/>
        <v>EMP241</v>
      </c>
      <c r="B242" s="16" t="str" cm="1">
        <f t="array" ref="B242" ca="1">IF(D242="Male",INDEX(Lookup!$L$2:$L$13,RANDBETWEEN(1,12)),IF(D242="Female",INDEX(Lookup!$M$2:$M$13,RANDBETWEEN(1,12)),INDEX(Lookup!$N$2:$N$13,RANDBETWEEN(1,12))))</f>
        <v>Robin</v>
      </c>
      <c r="C242" s="16" t="str" cm="1">
        <f t="array" ref="C242" ca="1">INDEX(Lookup!$K$2:$K$31,RANDBETWEEN(1,30))</f>
        <v>Walker</v>
      </c>
      <c r="D242" s="16" t="str" cm="1">
        <f t="array" ref="D242" ca="1">INDEX(Lookup!$H$2:$H$4,RANDBETWEEN(1,3))</f>
        <v>Other</v>
      </c>
      <c r="E242" s="16">
        <f t="shared" ca="1" si="42"/>
        <v>27</v>
      </c>
      <c r="F242" s="16" t="str" cm="1">
        <f t="array" ref="F242" ca="1">INDEX(Lookup!$A$2:$A$10,RANDBETWEEN(1,9))</f>
        <v>Marketing</v>
      </c>
      <c r="G242" s="16" t="str" cm="1">
        <f t="array" ref="G242" ca="1">_xlfn.LET(_xlpm.Roles,_xlfn._xlws.FILTER(Lookup!$P$2:$P$28,Lookup!$O$2:$O$28=F242),INDEX(_xlpm.Roles,RANDBETWEEN(1,ROWS(_xlpm.Roles))))</f>
        <v>Brand Executive</v>
      </c>
      <c r="H242" s="16" t="str" cm="1">
        <f t="array" ref="H242" ca="1">INDEX(Lookup!$B$2:$B$7,RANDBETWEEN(1,6))</f>
        <v>Belfast</v>
      </c>
      <c r="I242" s="22">
        <f t="shared" ca="1" si="43"/>
        <v>43863</v>
      </c>
      <c r="J242" s="22" t="str">
        <f t="shared" ca="1" si="44"/>
        <v/>
      </c>
      <c r="K242" s="16" t="str">
        <f t="shared" ca="1" si="45"/>
        <v>Active</v>
      </c>
      <c r="L242" s="26">
        <f ca="1">_xlfn.XLOOKUP(G242,Lookup!$P$2:$P$28,Lookup!$Q$2:$Q$28)*(1+MIN(X242*3%,30%))</f>
        <v>50140</v>
      </c>
      <c r="M242" s="24">
        <f t="shared" ca="1" si="55"/>
        <v>5</v>
      </c>
      <c r="N242" s="24">
        <f t="shared" ca="1" si="46"/>
        <v>11</v>
      </c>
      <c r="O242" s="24">
        <f t="shared" ca="1" si="47"/>
        <v>15</v>
      </c>
      <c r="P242" s="24">
        <f t="shared" ca="1" si="48"/>
        <v>23</v>
      </c>
      <c r="Q242" s="16" t="str">
        <f t="shared" ca="1" si="49"/>
        <v>Promoted</v>
      </c>
      <c r="R242" s="16" t="str" cm="1">
        <f t="array" ref="R242" ca="1">INDEX(Lookup!$E$2:$E$6,RANDBETWEEN(1,5))</f>
        <v>PhD</v>
      </c>
      <c r="S242" s="16" t="str" cm="1">
        <f t="array" ref="S242" ca="1">INDEX(Lookup!$J$2:$J$11,RANDBETWEEN(1,10))</f>
        <v>David Murphy</v>
      </c>
      <c r="T242" s="16" t="str">
        <f t="shared" ca="1" si="50"/>
        <v>robin.walker@hranalytics.com</v>
      </c>
      <c r="U242" s="16" t="str">
        <f t="shared" ca="1" si="51"/>
        <v>0864483338</v>
      </c>
      <c r="V242" s="16" t="str" cm="1">
        <f t="array" ref="V242" ca="1">_xlfn.LET(_xlpm.r,RANDBETWEEN(1,100),_xlfn.IFS(_xlpm.r&lt;=70,"Full-Time",_xlpm.r&lt;=85,"Part-Time",_xlpm.r&lt;=95,"Contract",TRUE,"Intern"))</f>
        <v>Full-Time</v>
      </c>
      <c r="W242" s="16" cm="1">
        <f t="array" ref="W242" ca="1">IF(K242&lt;&gt;"Active",0,_xlfn.IFS(M242=5,L242*15%,M242=4,L242*10%,M242=3,L242*5%,M242=2,L242*2%,TRUE,0))</f>
        <v>1002.8</v>
      </c>
      <c r="X242" s="24">
        <f t="shared" ca="1" si="52"/>
        <v>6</v>
      </c>
      <c r="Y242" s="24">
        <f t="shared" ca="1" si="53"/>
        <v>2</v>
      </c>
    </row>
    <row r="243" spans="1:25">
      <c r="A243" s="16" t="str">
        <f t="shared" si="54"/>
        <v>EMP242</v>
      </c>
      <c r="B243" s="16" t="str" cm="1">
        <f t="array" ref="B243" ca="1">IF(D243="Male",INDEX(Lookup!$L$2:$L$13,RANDBETWEEN(1,12)),IF(D243="Female",INDEX(Lookup!$M$2:$M$13,RANDBETWEEN(1,12)),INDEX(Lookup!$N$2:$N$13,RANDBETWEEN(1,12))))</f>
        <v>Riley</v>
      </c>
      <c r="C243" s="16" t="str" cm="1">
        <f t="array" ref="C243" ca="1">INDEX(Lookup!$K$2:$K$31,RANDBETWEEN(1,30))</f>
        <v>Cooper</v>
      </c>
      <c r="D243" s="16" t="str" cm="1">
        <f t="array" ref="D243" ca="1">INDEX(Lookup!$H$2:$H$4,RANDBETWEEN(1,3))</f>
        <v>Other</v>
      </c>
      <c r="E243" s="16">
        <f t="shared" ca="1" si="42"/>
        <v>28</v>
      </c>
      <c r="F243" s="16" t="str" cm="1">
        <f t="array" ref="F243" ca="1">INDEX(Lookup!$A$2:$A$10,RANDBETWEEN(1,9))</f>
        <v>Legal</v>
      </c>
      <c r="G243" s="16" t="str" cm="1">
        <f t="array" ref="G243" ca="1">_xlfn.LET(_xlpm.Roles,_xlfn._xlws.FILTER(Lookup!$P$2:$P$28,Lookup!$O$2:$O$28=F243),INDEX(_xlpm.Roles,RANDBETWEEN(1,ROWS(_xlpm.Roles))))</f>
        <v>Legal Assistant</v>
      </c>
      <c r="H243" s="16" t="str" cm="1">
        <f t="array" ref="H243" ca="1">INDEX(Lookup!$B$2:$B$7,RANDBETWEEN(1,6))</f>
        <v>Galway</v>
      </c>
      <c r="I243" s="22">
        <f t="shared" ca="1" si="43"/>
        <v>44329</v>
      </c>
      <c r="J243" s="22" t="str">
        <f t="shared" ca="1" si="44"/>
        <v/>
      </c>
      <c r="K243" s="16" t="str">
        <f t="shared" ca="1" si="45"/>
        <v>Active</v>
      </c>
      <c r="L243" s="26">
        <f ca="1">_xlfn.XLOOKUP(G243,Lookup!$P$2:$P$28,Lookup!$Q$2:$Q$28)*(1+MIN(X243*3%,30%))</f>
        <v>48300</v>
      </c>
      <c r="M243" s="24">
        <f t="shared" ca="1" si="55"/>
        <v>4</v>
      </c>
      <c r="N243" s="24">
        <f t="shared" ca="1" si="46"/>
        <v>66</v>
      </c>
      <c r="O243" s="24">
        <f t="shared" ca="1" si="47"/>
        <v>5</v>
      </c>
      <c r="P243" s="24">
        <f t="shared" ca="1" si="48"/>
        <v>55</v>
      </c>
      <c r="Q243" s="16" t="str">
        <f t="shared" ca="1" si="49"/>
        <v>Promoted</v>
      </c>
      <c r="R243" s="16" t="str" cm="1">
        <f t="array" ref="R243" ca="1">INDEX(Lookup!$E$2:$E$6,RANDBETWEEN(1,5))</f>
        <v>High School</v>
      </c>
      <c r="S243" s="16" t="str" cm="1">
        <f t="array" ref="S243" ca="1">INDEX(Lookup!$J$2:$J$11,RANDBETWEEN(1,10))</f>
        <v>Sarah Johnson</v>
      </c>
      <c r="T243" s="16" t="str">
        <f t="shared" ca="1" si="50"/>
        <v>riley.cooper@hranalytics.com</v>
      </c>
      <c r="U243" s="16" t="str">
        <f t="shared" ca="1" si="51"/>
        <v>0877574064</v>
      </c>
      <c r="V243" s="16" t="str" cm="1">
        <f t="array" ref="V243" ca="1">_xlfn.LET(_xlpm.r,RANDBETWEEN(1,100),_xlfn.IFS(_xlpm.r&lt;=70,"Full-Time",_xlpm.r&lt;=85,"Part-Time",_xlpm.r&lt;=95,"Contract",TRUE,"Intern"))</f>
        <v>Part-Time</v>
      </c>
      <c r="W243" s="16" cm="1">
        <f t="array" ref="W243" ca="1">IF(K243&lt;&gt;"Active",0,_xlfn.IFS(M243=5,L243*15%,M243=4,L243*10%,M243=3,L243*5%,M243=2,L243*2%,TRUE,0))</f>
        <v>966</v>
      </c>
      <c r="X243" s="24">
        <f t="shared" ca="1" si="52"/>
        <v>5</v>
      </c>
      <c r="Y243" s="24">
        <f t="shared" ca="1" si="53"/>
        <v>2</v>
      </c>
    </row>
    <row r="244" spans="1:25">
      <c r="A244" s="16" t="str">
        <f t="shared" si="54"/>
        <v>EMP243</v>
      </c>
      <c r="B244" s="16" t="str" cm="1">
        <f t="array" ref="B244" ca="1">IF(D244="Male",INDEX(Lookup!$L$2:$L$13,RANDBETWEEN(1,12)),IF(D244="Female",INDEX(Lookup!$M$2:$M$13,RANDBETWEEN(1,12)),INDEX(Lookup!$N$2:$N$13,RANDBETWEEN(1,12))))</f>
        <v>Jordan</v>
      </c>
      <c r="C244" s="16" t="str" cm="1">
        <f t="array" ref="C244" ca="1">INDEX(Lookup!$K$2:$K$31,RANDBETWEEN(1,30))</f>
        <v>Thomas</v>
      </c>
      <c r="D244" s="16" t="str" cm="1">
        <f t="array" ref="D244" ca="1">INDEX(Lookup!$H$2:$H$4,RANDBETWEEN(1,3))</f>
        <v>Other</v>
      </c>
      <c r="E244" s="16">
        <f t="shared" ca="1" si="42"/>
        <v>34</v>
      </c>
      <c r="F244" s="16" t="str" cm="1">
        <f t="array" ref="F244" ca="1">INDEX(Lookup!$A$2:$A$10,RANDBETWEEN(1,9))</f>
        <v>Marketing</v>
      </c>
      <c r="G244" s="16" t="str" cm="1">
        <f t="array" ref="G244" ca="1">_xlfn.LET(_xlpm.Roles,_xlfn._xlws.FILTER(Lookup!$P$2:$P$28,Lookup!$O$2:$O$28=F244),INDEX(_xlpm.Roles,RANDBETWEEN(1,ROWS(_xlpm.Roles))))</f>
        <v>Marketing Executive</v>
      </c>
      <c r="H244" s="16" t="str" cm="1">
        <f t="array" ref="H244" ca="1">INDEX(Lookup!$B$2:$B$7,RANDBETWEEN(1,6))</f>
        <v>Belfast</v>
      </c>
      <c r="I244" s="22">
        <f t="shared" ca="1" si="43"/>
        <v>44700</v>
      </c>
      <c r="J244" s="22" t="str">
        <f t="shared" ca="1" si="44"/>
        <v/>
      </c>
      <c r="K244" s="16" t="str">
        <f t="shared" ca="1" si="45"/>
        <v>Active</v>
      </c>
      <c r="L244" s="26">
        <f ca="1">_xlfn.XLOOKUP(G244,Lookup!$P$2:$P$28,Lookup!$Q$2:$Q$28)*(1+MIN(X244*3%,30%))</f>
        <v>49560</v>
      </c>
      <c r="M244" s="24">
        <f t="shared" ca="1" si="55"/>
        <v>1</v>
      </c>
      <c r="N244" s="24">
        <f t="shared" ca="1" si="46"/>
        <v>45</v>
      </c>
      <c r="O244" s="24">
        <f t="shared" ca="1" si="47"/>
        <v>8</v>
      </c>
      <c r="P244" s="24">
        <f t="shared" ca="1" si="48"/>
        <v>21</v>
      </c>
      <c r="Q244" s="16" t="str">
        <f t="shared" ca="1" si="49"/>
        <v>Promoted</v>
      </c>
      <c r="R244" s="16" t="str" cm="1">
        <f t="array" ref="R244" ca="1">INDEX(Lookup!$E$2:$E$6,RANDBETWEEN(1,5))</f>
        <v>Bachelor's</v>
      </c>
      <c r="S244" s="16" t="str" cm="1">
        <f t="array" ref="S244" ca="1">INDEX(Lookup!$J$2:$J$11,RANDBETWEEN(1,10))</f>
        <v>James Taylor</v>
      </c>
      <c r="T244" s="16" t="str">
        <f t="shared" ca="1" si="50"/>
        <v>jordan.thomas@hranalytics.com</v>
      </c>
      <c r="U244" s="16" t="str">
        <f t="shared" ca="1" si="51"/>
        <v>0851098422</v>
      </c>
      <c r="V244" s="16" t="str" cm="1">
        <f t="array" ref="V244" ca="1">_xlfn.LET(_xlpm.r,RANDBETWEEN(1,100),_xlfn.IFS(_xlpm.r&lt;=70,"Full-Time",_xlpm.r&lt;=85,"Part-Time",_xlpm.r&lt;=95,"Contract",TRUE,"Intern"))</f>
        <v>Full-Time</v>
      </c>
      <c r="W244" s="16" cm="1">
        <f t="array" ref="W244" ca="1">IF(K244&lt;&gt;"Active",0,_xlfn.IFS(M244=5,L244*15%,M244=4,L244*10%,M244=3,L244*5%,M244=2,L244*2%,TRUE,0))</f>
        <v>4956</v>
      </c>
      <c r="X244" s="24">
        <f t="shared" ca="1" si="52"/>
        <v>4</v>
      </c>
      <c r="Y244" s="24">
        <f t="shared" ca="1" si="53"/>
        <v>1</v>
      </c>
    </row>
    <row r="245" spans="1:25">
      <c r="A245" s="16" t="str">
        <f t="shared" si="54"/>
        <v>EMP244</v>
      </c>
      <c r="B245" s="16" t="str" cm="1">
        <f t="array" ref="B245" ca="1">IF(D245="Male",INDEX(Lookup!$L$2:$L$13,RANDBETWEEN(1,12)),IF(D245="Female",INDEX(Lookup!$M$2:$M$13,RANDBETWEEN(1,12)),INDEX(Lookup!$N$2:$N$13,RANDBETWEEN(1,12))))</f>
        <v>Leo</v>
      </c>
      <c r="C245" s="16" t="str" cm="1">
        <f t="array" ref="C245" ca="1">INDEX(Lookup!$K$2:$K$31,RANDBETWEEN(1,30))</f>
        <v>Murphy</v>
      </c>
      <c r="D245" s="16" t="str" cm="1">
        <f t="array" ref="D245" ca="1">INDEX(Lookup!$H$2:$H$4,RANDBETWEEN(1,3))</f>
        <v>Male</v>
      </c>
      <c r="E245" s="16">
        <f t="shared" ca="1" si="42"/>
        <v>40</v>
      </c>
      <c r="F245" s="16" t="str" cm="1">
        <f t="array" ref="F245" ca="1">INDEX(Lookup!$A$2:$A$10,RANDBETWEEN(1,9))</f>
        <v>Legal</v>
      </c>
      <c r="G245" s="16" t="str" cm="1">
        <f t="array" ref="G245" ca="1">_xlfn.LET(_xlpm.Roles,_xlfn._xlws.FILTER(Lookup!$P$2:$P$28,Lookup!$O$2:$O$28=F245),INDEX(_xlpm.Roles,RANDBETWEEN(1,ROWS(_xlpm.Roles))))</f>
        <v>Compliance Officer</v>
      </c>
      <c r="H245" s="16" t="str" cm="1">
        <f t="array" ref="H245" ca="1">INDEX(Lookup!$B$2:$B$7,RANDBETWEEN(1,6))</f>
        <v>Belfast</v>
      </c>
      <c r="I245" s="22">
        <f t="shared" ca="1" si="43"/>
        <v>44817</v>
      </c>
      <c r="J245" s="22" t="str">
        <f t="shared" ca="1" si="44"/>
        <v/>
      </c>
      <c r="K245" s="16" t="str">
        <f t="shared" ca="1" si="45"/>
        <v>Active</v>
      </c>
      <c r="L245" s="26">
        <f ca="1">_xlfn.XLOOKUP(G245,Lookup!$P$2:$P$28,Lookup!$Q$2:$Q$28)*(1+MIN(X245*3%,30%))</f>
        <v>67200</v>
      </c>
      <c r="M245" s="24">
        <f t="shared" ca="1" si="55"/>
        <v>4</v>
      </c>
      <c r="N245" s="24">
        <f t="shared" ca="1" si="46"/>
        <v>76</v>
      </c>
      <c r="O245" s="24">
        <f t="shared" ca="1" si="47"/>
        <v>10</v>
      </c>
      <c r="P245" s="24">
        <f t="shared" ca="1" si="48"/>
        <v>13</v>
      </c>
      <c r="Q245" s="16" t="str">
        <f t="shared" ca="1" si="49"/>
        <v>Promoted</v>
      </c>
      <c r="R245" s="16" t="str" cm="1">
        <f t="array" ref="R245" ca="1">INDEX(Lookup!$E$2:$E$6,RANDBETWEEN(1,5))</f>
        <v>Dipolma</v>
      </c>
      <c r="S245" s="16" t="str" cm="1">
        <f t="array" ref="S245" ca="1">INDEX(Lookup!$J$2:$J$11,RANDBETWEEN(1,10))</f>
        <v>Daniel Kelly</v>
      </c>
      <c r="T245" s="16" t="str">
        <f t="shared" ca="1" si="50"/>
        <v>leo.murphy@hranalytics.com</v>
      </c>
      <c r="U245" s="16" t="str">
        <f t="shared" ca="1" si="51"/>
        <v>0876190496</v>
      </c>
      <c r="V245" s="16" t="str" cm="1">
        <f t="array" ref="V245" ca="1">_xlfn.LET(_xlpm.r,RANDBETWEEN(1,100),_xlfn.IFS(_xlpm.r&lt;=70,"Full-Time",_xlpm.r&lt;=85,"Part-Time",_xlpm.r&lt;=95,"Contract",TRUE,"Intern"))</f>
        <v>Contract</v>
      </c>
      <c r="W245" s="16" cm="1">
        <f t="array" ref="W245" ca="1">IF(K245&lt;&gt;"Active",0,_xlfn.IFS(M245=5,L245*15%,M245=4,L245*10%,M245=3,L245*5%,M245=2,L245*2%,TRUE,0))</f>
        <v>1344</v>
      </c>
      <c r="X245" s="24">
        <f t="shared" ca="1" si="52"/>
        <v>3</v>
      </c>
      <c r="Y245" s="24">
        <f t="shared" ca="1" si="53"/>
        <v>1</v>
      </c>
    </row>
    <row r="246" spans="1:25">
      <c r="A246" s="16" t="str">
        <f t="shared" si="54"/>
        <v>EMP245</v>
      </c>
      <c r="B246" s="16" t="str" cm="1">
        <f t="array" ref="B246" ca="1">IF(D246="Male",INDEX(Lookup!$L$2:$L$13,RANDBETWEEN(1,12)),IF(D246="Female",INDEX(Lookup!$M$2:$M$13,RANDBETWEEN(1,12)),INDEX(Lookup!$N$2:$N$13,RANDBETWEEN(1,12))))</f>
        <v>Cameron</v>
      </c>
      <c r="C246" s="16" t="str" cm="1">
        <f t="array" ref="C246" ca="1">INDEX(Lookup!$K$2:$K$31,RANDBETWEEN(1,30))</f>
        <v>Nelson</v>
      </c>
      <c r="D246" s="16" t="str" cm="1">
        <f t="array" ref="D246" ca="1">INDEX(Lookup!$H$2:$H$4,RANDBETWEEN(1,3))</f>
        <v>Other</v>
      </c>
      <c r="E246" s="16">
        <f t="shared" ca="1" si="42"/>
        <v>34</v>
      </c>
      <c r="F246" s="16" t="str" cm="1">
        <f t="array" ref="F246" ca="1">INDEX(Lookup!$A$2:$A$10,RANDBETWEEN(1,9))</f>
        <v>Procurement</v>
      </c>
      <c r="G246" s="16" t="str" cm="1">
        <f t="array" ref="G246" ca="1">_xlfn.LET(_xlpm.Roles,_xlfn._xlws.FILTER(Lookup!$P$2:$P$28,Lookup!$O$2:$O$28=F246),INDEX(_xlpm.Roles,RANDBETWEEN(1,ROWS(_xlpm.Roles))))</f>
        <v>Procurement Officer</v>
      </c>
      <c r="H246" s="16" t="str" cm="1">
        <f t="array" ref="H246" ca="1">INDEX(Lookup!$B$2:$B$7,RANDBETWEEN(1,6))</f>
        <v>Cork</v>
      </c>
      <c r="I246" s="22">
        <f t="shared" ca="1" si="43"/>
        <v>43264</v>
      </c>
      <c r="J246" s="22">
        <f t="shared" ca="1" si="44"/>
        <v>44962</v>
      </c>
      <c r="K246" s="16" t="str">
        <f t="shared" ca="1" si="45"/>
        <v>Resigned</v>
      </c>
      <c r="L246" s="26">
        <f ca="1">_xlfn.XLOOKUP(G246,Lookup!$P$2:$P$28,Lookup!$Q$2:$Q$28)*(1+MIN(X246*3%,30%))</f>
        <v>53100</v>
      </c>
      <c r="M246" s="24">
        <f t="shared" ca="1" si="55"/>
        <v>3</v>
      </c>
      <c r="N246" s="24">
        <f t="shared" ca="1" si="46"/>
        <v>41</v>
      </c>
      <c r="O246" s="24">
        <f t="shared" ca="1" si="47"/>
        <v>8</v>
      </c>
      <c r="P246" s="24">
        <f t="shared" ca="1" si="48"/>
        <v>48</v>
      </c>
      <c r="Q246" s="16" t="str">
        <f t="shared" ca="1" si="49"/>
        <v>Promoted</v>
      </c>
      <c r="R246" s="16" t="str" cm="1">
        <f t="array" ref="R246" ca="1">INDEX(Lookup!$E$2:$E$6,RANDBETWEEN(1,5))</f>
        <v>Dipolma</v>
      </c>
      <c r="S246" s="16" t="str" cm="1">
        <f t="array" ref="S246" ca="1">INDEX(Lookup!$J$2:$J$11,RANDBETWEEN(1,10))</f>
        <v>Liam Byrne</v>
      </c>
      <c r="T246" s="16" t="str">
        <f t="shared" ca="1" si="50"/>
        <v>cameron.nelson@hranalytics.com</v>
      </c>
      <c r="U246" s="16" t="str">
        <f t="shared" ca="1" si="51"/>
        <v>0832615933</v>
      </c>
      <c r="V246" s="16" t="str" cm="1">
        <f t="array" ref="V246" ca="1">_xlfn.LET(_xlpm.r,RANDBETWEEN(1,100),_xlfn.IFS(_xlpm.r&lt;=70,"Full-Time",_xlpm.r&lt;=85,"Part-Time",_xlpm.r&lt;=95,"Contract",TRUE,"Intern"))</f>
        <v>Full-Time</v>
      </c>
      <c r="W246" s="16" cm="1">
        <f t="array" ref="W246" ca="1">IF(K246&lt;&gt;"Active",0,_xlfn.IFS(M246=5,L246*15%,M246=4,L246*10%,M246=3,L246*5%,M246=2,L246*2%,TRUE,0))</f>
        <v>1062</v>
      </c>
      <c r="X246" s="24">
        <f t="shared" ca="1" si="52"/>
        <v>8</v>
      </c>
      <c r="Y246" s="24">
        <f t="shared" ca="1" si="53"/>
        <v>3</v>
      </c>
    </row>
    <row r="247" spans="1:25">
      <c r="A247" s="16" t="str">
        <f t="shared" si="54"/>
        <v>EMP246</v>
      </c>
      <c r="B247" s="16" t="str" cm="1">
        <f t="array" ref="B247" ca="1">IF(D247="Male",INDEX(Lookup!$L$2:$L$13,RANDBETWEEN(1,12)),IF(D247="Female",INDEX(Lookup!$M$2:$M$13,RANDBETWEEN(1,12)),INDEX(Lookup!$N$2:$N$13,RANDBETWEEN(1,12))))</f>
        <v>Leo</v>
      </c>
      <c r="C247" s="16" t="str" cm="1">
        <f t="array" ref="C247" ca="1">INDEX(Lookup!$K$2:$K$31,RANDBETWEEN(1,30))</f>
        <v>Campbell</v>
      </c>
      <c r="D247" s="16" t="str" cm="1">
        <f t="array" ref="D247" ca="1">INDEX(Lookup!$H$2:$H$4,RANDBETWEEN(1,3))</f>
        <v>Male</v>
      </c>
      <c r="E247" s="16">
        <f t="shared" ca="1" si="42"/>
        <v>36</v>
      </c>
      <c r="F247" s="16" t="str" cm="1">
        <f t="array" ref="F247" ca="1">INDEX(Lookup!$A$2:$A$10,RANDBETWEEN(1,9))</f>
        <v>Marketing</v>
      </c>
      <c r="G247" s="16" t="str" cm="1">
        <f t="array" ref="G247" ca="1">_xlfn.LET(_xlpm.Roles,_xlfn._xlws.FILTER(Lookup!$P$2:$P$28,Lookup!$O$2:$O$28=F247),INDEX(_xlpm.Roles,RANDBETWEEN(1,ROWS(_xlpm.Roles))))</f>
        <v>Digital Marketing Specialist</v>
      </c>
      <c r="H247" s="16" t="str" cm="1">
        <f t="array" ref="H247" ca="1">INDEX(Lookup!$B$2:$B$7,RANDBETWEEN(1,6))</f>
        <v>Galway</v>
      </c>
      <c r="I247" s="22">
        <f t="shared" ca="1" si="43"/>
        <v>43588</v>
      </c>
      <c r="J247" s="22" t="str">
        <f t="shared" ca="1" si="44"/>
        <v/>
      </c>
      <c r="K247" s="16" t="str">
        <f t="shared" ca="1" si="45"/>
        <v>Active</v>
      </c>
      <c r="L247" s="26">
        <f ca="1">_xlfn.XLOOKUP(G247,Lookup!$P$2:$P$28,Lookup!$Q$2:$Q$28)*(1+MIN(X247*3%,30%))</f>
        <v>53000</v>
      </c>
      <c r="M247" s="24">
        <f t="shared" ca="1" si="55"/>
        <v>1</v>
      </c>
      <c r="N247" s="24">
        <f t="shared" ca="1" si="46"/>
        <v>45</v>
      </c>
      <c r="O247" s="24">
        <f t="shared" ca="1" si="47"/>
        <v>10</v>
      </c>
      <c r="P247" s="24">
        <f t="shared" ca="1" si="48"/>
        <v>60</v>
      </c>
      <c r="Q247" s="16" t="str">
        <f t="shared" ca="1" si="49"/>
        <v>Promoted</v>
      </c>
      <c r="R247" s="16" t="str" cm="1">
        <f t="array" ref="R247" ca="1">INDEX(Lookup!$E$2:$E$6,RANDBETWEEN(1,5))</f>
        <v>Dipolma</v>
      </c>
      <c r="S247" s="16" t="str" cm="1">
        <f t="array" ref="S247" ca="1">INDEX(Lookup!$J$2:$J$11,RANDBETWEEN(1,10))</f>
        <v>Daniel Kelly</v>
      </c>
      <c r="T247" s="16" t="str">
        <f t="shared" ca="1" si="50"/>
        <v>leo.campbell@hranalytics.com</v>
      </c>
      <c r="U247" s="16" t="str">
        <f t="shared" ca="1" si="51"/>
        <v>0895502742</v>
      </c>
      <c r="V247" s="16" t="str" cm="1">
        <f t="array" ref="V247" ca="1">_xlfn.LET(_xlpm.r,RANDBETWEEN(1,100),_xlfn.IFS(_xlpm.r&lt;=70,"Full-Time",_xlpm.r&lt;=85,"Part-Time",_xlpm.r&lt;=95,"Contract",TRUE,"Intern"))</f>
        <v>Full-Time</v>
      </c>
      <c r="W247" s="16" cm="1">
        <f t="array" ref="W247" ca="1">IF(K247&lt;&gt;"Active",0,_xlfn.IFS(M247=5,L247*15%,M247=4,L247*10%,M247=3,L247*5%,M247=2,L247*2%,TRUE,0))</f>
        <v>5300</v>
      </c>
      <c r="X247" s="24">
        <f t="shared" ca="1" si="52"/>
        <v>7</v>
      </c>
      <c r="Y247" s="24">
        <f t="shared" ca="1" si="53"/>
        <v>2</v>
      </c>
    </row>
    <row r="248" spans="1:25">
      <c r="A248" s="16" t="str">
        <f t="shared" si="54"/>
        <v>EMP247</v>
      </c>
      <c r="B248" s="16" t="str" cm="1">
        <f t="array" ref="B248" ca="1">IF(D248="Male",INDEX(Lookup!$L$2:$L$13,RANDBETWEEN(1,12)),IF(D248="Female",INDEX(Lookup!$M$2:$M$13,RANDBETWEEN(1,12)),INDEX(Lookup!$N$2:$N$13,RANDBETWEEN(1,12))))</f>
        <v>Cameron</v>
      </c>
      <c r="C248" s="16" t="str" cm="1">
        <f t="array" ref="C248" ca="1">INDEX(Lookup!$K$2:$K$31,RANDBETWEEN(1,30))</f>
        <v>Turner</v>
      </c>
      <c r="D248" s="16" t="str" cm="1">
        <f t="array" ref="D248" ca="1">INDEX(Lookup!$H$2:$H$4,RANDBETWEEN(1,3))</f>
        <v>Other</v>
      </c>
      <c r="E248" s="16">
        <f t="shared" ca="1" si="42"/>
        <v>46</v>
      </c>
      <c r="F248" s="16" t="str" cm="1">
        <f t="array" ref="F248" ca="1">INDEX(Lookup!$A$2:$A$10,RANDBETWEEN(1,9))</f>
        <v>Finance</v>
      </c>
      <c r="G248" s="16" t="str" cm="1">
        <f t="array" ref="G248" ca="1">_xlfn.LET(_xlpm.Roles,_xlfn._xlws.FILTER(Lookup!$P$2:$P$28,Lookup!$O$2:$O$28=F248),INDEX(_xlpm.Roles,RANDBETWEEN(1,ROWS(_xlpm.Roles))))</f>
        <v>Financial Analyst</v>
      </c>
      <c r="H248" s="16" t="str" cm="1">
        <f t="array" ref="H248" ca="1">INDEX(Lookup!$B$2:$B$7,RANDBETWEEN(1,6))</f>
        <v>Galway</v>
      </c>
      <c r="I248" s="22">
        <f t="shared" ca="1" si="43"/>
        <v>45739</v>
      </c>
      <c r="J248" s="22" t="str">
        <f t="shared" ca="1" si="44"/>
        <v/>
      </c>
      <c r="K248" s="16" t="str">
        <f t="shared" ca="1" si="45"/>
        <v>Active</v>
      </c>
      <c r="L248" s="26">
        <f ca="1">_xlfn.XLOOKUP(G248,Lookup!$P$2:$P$28,Lookup!$Q$2:$Q$28)*(1+MIN(X248*3%,30%))</f>
        <v>64960</v>
      </c>
      <c r="M248" s="24">
        <f t="shared" ca="1" si="55"/>
        <v>1</v>
      </c>
      <c r="N248" s="24">
        <f t="shared" ca="1" si="46"/>
        <v>12</v>
      </c>
      <c r="O248" s="24">
        <f t="shared" ca="1" si="47"/>
        <v>4</v>
      </c>
      <c r="P248" s="24">
        <f t="shared" ca="1" si="48"/>
        <v>59</v>
      </c>
      <c r="Q248" s="16" t="str">
        <f t="shared" ca="1" si="49"/>
        <v>Promoted</v>
      </c>
      <c r="R248" s="16" t="str" cm="1">
        <f t="array" ref="R248" ca="1">INDEX(Lookup!$E$2:$E$6,RANDBETWEEN(1,5))</f>
        <v>Dipolma</v>
      </c>
      <c r="S248" s="16" t="str" cm="1">
        <f t="array" ref="S248" ca="1">INDEX(Lookup!$J$2:$J$11,RANDBETWEEN(1,10))</f>
        <v>Liam Byrne</v>
      </c>
      <c r="T248" s="16" t="str">
        <f t="shared" ca="1" si="50"/>
        <v>cameron.turner@hranalytics.com</v>
      </c>
      <c r="U248" s="16" t="str">
        <f t="shared" ca="1" si="51"/>
        <v>0848887310</v>
      </c>
      <c r="V248" s="16" t="str" cm="1">
        <f t="array" ref="V248" ca="1">_xlfn.LET(_xlpm.r,RANDBETWEEN(1,100),_xlfn.IFS(_xlpm.r&lt;=70,"Full-Time",_xlpm.r&lt;=85,"Part-Time",_xlpm.r&lt;=95,"Contract",TRUE,"Intern"))</f>
        <v>Intern</v>
      </c>
      <c r="W248" s="16" cm="1">
        <f t="array" ref="W248" ca="1">IF(K248&lt;&gt;"Active",0,_xlfn.IFS(M248=5,L248*15%,M248=4,L248*10%,M248=3,L248*5%,M248=2,L248*2%,TRUE,0))</f>
        <v>6496</v>
      </c>
      <c r="X248" s="24">
        <f t="shared" ca="1" si="52"/>
        <v>1</v>
      </c>
      <c r="Y248" s="24">
        <f t="shared" ca="1" si="53"/>
        <v>3</v>
      </c>
    </row>
    <row r="249" spans="1:25">
      <c r="A249" s="16" t="str">
        <f t="shared" si="54"/>
        <v>EMP248</v>
      </c>
      <c r="B249" s="16" t="str" cm="1">
        <f t="array" ref="B249" ca="1">IF(D249="Male",INDEX(Lookup!$L$2:$L$13,RANDBETWEEN(1,12)),IF(D249="Female",INDEX(Lookup!$M$2:$M$13,RANDBETWEEN(1,12)),INDEX(Lookup!$N$2:$N$13,RANDBETWEEN(1,12))))</f>
        <v>William</v>
      </c>
      <c r="C249" s="16" t="str" cm="1">
        <f t="array" ref="C249" ca="1">INDEX(Lookup!$K$2:$K$31,RANDBETWEEN(1,30))</f>
        <v>Cooper</v>
      </c>
      <c r="D249" s="16" t="str" cm="1">
        <f t="array" ref="D249" ca="1">INDEX(Lookup!$H$2:$H$4,RANDBETWEEN(1,3))</f>
        <v>Male</v>
      </c>
      <c r="E249" s="16">
        <f t="shared" ca="1" si="42"/>
        <v>55</v>
      </c>
      <c r="F249" s="16" t="str" cm="1">
        <f t="array" ref="F249" ca="1">INDEX(Lookup!$A$2:$A$10,RANDBETWEEN(1,9))</f>
        <v>HR</v>
      </c>
      <c r="G249" s="16" t="str" cm="1">
        <f t="array" ref="G249" ca="1">_xlfn.LET(_xlpm.Roles,_xlfn._xlws.FILTER(Lookup!$P$2:$P$28,Lookup!$O$2:$O$28=F249),INDEX(_xlpm.Roles,RANDBETWEEN(1,ROWS(_xlpm.Roles))))</f>
        <v>HR Manager</v>
      </c>
      <c r="H249" s="16" t="str" cm="1">
        <f t="array" ref="H249" ca="1">INDEX(Lookup!$B$2:$B$7,RANDBETWEEN(1,6))</f>
        <v>Limerick</v>
      </c>
      <c r="I249" s="22">
        <f t="shared" ca="1" si="43"/>
        <v>44972</v>
      </c>
      <c r="J249" s="22" t="str">
        <f t="shared" ca="1" si="44"/>
        <v/>
      </c>
      <c r="K249" s="16" t="str">
        <f t="shared" ca="1" si="45"/>
        <v>Active</v>
      </c>
      <c r="L249" s="26">
        <f ca="1">_xlfn.XLOOKUP(G249,Lookup!$P$2:$P$28,Lookup!$Q$2:$Q$28)*(1+MIN(X249*3%,30%))</f>
        <v>72800</v>
      </c>
      <c r="M249" s="24">
        <f t="shared" ca="1" si="55"/>
        <v>1</v>
      </c>
      <c r="N249" s="24">
        <f t="shared" ca="1" si="46"/>
        <v>53</v>
      </c>
      <c r="O249" s="24">
        <f t="shared" ca="1" si="47"/>
        <v>10</v>
      </c>
      <c r="P249" s="24">
        <f t="shared" ca="1" si="48"/>
        <v>4</v>
      </c>
      <c r="Q249" s="16" t="str">
        <f t="shared" ca="1" si="49"/>
        <v>Not Promoted</v>
      </c>
      <c r="R249" s="16" t="str" cm="1">
        <f t="array" ref="R249" ca="1">INDEX(Lookup!$E$2:$E$6,RANDBETWEEN(1,5))</f>
        <v>High School</v>
      </c>
      <c r="S249" s="16" t="str" cm="1">
        <f t="array" ref="S249" ca="1">INDEX(Lookup!$J$2:$J$11,RANDBETWEEN(1,10))</f>
        <v>Michael Brown</v>
      </c>
      <c r="T249" s="16" t="str">
        <f t="shared" ca="1" si="50"/>
        <v>william.cooper@hranalytics.com</v>
      </c>
      <c r="U249" s="16" t="str">
        <f t="shared" ca="1" si="51"/>
        <v>0886093797</v>
      </c>
      <c r="V249" s="16" t="str" cm="1">
        <f t="array" ref="V249" ca="1">_xlfn.LET(_xlpm.r,RANDBETWEEN(1,100),_xlfn.IFS(_xlpm.r&lt;=70,"Full-Time",_xlpm.r&lt;=85,"Part-Time",_xlpm.r&lt;=95,"Contract",TRUE,"Intern"))</f>
        <v>Full-Time</v>
      </c>
      <c r="W249" s="16" cm="1">
        <f t="array" ref="W249" ca="1">IF(K249&lt;&gt;"Active",0,_xlfn.IFS(M249=5,L249*15%,M249=4,L249*10%,M249=3,L249*5%,M249=2,L249*2%,TRUE,0))</f>
        <v>0</v>
      </c>
      <c r="X249" s="24">
        <f t="shared" ca="1" si="52"/>
        <v>3</v>
      </c>
      <c r="Y249" s="24">
        <f t="shared" ca="1" si="53"/>
        <v>1</v>
      </c>
    </row>
    <row r="250" spans="1:25">
      <c r="A250" s="16" t="str">
        <f t="shared" si="54"/>
        <v>EMP249</v>
      </c>
      <c r="B250" s="16" t="str" cm="1">
        <f t="array" ref="B250" ca="1">IF(D250="Male",INDEX(Lookup!$L$2:$L$13,RANDBETWEEN(1,12)),IF(D250="Female",INDEX(Lookup!$M$2:$M$13,RANDBETWEEN(1,12)),INDEX(Lookup!$N$2:$N$13,RANDBETWEEN(1,12))))</f>
        <v>Casey</v>
      </c>
      <c r="C250" s="16" t="str" cm="1">
        <f t="array" ref="C250" ca="1">INDEX(Lookup!$K$2:$K$31,RANDBETWEEN(1,30))</f>
        <v>Thomas</v>
      </c>
      <c r="D250" s="16" t="str" cm="1">
        <f t="array" ref="D250" ca="1">INDEX(Lookup!$H$2:$H$4,RANDBETWEEN(1,3))</f>
        <v>Other</v>
      </c>
      <c r="E250" s="16">
        <f t="shared" ca="1" si="42"/>
        <v>24</v>
      </c>
      <c r="F250" s="16" t="str" cm="1">
        <f t="array" ref="F250" ca="1">INDEX(Lookup!$A$2:$A$10,RANDBETWEEN(1,9))</f>
        <v>Operations</v>
      </c>
      <c r="G250" s="16" t="str" cm="1">
        <f t="array" ref="G250" ca="1">_xlfn.LET(_xlpm.Roles,_xlfn._xlws.FILTER(Lookup!$P$2:$P$28,Lookup!$O$2:$O$28=F250),INDEX(_xlpm.Roles,RANDBETWEEN(1,ROWS(_xlpm.Roles))))</f>
        <v>Operations Coordinator</v>
      </c>
      <c r="H250" s="16" t="str" cm="1">
        <f t="array" ref="H250" ca="1">INDEX(Lookup!$B$2:$B$7,RANDBETWEEN(1,6))</f>
        <v>Waterford</v>
      </c>
      <c r="I250" s="22">
        <f t="shared" ca="1" si="43"/>
        <v>43538</v>
      </c>
      <c r="J250" s="22" t="str">
        <f t="shared" ca="1" si="44"/>
        <v/>
      </c>
      <c r="K250" s="16" t="str">
        <f t="shared" ca="1" si="45"/>
        <v>Active</v>
      </c>
      <c r="L250" s="26">
        <f ca="1">_xlfn.XLOOKUP(G250,Lookup!$P$2:$P$28,Lookup!$Q$2:$Q$28)*(1+MIN(X250*3%,30%))</f>
        <v>54450</v>
      </c>
      <c r="M250" s="24">
        <f t="shared" ca="1" si="55"/>
        <v>5</v>
      </c>
      <c r="N250" s="24">
        <f t="shared" ca="1" si="46"/>
        <v>35</v>
      </c>
      <c r="O250" s="24">
        <f t="shared" ca="1" si="47"/>
        <v>1</v>
      </c>
      <c r="P250" s="24">
        <f t="shared" ca="1" si="48"/>
        <v>13</v>
      </c>
      <c r="Q250" s="16" t="str">
        <f t="shared" ca="1" si="49"/>
        <v>Promoted</v>
      </c>
      <c r="R250" s="16" t="str" cm="1">
        <f t="array" ref="R250" ca="1">INDEX(Lookup!$E$2:$E$6,RANDBETWEEN(1,5))</f>
        <v>Master's</v>
      </c>
      <c r="S250" s="16" t="str" cm="1">
        <f t="array" ref="S250" ca="1">INDEX(Lookup!$J$2:$J$11,RANDBETWEEN(1,10))</f>
        <v>Sophia Martin</v>
      </c>
      <c r="T250" s="16" t="str">
        <f t="shared" ca="1" si="50"/>
        <v>casey.thomas@hranalytics.com</v>
      </c>
      <c r="U250" s="16" t="str">
        <f t="shared" ca="1" si="51"/>
        <v>0896908100</v>
      </c>
      <c r="V250" s="16" t="str" cm="1">
        <f t="array" ref="V250" ca="1">_xlfn.LET(_xlpm.r,RANDBETWEEN(1,100),_xlfn.IFS(_xlpm.r&lt;=70,"Full-Time",_xlpm.r&lt;=85,"Part-Time",_xlpm.r&lt;=95,"Contract",TRUE,"Intern"))</f>
        <v>Full-Time</v>
      </c>
      <c r="W250" s="16" cm="1">
        <f t="array" ref="W250" ca="1">IF(K250&lt;&gt;"Active",0,_xlfn.IFS(M250=5,L250*15%,M250=4,L250*10%,M250=3,L250*5%,M250=2,L250*2%,TRUE,0))</f>
        <v>0</v>
      </c>
      <c r="X250" s="24">
        <f t="shared" ca="1" si="52"/>
        <v>7</v>
      </c>
      <c r="Y250" s="24">
        <f t="shared" ca="1" si="53"/>
        <v>3</v>
      </c>
    </row>
    <row r="251" spans="1:25">
      <c r="A251" s="16" t="str">
        <f t="shared" si="54"/>
        <v>EMP250</v>
      </c>
      <c r="B251" s="16" t="str" cm="1">
        <f t="array" ref="B251" ca="1">IF(D251="Male",INDEX(Lookup!$L$2:$L$13,RANDBETWEEN(1,12)),IF(D251="Female",INDEX(Lookup!$M$2:$M$13,RANDBETWEEN(1,12)),INDEX(Lookup!$N$2:$N$13,RANDBETWEEN(1,12))))</f>
        <v>Daniel</v>
      </c>
      <c r="C251" s="16" t="str" cm="1">
        <f t="array" ref="C251" ca="1">INDEX(Lookup!$K$2:$K$31,RANDBETWEEN(1,30))</f>
        <v>Young</v>
      </c>
      <c r="D251" s="16" t="str" cm="1">
        <f t="array" ref="D251" ca="1">INDEX(Lookup!$H$2:$H$4,RANDBETWEEN(1,3))</f>
        <v>Male</v>
      </c>
      <c r="E251" s="16">
        <f t="shared" ca="1" si="42"/>
        <v>37</v>
      </c>
      <c r="F251" s="16" t="str" cm="1">
        <f t="array" ref="F251" ca="1">INDEX(Lookup!$A$2:$A$10,RANDBETWEEN(1,9))</f>
        <v>Customer Support</v>
      </c>
      <c r="G251" s="16" t="str" cm="1">
        <f t="array" ref="G251" ca="1">_xlfn.LET(_xlpm.Roles,_xlfn._xlws.FILTER(Lookup!$P$2:$P$28,Lookup!$O$2:$O$28=F251),INDEX(_xlpm.Roles,RANDBETWEEN(1,ROWS(_xlpm.Roles))))</f>
        <v>Technical Support Specialist</v>
      </c>
      <c r="H251" s="16" t="str" cm="1">
        <f t="array" ref="H251" ca="1">INDEX(Lookup!$B$2:$B$7,RANDBETWEEN(1,6))</f>
        <v>Dublin</v>
      </c>
      <c r="I251" s="22">
        <f t="shared" ca="1" si="43"/>
        <v>44110</v>
      </c>
      <c r="J251" s="22" t="str">
        <f t="shared" ca="1" si="44"/>
        <v/>
      </c>
      <c r="K251" s="16" t="str">
        <f t="shared" ca="1" si="45"/>
        <v>Active</v>
      </c>
      <c r="L251" s="26">
        <f ca="1">_xlfn.XLOOKUP(G251,Lookup!$P$2:$P$28,Lookup!$Q$2:$Q$28)*(1+MIN(X251*3%,30%))</f>
        <v>50400</v>
      </c>
      <c r="M251" s="24">
        <f t="shared" ca="1" si="55"/>
        <v>3</v>
      </c>
      <c r="N251" s="24">
        <f t="shared" ca="1" si="46"/>
        <v>3</v>
      </c>
      <c r="O251" s="24">
        <f t="shared" ca="1" si="47"/>
        <v>16</v>
      </c>
      <c r="P251" s="24">
        <f t="shared" ca="1" si="48"/>
        <v>0</v>
      </c>
      <c r="Q251" s="16" t="str">
        <f t="shared" ca="1" si="49"/>
        <v>Promoted</v>
      </c>
      <c r="R251" s="16" t="str" cm="1">
        <f t="array" ref="R251" ca="1">INDEX(Lookup!$E$2:$E$6,RANDBETWEEN(1,5))</f>
        <v>Bachelor's</v>
      </c>
      <c r="S251" s="16" t="str" cm="1">
        <f t="array" ref="S251" ca="1">INDEX(Lookup!$J$2:$J$11,RANDBETWEEN(1,10))</f>
        <v>Grace O'Connor</v>
      </c>
      <c r="T251" s="16" t="str">
        <f t="shared" ca="1" si="50"/>
        <v>daniel.young@hranalytics.com</v>
      </c>
      <c r="U251" s="16" t="str">
        <f t="shared" ca="1" si="51"/>
        <v>0854636648</v>
      </c>
      <c r="V251" s="16" t="str" cm="1">
        <f t="array" ref="V251" ca="1">_xlfn.LET(_xlpm.r,RANDBETWEEN(1,100),_xlfn.IFS(_xlpm.r&lt;=70,"Full-Time",_xlpm.r&lt;=85,"Part-Time",_xlpm.r&lt;=95,"Contract",TRUE,"Intern"))</f>
        <v>Contract</v>
      </c>
      <c r="W251" s="16" cm="1">
        <f t="array" ref="W251" ca="1">IF(K251&lt;&gt;"Active",0,_xlfn.IFS(M251=5,L251*15%,M251=4,L251*10%,M251=3,L251*5%,M251=2,L251*2%,TRUE,0))</f>
        <v>5040</v>
      </c>
      <c r="X251" s="24">
        <f t="shared" ca="1" si="52"/>
        <v>5</v>
      </c>
      <c r="Y251" s="24">
        <f t="shared" ca="1" si="53"/>
        <v>3</v>
      </c>
    </row>
    <row r="252" spans="1:25">
      <c r="A252" s="16" t="str">
        <f t="shared" si="54"/>
        <v>EMP251</v>
      </c>
      <c r="B252" s="16" t="str" cm="1">
        <f t="array" ref="B252" ca="1">IF(D252="Male",INDEX(Lookup!$L$2:$L$13,RANDBETWEEN(1,12)),IF(D252="Female",INDEX(Lookup!$M$2:$M$13,RANDBETWEEN(1,12)),INDEX(Lookup!$N$2:$N$13,RANDBETWEEN(1,12))))</f>
        <v>Olivia</v>
      </c>
      <c r="C252" s="16" t="str" cm="1">
        <f t="array" ref="C252" ca="1">INDEX(Lookup!$K$2:$K$31,RANDBETWEEN(1,30))</f>
        <v>Young</v>
      </c>
      <c r="D252" s="16" t="str" cm="1">
        <f t="array" ref="D252" ca="1">INDEX(Lookup!$H$2:$H$4,RANDBETWEEN(1,3))</f>
        <v>Female</v>
      </c>
      <c r="E252" s="16">
        <f t="shared" ca="1" si="42"/>
        <v>53</v>
      </c>
      <c r="F252" s="16" t="str" cm="1">
        <f t="array" ref="F252" ca="1">INDEX(Lookup!$A$2:$A$10,RANDBETWEEN(1,9))</f>
        <v>Operations</v>
      </c>
      <c r="G252" s="16" t="str" cm="1">
        <f t="array" ref="G252" ca="1">_xlfn.LET(_xlpm.Roles,_xlfn._xlws.FILTER(Lookup!$P$2:$P$28,Lookup!$O$2:$O$28=F252),INDEX(_xlpm.Roles,RANDBETWEEN(1,ROWS(_xlpm.Roles))))</f>
        <v>Operations Executive</v>
      </c>
      <c r="H252" s="16" t="str" cm="1">
        <f t="array" ref="H252" ca="1">INDEX(Lookup!$B$2:$B$7,RANDBETWEEN(1,6))</f>
        <v>Dublin</v>
      </c>
      <c r="I252" s="22">
        <f t="shared" ca="1" si="43"/>
        <v>44588</v>
      </c>
      <c r="J252" s="22" t="str">
        <f t="shared" ca="1" si="44"/>
        <v/>
      </c>
      <c r="K252" s="16" t="str">
        <f t="shared" ca="1" si="45"/>
        <v>Active</v>
      </c>
      <c r="L252" s="26">
        <f ca="1">_xlfn.XLOOKUP(G252,Lookup!$P$2:$P$28,Lookup!$Q$2:$Q$28)*(1+MIN(X252*3%,30%))</f>
        <v>43260</v>
      </c>
      <c r="M252" s="24">
        <f t="shared" ca="1" si="55"/>
        <v>4</v>
      </c>
      <c r="N252" s="24">
        <f t="shared" ca="1" si="46"/>
        <v>6</v>
      </c>
      <c r="O252" s="24">
        <f t="shared" ca="1" si="47"/>
        <v>16</v>
      </c>
      <c r="P252" s="24">
        <f t="shared" ca="1" si="48"/>
        <v>26</v>
      </c>
      <c r="Q252" s="16" t="str">
        <f t="shared" ca="1" si="49"/>
        <v>Not Promoted</v>
      </c>
      <c r="R252" s="16" t="str" cm="1">
        <f t="array" ref="R252" ca="1">INDEX(Lookup!$E$2:$E$6,RANDBETWEEN(1,5))</f>
        <v>Bachelor's</v>
      </c>
      <c r="S252" s="16" t="str" cm="1">
        <f t="array" ref="S252" ca="1">INDEX(Lookup!$J$2:$J$11,RANDBETWEEN(1,10))</f>
        <v>Grace O'Connor</v>
      </c>
      <c r="T252" s="16" t="str">
        <f t="shared" ca="1" si="50"/>
        <v>olivia.young@hranalytics.com</v>
      </c>
      <c r="U252" s="16" t="str">
        <f t="shared" ca="1" si="51"/>
        <v>0854101685</v>
      </c>
      <c r="V252" s="16" t="str" cm="1">
        <f t="array" ref="V252" ca="1">_xlfn.LET(_xlpm.r,RANDBETWEEN(1,100),_xlfn.IFS(_xlpm.r&lt;=70,"Full-Time",_xlpm.r&lt;=85,"Part-Time",_xlpm.r&lt;=95,"Contract",TRUE,"Intern"))</f>
        <v>Full-Time</v>
      </c>
      <c r="W252" s="16" cm="1">
        <f t="array" ref="W252" ca="1">IF(K252&lt;&gt;"Active",0,_xlfn.IFS(M252=5,L252*15%,M252=4,L252*10%,M252=3,L252*5%,M252=2,L252*2%,TRUE,0))</f>
        <v>0</v>
      </c>
      <c r="X252" s="24">
        <f t="shared" ca="1" si="52"/>
        <v>4</v>
      </c>
      <c r="Y252" s="24">
        <f t="shared" ca="1" si="53"/>
        <v>3</v>
      </c>
    </row>
    <row r="253" spans="1:25">
      <c r="A253" s="16" t="str">
        <f t="shared" si="54"/>
        <v>EMP252</v>
      </c>
      <c r="B253" s="16" t="str" cm="1">
        <f t="array" ref="B253" ca="1">IF(D253="Male",INDEX(Lookup!$L$2:$L$13,RANDBETWEEN(1,12)),IF(D253="Female",INDEX(Lookup!$M$2:$M$13,RANDBETWEEN(1,12)),INDEX(Lookup!$N$2:$N$13,RANDBETWEEN(1,12))))</f>
        <v>Hannah</v>
      </c>
      <c r="C253" s="16" t="str" cm="1">
        <f t="array" ref="C253" ca="1">INDEX(Lookup!$K$2:$K$31,RANDBETWEEN(1,30))</f>
        <v>Hill</v>
      </c>
      <c r="D253" s="16" t="str" cm="1">
        <f t="array" ref="D253" ca="1">INDEX(Lookup!$H$2:$H$4,RANDBETWEEN(1,3))</f>
        <v>Female</v>
      </c>
      <c r="E253" s="16">
        <f t="shared" ca="1" si="42"/>
        <v>60</v>
      </c>
      <c r="F253" s="16" t="str" cm="1">
        <f t="array" ref="F253" ca="1">INDEX(Lookup!$A$2:$A$10,RANDBETWEEN(1,9))</f>
        <v>Procurement</v>
      </c>
      <c r="G253" s="16" t="str" cm="1">
        <f t="array" ref="G253" ca="1">_xlfn.LET(_xlpm.Roles,_xlfn._xlws.FILTER(Lookup!$P$2:$P$28,Lookup!$O$2:$O$28=F253),INDEX(_xlpm.Roles,RANDBETWEEN(1,ROWS(_xlpm.Roles))))</f>
        <v>Purchasing Executive</v>
      </c>
      <c r="H253" s="16" t="str" cm="1">
        <f t="array" ref="H253" ca="1">INDEX(Lookup!$B$2:$B$7,RANDBETWEEN(1,6))</f>
        <v>Galway</v>
      </c>
      <c r="I253" s="22">
        <f t="shared" ca="1" si="43"/>
        <v>43740</v>
      </c>
      <c r="J253" s="22" t="str">
        <f t="shared" ca="1" si="44"/>
        <v/>
      </c>
      <c r="K253" s="16" t="str">
        <f t="shared" ca="1" si="45"/>
        <v>Active</v>
      </c>
      <c r="L253" s="26">
        <f ca="1">_xlfn.XLOOKUP(G253,Lookup!$P$2:$P$28,Lookup!$Q$2:$Q$28)*(1+MIN(X253*3%,30%))</f>
        <v>52080</v>
      </c>
      <c r="M253" s="24">
        <f t="shared" ca="1" si="55"/>
        <v>5</v>
      </c>
      <c r="N253" s="24">
        <f t="shared" ca="1" si="46"/>
        <v>16</v>
      </c>
      <c r="O253" s="24">
        <f t="shared" ca="1" si="47"/>
        <v>15</v>
      </c>
      <c r="P253" s="24">
        <f t="shared" ca="1" si="48"/>
        <v>1</v>
      </c>
      <c r="Q253" s="16" t="str">
        <f t="shared" ca="1" si="49"/>
        <v>Promoted</v>
      </c>
      <c r="R253" s="16" t="str" cm="1">
        <f t="array" ref="R253" ca="1">INDEX(Lookup!$E$2:$E$6,RANDBETWEEN(1,5))</f>
        <v>Dipolma</v>
      </c>
      <c r="S253" s="16" t="str" cm="1">
        <f t="array" ref="S253" ca="1">INDEX(Lookup!$J$2:$J$11,RANDBETWEEN(1,10))</f>
        <v>Michael Brown</v>
      </c>
      <c r="T253" s="16" t="str">
        <f t="shared" ca="1" si="50"/>
        <v>hannah.hill@hranalytics.com</v>
      </c>
      <c r="U253" s="16" t="str">
        <f t="shared" ca="1" si="51"/>
        <v>0836583879</v>
      </c>
      <c r="V253" s="16" t="str" cm="1">
        <f t="array" ref="V253" ca="1">_xlfn.LET(_xlpm.r,RANDBETWEEN(1,100),_xlfn.IFS(_xlpm.r&lt;=70,"Full-Time",_xlpm.r&lt;=85,"Part-Time",_xlpm.r&lt;=95,"Contract",TRUE,"Intern"))</f>
        <v>Full-Time</v>
      </c>
      <c r="W253" s="16" cm="1">
        <f t="array" ref="W253" ca="1">IF(K253&lt;&gt;"Active",0,_xlfn.IFS(M253=5,L253*15%,M253=4,L253*10%,M253=3,L253*5%,M253=2,L253*2%,TRUE,0))</f>
        <v>7812</v>
      </c>
      <c r="X253" s="24">
        <f t="shared" ca="1" si="52"/>
        <v>6</v>
      </c>
      <c r="Y253" s="24">
        <f t="shared" ca="1" si="53"/>
        <v>3</v>
      </c>
    </row>
    <row r="254" spans="1:25">
      <c r="A254" s="16" t="str">
        <f t="shared" si="54"/>
        <v>EMP253</v>
      </c>
      <c r="B254" s="16" t="str" cm="1">
        <f t="array" ref="B254" ca="1">IF(D254="Male",INDEX(Lookup!$L$2:$L$13,RANDBETWEEN(1,12)),IF(D254="Female",INDEX(Lookup!$M$2:$M$13,RANDBETWEEN(1,12)),INDEX(Lookup!$N$2:$N$13,RANDBETWEEN(1,12))))</f>
        <v>Sophia</v>
      </c>
      <c r="C254" s="16" t="str" cm="1">
        <f t="array" ref="C254" ca="1">INDEX(Lookup!$K$2:$K$31,RANDBETWEEN(1,30))</f>
        <v>Campbell</v>
      </c>
      <c r="D254" s="16" t="str" cm="1">
        <f t="array" ref="D254" ca="1">INDEX(Lookup!$H$2:$H$4,RANDBETWEEN(1,3))</f>
        <v>Female</v>
      </c>
      <c r="E254" s="16">
        <f t="shared" ca="1" si="42"/>
        <v>30</v>
      </c>
      <c r="F254" s="16" t="str" cm="1">
        <f t="array" ref="F254" ca="1">INDEX(Lookup!$A$2:$A$10,RANDBETWEEN(1,9))</f>
        <v>IT</v>
      </c>
      <c r="G254" s="16" t="str" cm="1">
        <f t="array" ref="G254" ca="1">_xlfn.LET(_xlpm.Roles,_xlfn._xlws.FILTER(Lookup!$P$2:$P$28,Lookup!$O$2:$O$28=F254),INDEX(_xlpm.Roles,RANDBETWEEN(1,ROWS(_xlpm.Roles))))</f>
        <v>Business Analyst</v>
      </c>
      <c r="H254" s="16" t="str" cm="1">
        <f t="array" ref="H254" ca="1">INDEX(Lookup!$B$2:$B$7,RANDBETWEEN(1,6))</f>
        <v>Cork</v>
      </c>
      <c r="I254" s="22">
        <f t="shared" ca="1" si="43"/>
        <v>45539</v>
      </c>
      <c r="J254" s="22">
        <f t="shared" ca="1" si="44"/>
        <v>45774</v>
      </c>
      <c r="K254" s="16" t="str">
        <f t="shared" ca="1" si="45"/>
        <v>Resigned</v>
      </c>
      <c r="L254" s="26">
        <f ca="1">_xlfn.XLOOKUP(G254,Lookup!$P$2:$P$28,Lookup!$Q$2:$Q$28)*(1+MIN(X254*3%,30%))</f>
        <v>60000</v>
      </c>
      <c r="M254" s="24">
        <f t="shared" ca="1" si="55"/>
        <v>5</v>
      </c>
      <c r="N254" s="24">
        <f t="shared" ca="1" si="46"/>
        <v>66</v>
      </c>
      <c r="O254" s="24">
        <f t="shared" ca="1" si="47"/>
        <v>20</v>
      </c>
      <c r="P254" s="24">
        <f t="shared" ca="1" si="48"/>
        <v>13</v>
      </c>
      <c r="Q254" s="16" t="str">
        <f t="shared" ca="1" si="49"/>
        <v>Not Promoted</v>
      </c>
      <c r="R254" s="16" t="str" cm="1">
        <f t="array" ref="R254" ca="1">INDEX(Lookup!$E$2:$E$6,RANDBETWEEN(1,5))</f>
        <v>PhD</v>
      </c>
      <c r="S254" s="16" t="str" cm="1">
        <f t="array" ref="S254" ca="1">INDEX(Lookup!$J$2:$J$11,RANDBETWEEN(1,10))</f>
        <v>James Taylor</v>
      </c>
      <c r="T254" s="16" t="str">
        <f t="shared" ca="1" si="50"/>
        <v>sophia.campbell@hranalytics.com</v>
      </c>
      <c r="U254" s="16" t="str">
        <f t="shared" ca="1" si="51"/>
        <v>0879675081</v>
      </c>
      <c r="V254" s="16" t="str" cm="1">
        <f t="array" ref="V254" ca="1">_xlfn.LET(_xlpm.r,RANDBETWEEN(1,100),_xlfn.IFS(_xlpm.r&lt;=70,"Full-Time",_xlpm.r&lt;=85,"Part-Time",_xlpm.r&lt;=95,"Contract",TRUE,"Intern"))</f>
        <v>Full-Time</v>
      </c>
      <c r="W254" s="16" cm="1">
        <f t="array" ref="W254" ca="1">IF(K254&lt;&gt;"Active",0,_xlfn.IFS(M254=5,L254*15%,M254=4,L254*10%,M254=3,L254*5%,M254=2,L254*2%,TRUE,0))</f>
        <v>0</v>
      </c>
      <c r="X254" s="24">
        <f t="shared" ca="1" si="52"/>
        <v>1</v>
      </c>
      <c r="Y254" s="24">
        <f t="shared" ca="1" si="53"/>
        <v>3</v>
      </c>
    </row>
    <row r="255" spans="1:25">
      <c r="A255" s="16" t="str">
        <f t="shared" si="54"/>
        <v>EMP254</v>
      </c>
      <c r="B255" s="16" t="str" cm="1">
        <f t="array" ref="B255" ca="1">IF(D255="Male",INDEX(Lookup!$L$2:$L$13,RANDBETWEEN(1,12)),IF(D255="Female",INDEX(Lookup!$M$2:$M$13,RANDBETWEEN(1,12)),INDEX(Lookup!$N$2:$N$13,RANDBETWEEN(1,12))))</f>
        <v>Lucas</v>
      </c>
      <c r="C255" s="16" t="str" cm="1">
        <f t="array" ref="C255" ca="1">INDEX(Lookup!$K$2:$K$31,RANDBETWEEN(1,30))</f>
        <v>Scott</v>
      </c>
      <c r="D255" s="16" t="str" cm="1">
        <f t="array" ref="D255" ca="1">INDEX(Lookup!$H$2:$H$4,RANDBETWEEN(1,3))</f>
        <v>Male</v>
      </c>
      <c r="E255" s="16">
        <f t="shared" ca="1" si="42"/>
        <v>51</v>
      </c>
      <c r="F255" s="16" t="str" cm="1">
        <f t="array" ref="F255" ca="1">INDEX(Lookup!$A$2:$A$10,RANDBETWEEN(1,9))</f>
        <v>Sales</v>
      </c>
      <c r="G255" s="16" t="str" cm="1">
        <f t="array" ref="G255" ca="1">_xlfn.LET(_xlpm.Roles,_xlfn._xlws.FILTER(Lookup!$P$2:$P$28,Lookup!$O$2:$O$28=F255),INDEX(_xlpm.Roles,RANDBETWEEN(1,ROWS(_xlpm.Roles))))</f>
        <v>Sales Executive</v>
      </c>
      <c r="H255" s="16" t="str" cm="1">
        <f t="array" ref="H255" ca="1">INDEX(Lookup!$B$2:$B$7,RANDBETWEEN(1,6))</f>
        <v>Belfast</v>
      </c>
      <c r="I255" s="22">
        <f t="shared" ca="1" si="43"/>
        <v>43640</v>
      </c>
      <c r="J255" s="22" t="str">
        <f t="shared" ca="1" si="44"/>
        <v/>
      </c>
      <c r="K255" s="16" t="str">
        <f t="shared" ca="1" si="45"/>
        <v>Active</v>
      </c>
      <c r="L255" s="26">
        <f ca="1">_xlfn.XLOOKUP(G255,Lookup!$P$2:$P$28,Lookup!$Q$2:$Q$28)*(1+MIN(X255*3%,30%))</f>
        <v>41200</v>
      </c>
      <c r="M255" s="24">
        <f t="shared" ca="1" si="55"/>
        <v>2</v>
      </c>
      <c r="N255" s="24">
        <f t="shared" ca="1" si="46"/>
        <v>71</v>
      </c>
      <c r="O255" s="24">
        <f t="shared" ca="1" si="47"/>
        <v>9</v>
      </c>
      <c r="P255" s="24">
        <f t="shared" ca="1" si="48"/>
        <v>9</v>
      </c>
      <c r="Q255" s="16" t="str">
        <f t="shared" ca="1" si="49"/>
        <v>Not Promoted</v>
      </c>
      <c r="R255" s="16" t="str" cm="1">
        <f t="array" ref="R255" ca="1">INDEX(Lookup!$E$2:$E$6,RANDBETWEEN(1,5))</f>
        <v>Dipolma</v>
      </c>
      <c r="S255" s="16" t="str" cm="1">
        <f t="array" ref="S255" ca="1">INDEX(Lookup!$J$2:$J$11,RANDBETWEEN(1,10))</f>
        <v>Liam Byrne</v>
      </c>
      <c r="T255" s="16" t="str">
        <f t="shared" ca="1" si="50"/>
        <v>lucas.scott@hranalytics.com</v>
      </c>
      <c r="U255" s="16" t="str">
        <f t="shared" ca="1" si="51"/>
        <v>0839578773</v>
      </c>
      <c r="V255" s="16" t="str" cm="1">
        <f t="array" ref="V255" ca="1">_xlfn.LET(_xlpm.r,RANDBETWEEN(1,100),_xlfn.IFS(_xlpm.r&lt;=70,"Full-Time",_xlpm.r&lt;=85,"Part-Time",_xlpm.r&lt;=95,"Contract",TRUE,"Intern"))</f>
        <v>Full-Time</v>
      </c>
      <c r="W255" s="16" cm="1">
        <f t="array" ref="W255" ca="1">IF(K255&lt;&gt;"Active",0,_xlfn.IFS(M255=5,L255*15%,M255=4,L255*10%,M255=3,L255*5%,M255=2,L255*2%,TRUE,0))</f>
        <v>824</v>
      </c>
      <c r="X255" s="24">
        <f t="shared" ca="1" si="52"/>
        <v>7</v>
      </c>
      <c r="Y255" s="24">
        <f t="shared" ca="1" si="53"/>
        <v>2</v>
      </c>
    </row>
    <row r="256" spans="1:25">
      <c r="A256" s="16" t="str">
        <f t="shared" si="54"/>
        <v>EMP255</v>
      </c>
      <c r="B256" s="16" t="str" cm="1">
        <f t="array" ref="B256" ca="1">IF(D256="Male",INDEX(Lookup!$L$2:$L$13,RANDBETWEEN(1,12)),IF(D256="Female",INDEX(Lookup!$M$2:$M$13,RANDBETWEEN(1,12)),INDEX(Lookup!$N$2:$N$13,RANDBETWEEN(1,12))))</f>
        <v>Ella</v>
      </c>
      <c r="C256" s="16" t="str" cm="1">
        <f t="array" ref="C256" ca="1">INDEX(Lookup!$K$2:$K$31,RANDBETWEEN(1,30))</f>
        <v>Martin</v>
      </c>
      <c r="D256" s="16" t="str" cm="1">
        <f t="array" ref="D256" ca="1">INDEX(Lookup!$H$2:$H$4,RANDBETWEEN(1,3))</f>
        <v>Female</v>
      </c>
      <c r="E256" s="16">
        <f t="shared" ca="1" si="42"/>
        <v>35</v>
      </c>
      <c r="F256" s="16" t="str" cm="1">
        <f t="array" ref="F256" ca="1">INDEX(Lookup!$A$2:$A$10,RANDBETWEEN(1,9))</f>
        <v>Legal</v>
      </c>
      <c r="G256" s="16" t="str" cm="1">
        <f t="array" ref="G256" ca="1">_xlfn.LET(_xlpm.Roles,_xlfn._xlws.FILTER(Lookup!$P$2:$P$28,Lookup!$O$2:$O$28=F256),INDEX(_xlpm.Roles,RANDBETWEEN(1,ROWS(_xlpm.Roles))))</f>
        <v>Legal Assistant</v>
      </c>
      <c r="H256" s="16" t="str" cm="1">
        <f t="array" ref="H256" ca="1">INDEX(Lookup!$B$2:$B$7,RANDBETWEEN(1,6))</f>
        <v>Dublin</v>
      </c>
      <c r="I256" s="22">
        <f t="shared" ca="1" si="43"/>
        <v>43511</v>
      </c>
      <c r="J256" s="22" t="str">
        <f t="shared" ca="1" si="44"/>
        <v/>
      </c>
      <c r="K256" s="16" t="str">
        <f t="shared" ca="1" si="45"/>
        <v>Active</v>
      </c>
      <c r="L256" s="26">
        <f ca="1">_xlfn.XLOOKUP(G256,Lookup!$P$2:$P$28,Lookup!$Q$2:$Q$28)*(1+MIN(X256*3%,30%))</f>
        <v>52080</v>
      </c>
      <c r="M256" s="24">
        <f t="shared" ca="1" si="55"/>
        <v>3</v>
      </c>
      <c r="N256" s="24">
        <f t="shared" ca="1" si="46"/>
        <v>7</v>
      </c>
      <c r="O256" s="24">
        <f t="shared" ca="1" si="47"/>
        <v>5</v>
      </c>
      <c r="P256" s="24">
        <f t="shared" ca="1" si="48"/>
        <v>27</v>
      </c>
      <c r="Q256" s="16" t="str">
        <f t="shared" ca="1" si="49"/>
        <v>Promoted</v>
      </c>
      <c r="R256" s="16" t="str" cm="1">
        <f t="array" ref="R256" ca="1">INDEX(Lookup!$E$2:$E$6,RANDBETWEEN(1,5))</f>
        <v>Master's</v>
      </c>
      <c r="S256" s="16" t="str" cm="1">
        <f t="array" ref="S256" ca="1">INDEX(Lookup!$J$2:$J$11,RANDBETWEEN(1,10))</f>
        <v>Sophia Martin</v>
      </c>
      <c r="T256" s="16" t="str">
        <f t="shared" ca="1" si="50"/>
        <v>ella.martin@hranalytics.com</v>
      </c>
      <c r="U256" s="16" t="str">
        <f t="shared" ca="1" si="51"/>
        <v>0893583523</v>
      </c>
      <c r="V256" s="16" t="str" cm="1">
        <f t="array" ref="V256" ca="1">_xlfn.LET(_xlpm.r,RANDBETWEEN(1,100),_xlfn.IFS(_xlpm.r&lt;=70,"Full-Time",_xlpm.r&lt;=85,"Part-Time",_xlpm.r&lt;=95,"Contract",TRUE,"Intern"))</f>
        <v>Full-Time</v>
      </c>
      <c r="W256" s="16" cm="1">
        <f t="array" ref="W256" ca="1">IF(K256&lt;&gt;"Active",0,_xlfn.IFS(M256=5,L256*15%,M256=4,L256*10%,M256=3,L256*5%,M256=2,L256*2%,TRUE,0))</f>
        <v>1041.5999999999999</v>
      </c>
      <c r="X256" s="24">
        <f t="shared" ca="1" si="52"/>
        <v>7</v>
      </c>
      <c r="Y256" s="24">
        <f t="shared" ca="1" si="53"/>
        <v>1</v>
      </c>
    </row>
    <row r="257" spans="1:25">
      <c r="A257" s="16" t="str">
        <f t="shared" si="54"/>
        <v>EMP256</v>
      </c>
      <c r="B257" s="16" t="str" cm="1">
        <f t="array" ref="B257" ca="1">IF(D257="Male",INDEX(Lookup!$L$2:$L$13,RANDBETWEEN(1,12)),IF(D257="Female",INDEX(Lookup!$M$2:$M$13,RANDBETWEEN(1,12)),INDEX(Lookup!$N$2:$N$13,RANDBETWEEN(1,12))))</f>
        <v>Avery</v>
      </c>
      <c r="C257" s="16" t="str" cm="1">
        <f t="array" ref="C257" ca="1">INDEX(Lookup!$K$2:$K$31,RANDBETWEEN(1,30))</f>
        <v>White</v>
      </c>
      <c r="D257" s="16" t="str" cm="1">
        <f t="array" ref="D257" ca="1">INDEX(Lookup!$H$2:$H$4,RANDBETWEEN(1,3))</f>
        <v>Other</v>
      </c>
      <c r="E257" s="16">
        <f t="shared" ca="1" si="42"/>
        <v>37</v>
      </c>
      <c r="F257" s="16" t="str" cm="1">
        <f t="array" ref="F257" ca="1">INDEX(Lookup!$A$2:$A$10,RANDBETWEEN(1,9))</f>
        <v>Operations</v>
      </c>
      <c r="G257" s="16" t="str" cm="1">
        <f t="array" ref="G257" ca="1">_xlfn.LET(_xlpm.Roles,_xlfn._xlws.FILTER(Lookup!$P$2:$P$28,Lookup!$O$2:$O$28=F257),INDEX(_xlpm.Roles,RANDBETWEEN(1,ROWS(_xlpm.Roles))))</f>
        <v>Operations Executive</v>
      </c>
      <c r="H257" s="16" t="str" cm="1">
        <f t="array" ref="H257" ca="1">INDEX(Lookup!$B$2:$B$7,RANDBETWEEN(1,6))</f>
        <v>Belfast</v>
      </c>
      <c r="I257" s="22">
        <f t="shared" ca="1" si="43"/>
        <v>45439</v>
      </c>
      <c r="J257" s="22">
        <f t="shared" ca="1" si="44"/>
        <v>47309</v>
      </c>
      <c r="K257" s="16" t="str">
        <f t="shared" ca="1" si="45"/>
        <v>Resigned</v>
      </c>
      <c r="L257" s="26">
        <f ca="1">_xlfn.XLOOKUP(G257,Lookup!$P$2:$P$28,Lookup!$Q$2:$Q$28)*(1+MIN(X257*3%,30%))</f>
        <v>48300</v>
      </c>
      <c r="M257" s="24">
        <f t="shared" ca="1" si="55"/>
        <v>4</v>
      </c>
      <c r="N257" s="24">
        <f t="shared" ca="1" si="46"/>
        <v>46</v>
      </c>
      <c r="O257" s="24">
        <f t="shared" ca="1" si="47"/>
        <v>1</v>
      </c>
      <c r="P257" s="24">
        <f t="shared" ca="1" si="48"/>
        <v>2</v>
      </c>
      <c r="Q257" s="16" t="str">
        <f t="shared" ca="1" si="49"/>
        <v>Promoted</v>
      </c>
      <c r="R257" s="16" t="str" cm="1">
        <f t="array" ref="R257" ca="1">INDEX(Lookup!$E$2:$E$6,RANDBETWEEN(1,5))</f>
        <v>PhD</v>
      </c>
      <c r="S257" s="16" t="str" cm="1">
        <f t="array" ref="S257" ca="1">INDEX(Lookup!$J$2:$J$11,RANDBETWEEN(1,10))</f>
        <v>Sarah Johnson</v>
      </c>
      <c r="T257" s="16" t="str">
        <f t="shared" ca="1" si="50"/>
        <v>avery.white@hranalytics.com</v>
      </c>
      <c r="U257" s="16" t="str">
        <f t="shared" ca="1" si="51"/>
        <v>0885884452</v>
      </c>
      <c r="V257" s="16" t="str" cm="1">
        <f t="array" ref="V257" ca="1">_xlfn.LET(_xlpm.r,RANDBETWEEN(1,100),_xlfn.IFS(_xlpm.r&lt;=70,"Full-Time",_xlpm.r&lt;=85,"Part-Time",_xlpm.r&lt;=95,"Contract",TRUE,"Intern"))</f>
        <v>Full-Time</v>
      </c>
      <c r="W257" s="16" cm="1">
        <f t="array" ref="W257" ca="1">IF(K257&lt;&gt;"Active",0,_xlfn.IFS(M257=5,L257*15%,M257=4,L257*10%,M257=3,L257*5%,M257=2,L257*2%,TRUE,0))</f>
        <v>0</v>
      </c>
      <c r="X257" s="24">
        <f t="shared" ca="1" si="52"/>
        <v>2</v>
      </c>
      <c r="Y257" s="24">
        <f t="shared" ca="1" si="53"/>
        <v>1</v>
      </c>
    </row>
    <row r="258" spans="1:25">
      <c r="A258" s="16" t="str">
        <f t="shared" si="54"/>
        <v>EMP257</v>
      </c>
      <c r="B258" s="16" t="str" cm="1">
        <f t="array" ref="B258" ca="1">IF(D258="Male",INDEX(Lookup!$L$2:$L$13,RANDBETWEEN(1,12)),IF(D258="Female",INDEX(Lookup!$M$2:$M$13,RANDBETWEEN(1,12)),INDEX(Lookup!$N$2:$N$13,RANDBETWEEN(1,12))))</f>
        <v>Mia</v>
      </c>
      <c r="C258" s="16" t="str" cm="1">
        <f t="array" ref="C258" ca="1">INDEX(Lookup!$K$2:$K$31,RANDBETWEEN(1,30))</f>
        <v>Evans</v>
      </c>
      <c r="D258" s="16" t="str" cm="1">
        <f t="array" ref="D258" ca="1">INDEX(Lookup!$H$2:$H$4,RANDBETWEEN(1,3))</f>
        <v>Female</v>
      </c>
      <c r="E258" s="16">
        <f t="shared" ref="E258:E321" ca="1" si="56">RANDBETWEEN(21,60)</f>
        <v>48</v>
      </c>
      <c r="F258" s="16" t="str" cm="1">
        <f t="array" ref="F258" ca="1">INDEX(Lookup!$A$2:$A$10,RANDBETWEEN(1,9))</f>
        <v>IT</v>
      </c>
      <c r="G258" s="16" t="str" cm="1">
        <f t="array" ref="G258" ca="1">_xlfn.LET(_xlpm.Roles,_xlfn._xlws.FILTER(Lookup!$P$2:$P$28,Lookup!$O$2:$O$28=F258),INDEX(_xlpm.Roles,RANDBETWEEN(1,ROWS(_xlpm.Roles))))</f>
        <v>IT Support Specialist</v>
      </c>
      <c r="H258" s="16" t="str" cm="1">
        <f t="array" ref="H258" ca="1">INDEX(Lookup!$B$2:$B$7,RANDBETWEEN(1,6))</f>
        <v>Galway</v>
      </c>
      <c r="I258" s="22">
        <f t="shared" ref="I258:I321" ca="1" si="57">DATE(RANDBETWEEN(2018,2025),RANDBETWEEN(1,12),RANDBETWEEN(1,28))</f>
        <v>45538</v>
      </c>
      <c r="J258" s="22">
        <f t="shared" ref="J258:J321" ca="1" si="58">IF(K258="Resigned",I258+RANDBETWEEN(180,2000),"")</f>
        <v>47213</v>
      </c>
      <c r="K258" s="16" t="str">
        <f t="shared" ref="K258:K321" ca="1" si="59">IF(RANDBETWEEN(1,10)&lt;=8,"Active","Resigned")</f>
        <v>Resigned</v>
      </c>
      <c r="L258" s="26">
        <f ca="1">_xlfn.XLOOKUP(G258,Lookup!$P$2:$P$28,Lookup!$Q$2:$Q$28)*(1+MIN(X258*3%,30%))</f>
        <v>52320</v>
      </c>
      <c r="M258" s="24">
        <f t="shared" ca="1" si="55"/>
        <v>4</v>
      </c>
      <c r="N258" s="24">
        <f t="shared" ref="N258:N321" ca="1" si="60">RANDBETWEEN(0,80)</f>
        <v>22</v>
      </c>
      <c r="O258" s="24">
        <f t="shared" ref="O258:O321" ca="1" si="61">RANDBETWEEN(0,20)</f>
        <v>7</v>
      </c>
      <c r="P258" s="24">
        <f t="shared" ref="P258:P321" ca="1" si="62">RANDBETWEEN(0,60)</f>
        <v>40</v>
      </c>
      <c r="Q258" s="16" t="str">
        <f t="shared" ref="Q258:Q321" ca="1" si="63">IF(AND(L258&gt;=4,X258&gt;=2,K258="Active"),"Promoted","Not Promoted")</f>
        <v>Promoted</v>
      </c>
      <c r="R258" s="16" t="str" cm="1">
        <f t="array" ref="R258" ca="1">INDEX(Lookup!$E$2:$E$6,RANDBETWEEN(1,5))</f>
        <v>PhD</v>
      </c>
      <c r="S258" s="16" t="str" cm="1">
        <f t="array" ref="S258" ca="1">INDEX(Lookup!$J$2:$J$11,RANDBETWEEN(1,10))</f>
        <v>Sarah Johnson</v>
      </c>
      <c r="T258" s="16" t="str">
        <f t="shared" ref="T258:T321" ca="1" si="64">LOWER(B258&amp;"."&amp;C258&amp;"@hranalytics.com")</f>
        <v>mia.evans@hranalytics.com</v>
      </c>
      <c r="U258" s="16" t="str">
        <f t="shared" ref="U258:U321" ca="1" si="65">"08"&amp;RANDBETWEEN(3,9)&amp;TEXT(RANDBETWEEN(1000000,9999999),"0000000")</f>
        <v>0855659301</v>
      </c>
      <c r="V258" s="16" t="str" cm="1">
        <f t="array" ref="V258" ca="1">_xlfn.LET(_xlpm.r,RANDBETWEEN(1,100),_xlfn.IFS(_xlpm.r&lt;=70,"Full-Time",_xlpm.r&lt;=85,"Part-Time",_xlpm.r&lt;=95,"Contract",TRUE,"Intern"))</f>
        <v>Full-Time</v>
      </c>
      <c r="W258" s="16" cm="1">
        <f t="array" ref="W258" ca="1">IF(K258&lt;&gt;"Active",0,_xlfn.IFS(M258=5,L258*15%,M258=4,L258*10%,M258=3,L258*5%,M258=2,L258*2%,TRUE,0))</f>
        <v>0</v>
      </c>
      <c r="X258" s="24">
        <f t="shared" ref="X258:X321" ca="1" si="66">DATEDIF(I258,TODAY(),"Y")</f>
        <v>1</v>
      </c>
      <c r="Y258" s="24">
        <f t="shared" ref="Y258:Y321" ca="1" si="67">RANDBETWEEN(1,3)</f>
        <v>1</v>
      </c>
    </row>
    <row r="259" spans="1:25">
      <c r="A259" s="16" t="str">
        <f t="shared" ref="A259:A322" si="68">"EMP"&amp;TEXT(ROW()-1,"000")</f>
        <v>EMP258</v>
      </c>
      <c r="B259" s="16" t="str" cm="1">
        <f t="array" ref="B259" ca="1">IF(D259="Male",INDEX(Lookup!$L$2:$L$13,RANDBETWEEN(1,12)),IF(D259="Female",INDEX(Lookup!$M$2:$M$13,RANDBETWEEN(1,12)),INDEX(Lookup!$N$2:$N$13,RANDBETWEEN(1,12))))</f>
        <v>Jordan</v>
      </c>
      <c r="C259" s="16" t="str" cm="1">
        <f t="array" ref="C259" ca="1">INDEX(Lookup!$K$2:$K$31,RANDBETWEEN(1,30))</f>
        <v>Campbell</v>
      </c>
      <c r="D259" s="16" t="str" cm="1">
        <f t="array" ref="D259" ca="1">INDEX(Lookup!$H$2:$H$4,RANDBETWEEN(1,3))</f>
        <v>Other</v>
      </c>
      <c r="E259" s="16">
        <f t="shared" ca="1" si="56"/>
        <v>33</v>
      </c>
      <c r="F259" s="16" t="str" cm="1">
        <f t="array" ref="F259" ca="1">INDEX(Lookup!$A$2:$A$10,RANDBETWEEN(1,9))</f>
        <v>Legal</v>
      </c>
      <c r="G259" s="16" t="str" cm="1">
        <f t="array" ref="G259" ca="1">_xlfn.LET(_xlpm.Roles,_xlfn._xlws.FILTER(Lookup!$P$2:$P$28,Lookup!$O$2:$O$28=F259),INDEX(_xlpm.Roles,RANDBETWEEN(1,ROWS(_xlpm.Roles))))</f>
        <v>Legal Executive</v>
      </c>
      <c r="H259" s="16" t="str" cm="1">
        <f t="array" ref="H259" ca="1">INDEX(Lookup!$B$2:$B$7,RANDBETWEEN(1,6))</f>
        <v>Belfast</v>
      </c>
      <c r="I259" s="22">
        <f t="shared" ca="1" si="57"/>
        <v>43515</v>
      </c>
      <c r="J259" s="22" t="str">
        <f t="shared" ca="1" si="58"/>
        <v/>
      </c>
      <c r="K259" s="16" t="str">
        <f t="shared" ca="1" si="59"/>
        <v>Active</v>
      </c>
      <c r="L259" s="26">
        <f ca="1">_xlfn.XLOOKUP(G259,Lookup!$P$2:$P$28,Lookup!$Q$2:$Q$28)*(1+MIN(X259*3%,30%))</f>
        <v>64480</v>
      </c>
      <c r="M259" s="24">
        <f t="shared" ref="M259:M322" ca="1" si="69">RANDBETWEEN(1,5)</f>
        <v>1</v>
      </c>
      <c r="N259" s="24">
        <f t="shared" ca="1" si="60"/>
        <v>65</v>
      </c>
      <c r="O259" s="24">
        <f t="shared" ca="1" si="61"/>
        <v>0</v>
      </c>
      <c r="P259" s="24">
        <f t="shared" ca="1" si="62"/>
        <v>50</v>
      </c>
      <c r="Q259" s="16" t="str">
        <f t="shared" ca="1" si="63"/>
        <v>Promoted</v>
      </c>
      <c r="R259" s="16" t="str" cm="1">
        <f t="array" ref="R259" ca="1">INDEX(Lookup!$E$2:$E$6,RANDBETWEEN(1,5))</f>
        <v>PhD</v>
      </c>
      <c r="S259" s="16" t="str" cm="1">
        <f t="array" ref="S259" ca="1">INDEX(Lookup!$J$2:$J$11,RANDBETWEEN(1,10))</f>
        <v>Daniel Kelly</v>
      </c>
      <c r="T259" s="16" t="str">
        <f t="shared" ca="1" si="64"/>
        <v>jordan.campbell@hranalytics.com</v>
      </c>
      <c r="U259" s="16" t="str">
        <f t="shared" ca="1" si="65"/>
        <v>0862332163</v>
      </c>
      <c r="V259" s="16" t="str" cm="1">
        <f t="array" ref="V259" ca="1">_xlfn.LET(_xlpm.r,RANDBETWEEN(1,100),_xlfn.IFS(_xlpm.r&lt;=70,"Full-Time",_xlpm.r&lt;=85,"Part-Time",_xlpm.r&lt;=95,"Contract",TRUE,"Intern"))</f>
        <v>Intern</v>
      </c>
      <c r="W259" s="16" cm="1">
        <f t="array" ref="W259" ca="1">IF(K259&lt;&gt;"Active",0,_xlfn.IFS(M259=5,L259*15%,M259=4,L259*10%,M259=3,L259*5%,M259=2,L259*2%,TRUE,0))</f>
        <v>9672</v>
      </c>
      <c r="X259" s="24">
        <f t="shared" ca="1" si="66"/>
        <v>7</v>
      </c>
      <c r="Y259" s="24">
        <f t="shared" ca="1" si="67"/>
        <v>3</v>
      </c>
    </row>
    <row r="260" spans="1:25">
      <c r="A260" s="16" t="str">
        <f t="shared" si="68"/>
        <v>EMP259</v>
      </c>
      <c r="B260" s="16" t="str" cm="1">
        <f t="array" ref="B260" ca="1">IF(D260="Male",INDEX(Lookup!$L$2:$L$13,RANDBETWEEN(1,12)),IF(D260="Female",INDEX(Lookup!$M$2:$M$13,RANDBETWEEN(1,12)),INDEX(Lookup!$N$2:$N$13,RANDBETWEEN(1,12))))</f>
        <v>Amelia</v>
      </c>
      <c r="C260" s="16" t="str" cm="1">
        <f t="array" ref="C260" ca="1">INDEX(Lookup!$K$2:$K$31,RANDBETWEEN(1,30))</f>
        <v>Hill</v>
      </c>
      <c r="D260" s="16" t="str" cm="1">
        <f t="array" ref="D260" ca="1">INDEX(Lookup!$H$2:$H$4,RANDBETWEEN(1,3))</f>
        <v>Female</v>
      </c>
      <c r="E260" s="16">
        <f t="shared" ca="1" si="56"/>
        <v>53</v>
      </c>
      <c r="F260" s="16" t="str" cm="1">
        <f t="array" ref="F260" ca="1">INDEX(Lookup!$A$2:$A$10,RANDBETWEEN(1,9))</f>
        <v>Marketing</v>
      </c>
      <c r="G260" s="16" t="str" cm="1">
        <f t="array" ref="G260" ca="1">_xlfn.LET(_xlpm.Roles,_xlfn._xlws.FILTER(Lookup!$P$2:$P$28,Lookup!$O$2:$O$28=F260),INDEX(_xlpm.Roles,RANDBETWEEN(1,ROWS(_xlpm.Roles))))</f>
        <v>Brand Executive</v>
      </c>
      <c r="H260" s="16" t="str" cm="1">
        <f t="array" ref="H260" ca="1">INDEX(Lookup!$B$2:$B$7,RANDBETWEEN(1,6))</f>
        <v>Galway</v>
      </c>
      <c r="I260" s="22">
        <f t="shared" ca="1" si="57"/>
        <v>43317</v>
      </c>
      <c r="J260" s="22" t="str">
        <f t="shared" ca="1" si="58"/>
        <v/>
      </c>
      <c r="K260" s="16" t="str">
        <f t="shared" ca="1" si="59"/>
        <v>Active</v>
      </c>
      <c r="L260" s="26">
        <f ca="1">_xlfn.XLOOKUP(G260,Lookup!$P$2:$P$28,Lookup!$Q$2:$Q$28)*(1+MIN(X260*3%,30%))</f>
        <v>50140</v>
      </c>
      <c r="M260" s="24">
        <f t="shared" ca="1" si="69"/>
        <v>2</v>
      </c>
      <c r="N260" s="24">
        <f t="shared" ca="1" si="60"/>
        <v>52</v>
      </c>
      <c r="O260" s="24">
        <f t="shared" ca="1" si="61"/>
        <v>17</v>
      </c>
      <c r="P260" s="24">
        <f t="shared" ca="1" si="62"/>
        <v>17</v>
      </c>
      <c r="Q260" s="16" t="str">
        <f t="shared" ca="1" si="63"/>
        <v>Promoted</v>
      </c>
      <c r="R260" s="16" t="str" cm="1">
        <f t="array" ref="R260" ca="1">INDEX(Lookup!$E$2:$E$6,RANDBETWEEN(1,5))</f>
        <v>Bachelor's</v>
      </c>
      <c r="S260" s="16" t="str" cm="1">
        <f t="array" ref="S260" ca="1">INDEX(Lookup!$J$2:$J$11,RANDBETWEEN(1,10))</f>
        <v>David Murphy</v>
      </c>
      <c r="T260" s="16" t="str">
        <f t="shared" ca="1" si="64"/>
        <v>amelia.hill@hranalytics.com</v>
      </c>
      <c r="U260" s="16" t="str">
        <f t="shared" ca="1" si="65"/>
        <v>0851346378</v>
      </c>
      <c r="V260" s="16" t="str" cm="1">
        <f t="array" ref="V260" ca="1">_xlfn.LET(_xlpm.r,RANDBETWEEN(1,100),_xlfn.IFS(_xlpm.r&lt;=70,"Full-Time",_xlpm.r&lt;=85,"Part-Time",_xlpm.r&lt;=95,"Contract",TRUE,"Intern"))</f>
        <v>Full-Time</v>
      </c>
      <c r="W260" s="16" cm="1">
        <f t="array" ref="W260" ca="1">IF(K260&lt;&gt;"Active",0,_xlfn.IFS(M260=5,L260*15%,M260=4,L260*10%,M260=3,L260*5%,M260=2,L260*2%,TRUE,0))</f>
        <v>7521</v>
      </c>
      <c r="X260" s="24">
        <f t="shared" ca="1" si="66"/>
        <v>8</v>
      </c>
      <c r="Y260" s="24">
        <f t="shared" ca="1" si="67"/>
        <v>1</v>
      </c>
    </row>
    <row r="261" spans="1:25">
      <c r="A261" s="16" t="str">
        <f t="shared" si="68"/>
        <v>EMP260</v>
      </c>
      <c r="B261" s="16" t="str" cm="1">
        <f t="array" ref="B261" ca="1">IF(D261="Male",INDEX(Lookup!$L$2:$L$13,RANDBETWEEN(1,12)),IF(D261="Female",INDEX(Lookup!$M$2:$M$13,RANDBETWEEN(1,12)),INDEX(Lookup!$N$2:$N$13,RANDBETWEEN(1,12))))</f>
        <v>Taylor</v>
      </c>
      <c r="C261" s="16" t="str" cm="1">
        <f t="array" ref="C261" ca="1">INDEX(Lookup!$K$2:$K$31,RANDBETWEEN(1,30))</f>
        <v>Edwards</v>
      </c>
      <c r="D261" s="16" t="str" cm="1">
        <f t="array" ref="D261" ca="1">INDEX(Lookup!$H$2:$H$4,RANDBETWEEN(1,3))</f>
        <v>Other</v>
      </c>
      <c r="E261" s="16">
        <f t="shared" ca="1" si="56"/>
        <v>30</v>
      </c>
      <c r="F261" s="16" t="str" cm="1">
        <f t="array" ref="F261" ca="1">INDEX(Lookup!$A$2:$A$10,RANDBETWEEN(1,9))</f>
        <v>IT</v>
      </c>
      <c r="G261" s="16" t="str" cm="1">
        <f t="array" ref="G261" ca="1">_xlfn.LET(_xlpm.Roles,_xlfn._xlws.FILTER(Lookup!$P$2:$P$28,Lookup!$O$2:$O$28=F261),INDEX(_xlpm.Roles,RANDBETWEEN(1,ROWS(_xlpm.Roles))))</f>
        <v>Business Analyst</v>
      </c>
      <c r="H261" s="16" t="str" cm="1">
        <f t="array" ref="H261" ca="1">INDEX(Lookup!$B$2:$B$7,RANDBETWEEN(1,6))</f>
        <v>Cork</v>
      </c>
      <c r="I261" s="22">
        <f t="shared" ca="1" si="57"/>
        <v>43620</v>
      </c>
      <c r="J261" s="22" t="str">
        <f t="shared" ca="1" si="58"/>
        <v/>
      </c>
      <c r="K261" s="16" t="str">
        <f t="shared" ca="1" si="59"/>
        <v>Active</v>
      </c>
      <c r="L261" s="26">
        <f ca="1">_xlfn.XLOOKUP(G261,Lookup!$P$2:$P$28,Lookup!$Q$2:$Q$28)*(1+MIN(X261*3%,30%))</f>
        <v>69000</v>
      </c>
      <c r="M261" s="24">
        <f t="shared" ca="1" si="69"/>
        <v>1</v>
      </c>
      <c r="N261" s="24">
        <f t="shared" ca="1" si="60"/>
        <v>37</v>
      </c>
      <c r="O261" s="24">
        <f t="shared" ca="1" si="61"/>
        <v>20</v>
      </c>
      <c r="P261" s="24">
        <f t="shared" ca="1" si="62"/>
        <v>41</v>
      </c>
      <c r="Q261" s="16" t="str">
        <f t="shared" ca="1" si="63"/>
        <v>Promoted</v>
      </c>
      <c r="R261" s="16" t="str" cm="1">
        <f t="array" ref="R261" ca="1">INDEX(Lookup!$E$2:$E$6,RANDBETWEEN(1,5))</f>
        <v>Bachelor's</v>
      </c>
      <c r="S261" s="16" t="str" cm="1">
        <f t="array" ref="S261" ca="1">INDEX(Lookup!$J$2:$J$11,RANDBETWEEN(1,10))</f>
        <v>Daniel Kelly</v>
      </c>
      <c r="T261" s="16" t="str">
        <f t="shared" ca="1" si="64"/>
        <v>taylor.edwards@hranalytics.com</v>
      </c>
      <c r="U261" s="16" t="str">
        <f t="shared" ca="1" si="65"/>
        <v>0865879164</v>
      </c>
      <c r="V261" s="16" t="str" cm="1">
        <f t="array" ref="V261" ca="1">_xlfn.LET(_xlpm.r,RANDBETWEEN(1,100),_xlfn.IFS(_xlpm.r&lt;=70,"Full-Time",_xlpm.r&lt;=85,"Part-Time",_xlpm.r&lt;=95,"Contract",TRUE,"Intern"))</f>
        <v>Full-Time</v>
      </c>
      <c r="W261" s="16" cm="1">
        <f t="array" ref="W261" ca="1">IF(K261&lt;&gt;"Active",0,_xlfn.IFS(M261=5,L261*15%,M261=4,L261*10%,M261=3,L261*5%,M261=2,L261*2%,TRUE,0))</f>
        <v>10350</v>
      </c>
      <c r="X261" s="24">
        <f t="shared" ca="1" si="66"/>
        <v>7</v>
      </c>
      <c r="Y261" s="24">
        <f t="shared" ca="1" si="67"/>
        <v>2</v>
      </c>
    </row>
    <row r="262" spans="1:25">
      <c r="A262" s="16" t="str">
        <f t="shared" si="68"/>
        <v>EMP261</v>
      </c>
      <c r="B262" s="16" t="str" cm="1">
        <f t="array" ref="B262" ca="1">IF(D262="Male",INDEX(Lookup!$L$2:$L$13,RANDBETWEEN(1,12)),IF(D262="Female",INDEX(Lookup!$M$2:$M$13,RANDBETWEEN(1,12)),INDEX(Lookup!$N$2:$N$13,RANDBETWEEN(1,12))))</f>
        <v>Skyler</v>
      </c>
      <c r="C262" s="16" t="str" cm="1">
        <f t="array" ref="C262" ca="1">INDEX(Lookup!$K$2:$K$31,RANDBETWEEN(1,30))</f>
        <v>Nelson</v>
      </c>
      <c r="D262" s="16" t="str" cm="1">
        <f t="array" ref="D262" ca="1">INDEX(Lookup!$H$2:$H$4,RANDBETWEEN(1,3))</f>
        <v>Other</v>
      </c>
      <c r="E262" s="16">
        <f t="shared" ca="1" si="56"/>
        <v>26</v>
      </c>
      <c r="F262" s="16" t="str" cm="1">
        <f t="array" ref="F262" ca="1">INDEX(Lookup!$A$2:$A$10,RANDBETWEEN(1,9))</f>
        <v>Marketing</v>
      </c>
      <c r="G262" s="16" t="str" cm="1">
        <f t="array" ref="G262" ca="1">_xlfn.LET(_xlpm.Roles,_xlfn._xlws.FILTER(Lookup!$P$2:$P$28,Lookup!$O$2:$O$28=F262),INDEX(_xlpm.Roles,RANDBETWEEN(1,ROWS(_xlpm.Roles))))</f>
        <v>Brand Executive</v>
      </c>
      <c r="H262" s="16" t="str" cm="1">
        <f t="array" ref="H262" ca="1">INDEX(Lookup!$B$2:$B$7,RANDBETWEEN(1,6))</f>
        <v>Dublin</v>
      </c>
      <c r="I262" s="22">
        <f t="shared" ca="1" si="57"/>
        <v>43513</v>
      </c>
      <c r="J262" s="22" t="str">
        <f t="shared" ca="1" si="58"/>
        <v/>
      </c>
      <c r="K262" s="16" t="str">
        <f t="shared" ca="1" si="59"/>
        <v>Active</v>
      </c>
      <c r="L262" s="26">
        <f ca="1">_xlfn.XLOOKUP(G262,Lookup!$P$2:$P$28,Lookup!$Q$2:$Q$28)*(1+MIN(X262*3%,30%))</f>
        <v>54280</v>
      </c>
      <c r="M262" s="24">
        <f t="shared" ca="1" si="69"/>
        <v>3</v>
      </c>
      <c r="N262" s="24">
        <f t="shared" ca="1" si="60"/>
        <v>30</v>
      </c>
      <c r="O262" s="24">
        <f t="shared" ca="1" si="61"/>
        <v>0</v>
      </c>
      <c r="P262" s="24">
        <f t="shared" ca="1" si="62"/>
        <v>41</v>
      </c>
      <c r="Q262" s="16" t="str">
        <f t="shared" ca="1" si="63"/>
        <v>Not Promoted</v>
      </c>
      <c r="R262" s="16" t="str" cm="1">
        <f t="array" ref="R262" ca="1">INDEX(Lookup!$E$2:$E$6,RANDBETWEEN(1,5))</f>
        <v>PhD</v>
      </c>
      <c r="S262" s="16" t="str" cm="1">
        <f t="array" ref="S262" ca="1">INDEX(Lookup!$J$2:$J$11,RANDBETWEEN(1,10))</f>
        <v>Sophia Martin</v>
      </c>
      <c r="T262" s="16" t="str">
        <f t="shared" ca="1" si="64"/>
        <v>skyler.nelson@hranalytics.com</v>
      </c>
      <c r="U262" s="16" t="str">
        <f t="shared" ca="1" si="65"/>
        <v>0898199461</v>
      </c>
      <c r="V262" s="16" t="str" cm="1">
        <f t="array" ref="V262" ca="1">_xlfn.LET(_xlpm.r,RANDBETWEEN(1,100),_xlfn.IFS(_xlpm.r&lt;=70,"Full-Time",_xlpm.r&lt;=85,"Part-Time",_xlpm.r&lt;=95,"Contract",TRUE,"Intern"))</f>
        <v>Part-Time</v>
      </c>
      <c r="W262" s="16" cm="1">
        <f t="array" ref="W262" ca="1">IF(K262&lt;&gt;"Active",0,_xlfn.IFS(M262=5,L262*15%,M262=4,L262*10%,M262=3,L262*5%,M262=2,L262*2%,TRUE,0))</f>
        <v>0</v>
      </c>
      <c r="X262" s="24">
        <f t="shared" ca="1" si="66"/>
        <v>7</v>
      </c>
      <c r="Y262" s="24">
        <f t="shared" ca="1" si="67"/>
        <v>1</v>
      </c>
    </row>
    <row r="263" spans="1:25">
      <c r="A263" s="16" t="str">
        <f t="shared" si="68"/>
        <v>EMP262</v>
      </c>
      <c r="B263" s="16" t="str" cm="1">
        <f t="array" ref="B263" ca="1">IF(D263="Male",INDEX(Lookup!$L$2:$L$13,RANDBETWEEN(1,12)),IF(D263="Female",INDEX(Lookup!$M$2:$M$13,RANDBETWEEN(1,12)),INDEX(Lookup!$N$2:$N$13,RANDBETWEEN(1,12))))</f>
        <v>Daniel</v>
      </c>
      <c r="C263" s="16" t="str" cm="1">
        <f t="array" ref="C263" ca="1">INDEX(Lookup!$K$2:$K$31,RANDBETWEEN(1,30))</f>
        <v>Hall</v>
      </c>
      <c r="D263" s="16" t="str" cm="1">
        <f t="array" ref="D263" ca="1">INDEX(Lookup!$H$2:$H$4,RANDBETWEEN(1,3))</f>
        <v>Male</v>
      </c>
      <c r="E263" s="16">
        <f t="shared" ca="1" si="56"/>
        <v>26</v>
      </c>
      <c r="F263" s="16" t="str" cm="1">
        <f t="array" ref="F263" ca="1">INDEX(Lookup!$A$2:$A$10,RANDBETWEEN(1,9))</f>
        <v>Marketing</v>
      </c>
      <c r="G263" s="16" t="str" cm="1">
        <f t="array" ref="G263" ca="1">_xlfn.LET(_xlpm.Roles,_xlfn._xlws.FILTER(Lookup!$P$2:$P$28,Lookup!$O$2:$O$28=F263),INDEX(_xlpm.Roles,RANDBETWEEN(1,ROWS(_xlpm.Roles))))</f>
        <v>Brand Executive</v>
      </c>
      <c r="H263" s="16" t="str" cm="1">
        <f t="array" ref="H263" ca="1">INDEX(Lookup!$B$2:$B$7,RANDBETWEEN(1,6))</f>
        <v>Dublin</v>
      </c>
      <c r="I263" s="22">
        <f t="shared" ca="1" si="57"/>
        <v>43305</v>
      </c>
      <c r="J263" s="22" t="str">
        <f t="shared" ca="1" si="58"/>
        <v/>
      </c>
      <c r="K263" s="16" t="str">
        <f t="shared" ca="1" si="59"/>
        <v>Active</v>
      </c>
      <c r="L263" s="26">
        <f ca="1">_xlfn.XLOOKUP(G263,Lookup!$P$2:$P$28,Lookup!$Q$2:$Q$28)*(1+MIN(X263*3%,30%))</f>
        <v>48760</v>
      </c>
      <c r="M263" s="24">
        <f t="shared" ca="1" si="69"/>
        <v>5</v>
      </c>
      <c r="N263" s="24">
        <f t="shared" ca="1" si="60"/>
        <v>56</v>
      </c>
      <c r="O263" s="24">
        <f t="shared" ca="1" si="61"/>
        <v>11</v>
      </c>
      <c r="P263" s="24">
        <f t="shared" ca="1" si="62"/>
        <v>52</v>
      </c>
      <c r="Q263" s="16" t="str">
        <f t="shared" ca="1" si="63"/>
        <v>Promoted</v>
      </c>
      <c r="R263" s="16" t="str" cm="1">
        <f t="array" ref="R263" ca="1">INDEX(Lookup!$E$2:$E$6,RANDBETWEEN(1,5))</f>
        <v>Dipolma</v>
      </c>
      <c r="S263" s="16" t="str" cm="1">
        <f t="array" ref="S263" ca="1">INDEX(Lookup!$J$2:$J$11,RANDBETWEEN(1,10))</f>
        <v>David Murphy</v>
      </c>
      <c r="T263" s="16" t="str">
        <f t="shared" ca="1" si="64"/>
        <v>daniel.hall@hranalytics.com</v>
      </c>
      <c r="U263" s="16" t="str">
        <f t="shared" ca="1" si="65"/>
        <v>0884854597</v>
      </c>
      <c r="V263" s="16" t="str" cm="1">
        <f t="array" ref="V263" ca="1">_xlfn.LET(_xlpm.r,RANDBETWEEN(1,100),_xlfn.IFS(_xlpm.r&lt;=70,"Full-Time",_xlpm.r&lt;=85,"Part-Time",_xlpm.r&lt;=95,"Contract",TRUE,"Intern"))</f>
        <v>Intern</v>
      </c>
      <c r="W263" s="16" cm="1">
        <f t="array" ref="W263" ca="1">IF(K263&lt;&gt;"Active",0,_xlfn.IFS(M263=5,L263*15%,M263=4,L263*10%,M263=3,L263*5%,M263=2,L263*2%,TRUE,0))</f>
        <v>2438</v>
      </c>
      <c r="X263" s="24">
        <f t="shared" ca="1" si="66"/>
        <v>8</v>
      </c>
      <c r="Y263" s="24">
        <f t="shared" ca="1" si="67"/>
        <v>2</v>
      </c>
    </row>
    <row r="264" spans="1:25">
      <c r="A264" s="16" t="str">
        <f t="shared" si="68"/>
        <v>EMP263</v>
      </c>
      <c r="B264" s="16" t="str" cm="1">
        <f t="array" ref="B264" ca="1">IF(D264="Male",INDEX(Lookup!$L$2:$L$13,RANDBETWEEN(1,12)),IF(D264="Female",INDEX(Lookup!$M$2:$M$13,RANDBETWEEN(1,12)),INDEX(Lookup!$N$2:$N$13,RANDBETWEEN(1,12))))</f>
        <v>Amelia</v>
      </c>
      <c r="C264" s="16" t="str" cm="1">
        <f t="array" ref="C264" ca="1">INDEX(Lookup!$K$2:$K$31,RANDBETWEEN(1,30))</f>
        <v>Green</v>
      </c>
      <c r="D264" s="16" t="str" cm="1">
        <f t="array" ref="D264" ca="1">INDEX(Lookup!$H$2:$H$4,RANDBETWEEN(1,3))</f>
        <v>Female</v>
      </c>
      <c r="E264" s="16">
        <f t="shared" ca="1" si="56"/>
        <v>29</v>
      </c>
      <c r="F264" s="16" t="str" cm="1">
        <f t="array" ref="F264" ca="1">INDEX(Lookup!$A$2:$A$10,RANDBETWEEN(1,9))</f>
        <v>Customer Support</v>
      </c>
      <c r="G264" s="16" t="str" cm="1">
        <f t="array" ref="G264" ca="1">_xlfn.LET(_xlpm.Roles,_xlfn._xlws.FILTER(Lookup!$P$2:$P$28,Lookup!$O$2:$O$28=F264),INDEX(_xlpm.Roles,RANDBETWEEN(1,ROWS(_xlpm.Roles))))</f>
        <v>Customer Support Representative</v>
      </c>
      <c r="H264" s="16" t="str" cm="1">
        <f t="array" ref="H264" ca="1">INDEX(Lookup!$B$2:$B$7,RANDBETWEEN(1,6))</f>
        <v>Dublin</v>
      </c>
      <c r="I264" s="22">
        <f t="shared" ca="1" si="57"/>
        <v>44353</v>
      </c>
      <c r="J264" s="22" t="str">
        <f t="shared" ca="1" si="58"/>
        <v/>
      </c>
      <c r="K264" s="16" t="str">
        <f t="shared" ca="1" si="59"/>
        <v>Active</v>
      </c>
      <c r="L264" s="26">
        <f ca="1">_xlfn.XLOOKUP(G264,Lookup!$P$2:$P$28,Lookup!$Q$2:$Q$28)*(1+MIN(X264*3%,30%))</f>
        <v>40320</v>
      </c>
      <c r="M264" s="24">
        <f t="shared" ca="1" si="69"/>
        <v>3</v>
      </c>
      <c r="N264" s="24">
        <f t="shared" ca="1" si="60"/>
        <v>70</v>
      </c>
      <c r="O264" s="24">
        <f t="shared" ca="1" si="61"/>
        <v>20</v>
      </c>
      <c r="P264" s="24">
        <f t="shared" ca="1" si="62"/>
        <v>51</v>
      </c>
      <c r="Q264" s="16" t="str">
        <f t="shared" ca="1" si="63"/>
        <v>Not Promoted</v>
      </c>
      <c r="R264" s="16" t="str" cm="1">
        <f t="array" ref="R264" ca="1">INDEX(Lookup!$E$2:$E$6,RANDBETWEEN(1,5))</f>
        <v>Dipolma</v>
      </c>
      <c r="S264" s="16" t="str" cm="1">
        <f t="array" ref="S264" ca="1">INDEX(Lookup!$J$2:$J$11,RANDBETWEEN(1,10))</f>
        <v>Grace O'Connor</v>
      </c>
      <c r="T264" s="16" t="str">
        <f t="shared" ca="1" si="64"/>
        <v>amelia.green@hranalytics.com</v>
      </c>
      <c r="U264" s="16" t="str">
        <f t="shared" ca="1" si="65"/>
        <v>0839009773</v>
      </c>
      <c r="V264" s="16" t="str" cm="1">
        <f t="array" ref="V264" ca="1">_xlfn.LET(_xlpm.r,RANDBETWEEN(1,100),_xlfn.IFS(_xlpm.r&lt;=70,"Full-Time",_xlpm.r&lt;=85,"Part-Time",_xlpm.r&lt;=95,"Contract",TRUE,"Intern"))</f>
        <v>Full-Time</v>
      </c>
      <c r="W264" s="16" cm="1">
        <f t="array" ref="W264" ca="1">IF(K264&lt;&gt;"Active",0,_xlfn.IFS(M264=5,L264*15%,M264=4,L264*10%,M264=3,L264*5%,M264=2,L264*2%,TRUE,0))</f>
        <v>0</v>
      </c>
      <c r="X264" s="24">
        <f t="shared" ca="1" si="66"/>
        <v>5</v>
      </c>
      <c r="Y264" s="24">
        <f t="shared" ca="1" si="67"/>
        <v>2</v>
      </c>
    </row>
    <row r="265" spans="1:25">
      <c r="A265" s="16" t="str">
        <f t="shared" si="68"/>
        <v>EMP264</v>
      </c>
      <c r="B265" s="16" t="str" cm="1">
        <f t="array" ref="B265" ca="1">IF(D265="Male",INDEX(Lookup!$L$2:$L$13,RANDBETWEEN(1,12)),IF(D265="Female",INDEX(Lookup!$M$2:$M$13,RANDBETWEEN(1,12)),INDEX(Lookup!$N$2:$N$13,RANDBETWEEN(1,12))))</f>
        <v>Noah</v>
      </c>
      <c r="C265" s="16" t="str" cm="1">
        <f t="array" ref="C265" ca="1">INDEX(Lookup!$K$2:$K$31,RANDBETWEEN(1,30))</f>
        <v>Moore</v>
      </c>
      <c r="D265" s="16" t="str" cm="1">
        <f t="array" ref="D265" ca="1">INDEX(Lookup!$H$2:$H$4,RANDBETWEEN(1,3))</f>
        <v>Male</v>
      </c>
      <c r="E265" s="16">
        <f t="shared" ca="1" si="56"/>
        <v>34</v>
      </c>
      <c r="F265" s="16" t="str" cm="1">
        <f t="array" ref="F265" ca="1">INDEX(Lookup!$A$2:$A$10,RANDBETWEEN(1,9))</f>
        <v>Legal</v>
      </c>
      <c r="G265" s="16" t="str" cm="1">
        <f t="array" ref="G265" ca="1">_xlfn.LET(_xlpm.Roles,_xlfn._xlws.FILTER(Lookup!$P$2:$P$28,Lookup!$O$2:$O$28=F265),INDEX(_xlpm.Roles,RANDBETWEEN(1,ROWS(_xlpm.Roles))))</f>
        <v>Compliance Officer</v>
      </c>
      <c r="H265" s="16" t="str" cm="1">
        <f t="array" ref="H265" ca="1">INDEX(Lookup!$B$2:$B$7,RANDBETWEEN(1,6))</f>
        <v>Belfast</v>
      </c>
      <c r="I265" s="22">
        <f t="shared" ca="1" si="57"/>
        <v>43159</v>
      </c>
      <c r="J265" s="22" t="str">
        <f t="shared" ca="1" si="58"/>
        <v/>
      </c>
      <c r="K265" s="16" t="str">
        <f t="shared" ca="1" si="59"/>
        <v>Active</v>
      </c>
      <c r="L265" s="26">
        <f ca="1">_xlfn.XLOOKUP(G265,Lookup!$P$2:$P$28,Lookup!$Q$2:$Q$28)*(1+MIN(X265*3%,30%))</f>
        <v>70800</v>
      </c>
      <c r="M265" s="24">
        <f t="shared" ca="1" si="69"/>
        <v>5</v>
      </c>
      <c r="N265" s="24">
        <f t="shared" ca="1" si="60"/>
        <v>13</v>
      </c>
      <c r="O265" s="24">
        <f t="shared" ca="1" si="61"/>
        <v>10</v>
      </c>
      <c r="P265" s="24">
        <f t="shared" ca="1" si="62"/>
        <v>11</v>
      </c>
      <c r="Q265" s="16" t="str">
        <f t="shared" ca="1" si="63"/>
        <v>Not Promoted</v>
      </c>
      <c r="R265" s="16" t="str" cm="1">
        <f t="array" ref="R265" ca="1">INDEX(Lookup!$E$2:$E$6,RANDBETWEEN(1,5))</f>
        <v>High School</v>
      </c>
      <c r="S265" s="16" t="str" cm="1">
        <f t="array" ref="S265" ca="1">INDEX(Lookup!$J$2:$J$11,RANDBETWEEN(1,10))</f>
        <v>Sophia Martin</v>
      </c>
      <c r="T265" s="16" t="str">
        <f t="shared" ca="1" si="64"/>
        <v>noah.moore@hranalytics.com</v>
      </c>
      <c r="U265" s="16" t="str">
        <f t="shared" ca="1" si="65"/>
        <v>0836243047</v>
      </c>
      <c r="V265" s="16" t="str" cm="1">
        <f t="array" ref="V265" ca="1">_xlfn.LET(_xlpm.r,RANDBETWEEN(1,100),_xlfn.IFS(_xlpm.r&lt;=70,"Full-Time",_xlpm.r&lt;=85,"Part-Time",_xlpm.r&lt;=95,"Contract",TRUE,"Intern"))</f>
        <v>Full-Time</v>
      </c>
      <c r="W265" s="16" cm="1">
        <f t="array" ref="W265" ca="1">IF(K265&lt;&gt;"Active",0,_xlfn.IFS(M265=5,L265*15%,M265=4,L265*10%,M265=3,L265*5%,M265=2,L265*2%,TRUE,0))</f>
        <v>0</v>
      </c>
      <c r="X265" s="24">
        <f t="shared" ca="1" si="66"/>
        <v>8</v>
      </c>
      <c r="Y265" s="24">
        <f t="shared" ca="1" si="67"/>
        <v>1</v>
      </c>
    </row>
    <row r="266" spans="1:25">
      <c r="A266" s="16" t="str">
        <f t="shared" si="68"/>
        <v>EMP265</v>
      </c>
      <c r="B266" s="16" t="str" cm="1">
        <f t="array" ref="B266" ca="1">IF(D266="Male",INDEX(Lookup!$L$2:$L$13,RANDBETWEEN(1,12)),IF(D266="Female",INDEX(Lookup!$M$2:$M$13,RANDBETWEEN(1,12)),INDEX(Lookup!$N$2:$N$13,RANDBETWEEN(1,12))))</f>
        <v>Ryan</v>
      </c>
      <c r="C266" s="16" t="str" cm="1">
        <f t="array" ref="C266" ca="1">INDEX(Lookup!$K$2:$K$31,RANDBETWEEN(1,30))</f>
        <v>White</v>
      </c>
      <c r="D266" s="16" t="str" cm="1">
        <f t="array" ref="D266" ca="1">INDEX(Lookup!$H$2:$H$4,RANDBETWEEN(1,3))</f>
        <v>Male</v>
      </c>
      <c r="E266" s="16">
        <f t="shared" ca="1" si="56"/>
        <v>42</v>
      </c>
      <c r="F266" s="16" t="str" cm="1">
        <f t="array" ref="F266" ca="1">INDEX(Lookup!$A$2:$A$10,RANDBETWEEN(1,9))</f>
        <v>Operations</v>
      </c>
      <c r="G266" s="16" t="str" cm="1">
        <f t="array" ref="G266" ca="1">_xlfn.LET(_xlpm.Roles,_xlfn._xlws.FILTER(Lookup!$P$2:$P$28,Lookup!$O$2:$O$28=F266),INDEX(_xlpm.Roles,RANDBETWEEN(1,ROWS(_xlpm.Roles))))</f>
        <v>Operations Executive</v>
      </c>
      <c r="H266" s="16" t="str" cm="1">
        <f t="array" ref="H266" ca="1">INDEX(Lookup!$B$2:$B$7,RANDBETWEEN(1,6))</f>
        <v>Dublin</v>
      </c>
      <c r="I266" s="22">
        <f t="shared" ca="1" si="57"/>
        <v>43293</v>
      </c>
      <c r="J266" s="22" t="str">
        <f t="shared" ca="1" si="58"/>
        <v/>
      </c>
      <c r="K266" s="16" t="str">
        <f t="shared" ca="1" si="59"/>
        <v>Active</v>
      </c>
      <c r="L266" s="26">
        <f ca="1">_xlfn.XLOOKUP(G266,Lookup!$P$2:$P$28,Lookup!$Q$2:$Q$28)*(1+MIN(X266*3%,30%))</f>
        <v>50820</v>
      </c>
      <c r="M266" s="24">
        <f t="shared" ca="1" si="69"/>
        <v>5</v>
      </c>
      <c r="N266" s="24">
        <f t="shared" ca="1" si="60"/>
        <v>72</v>
      </c>
      <c r="O266" s="24">
        <f t="shared" ca="1" si="61"/>
        <v>1</v>
      </c>
      <c r="P266" s="24">
        <f t="shared" ca="1" si="62"/>
        <v>31</v>
      </c>
      <c r="Q266" s="16" t="str">
        <f t="shared" ca="1" si="63"/>
        <v>Promoted</v>
      </c>
      <c r="R266" s="16" t="str" cm="1">
        <f t="array" ref="R266" ca="1">INDEX(Lookup!$E$2:$E$6,RANDBETWEEN(1,5))</f>
        <v>Bachelor's</v>
      </c>
      <c r="S266" s="16" t="str" cm="1">
        <f t="array" ref="S266" ca="1">INDEX(Lookup!$J$2:$J$11,RANDBETWEEN(1,10))</f>
        <v>Michael Brown</v>
      </c>
      <c r="T266" s="16" t="str">
        <f t="shared" ca="1" si="64"/>
        <v>ryan.white@hranalytics.com</v>
      </c>
      <c r="U266" s="16" t="str">
        <f t="shared" ca="1" si="65"/>
        <v>0896967813</v>
      </c>
      <c r="V266" s="16" t="str" cm="1">
        <f t="array" ref="V266" ca="1">_xlfn.LET(_xlpm.r,RANDBETWEEN(1,100),_xlfn.IFS(_xlpm.r&lt;=70,"Full-Time",_xlpm.r&lt;=85,"Part-Time",_xlpm.r&lt;=95,"Contract",TRUE,"Intern"))</f>
        <v>Full-Time</v>
      </c>
      <c r="W266" s="16" cm="1">
        <f t="array" ref="W266" ca="1">IF(K266&lt;&gt;"Active",0,_xlfn.IFS(M266=5,L266*15%,M266=4,L266*10%,M266=3,L266*5%,M266=2,L266*2%,TRUE,0))</f>
        <v>1016.4</v>
      </c>
      <c r="X266" s="24">
        <f t="shared" ca="1" si="66"/>
        <v>8</v>
      </c>
      <c r="Y266" s="24">
        <f t="shared" ca="1" si="67"/>
        <v>1</v>
      </c>
    </row>
    <row r="267" spans="1:25">
      <c r="A267" s="16" t="str">
        <f t="shared" si="68"/>
        <v>EMP266</v>
      </c>
      <c r="B267" s="16" t="str" cm="1">
        <f t="array" ref="B267" ca="1">IF(D267="Male",INDEX(Lookup!$L$2:$L$13,RANDBETWEEN(1,12)),IF(D267="Female",INDEX(Lookup!$M$2:$M$13,RANDBETWEEN(1,12)),INDEX(Lookup!$N$2:$N$13,RANDBETWEEN(1,12))))</f>
        <v>Olivia</v>
      </c>
      <c r="C267" s="16" t="str" cm="1">
        <f t="array" ref="C267" ca="1">INDEX(Lookup!$K$2:$K$31,RANDBETWEEN(1,30))</f>
        <v>Collins</v>
      </c>
      <c r="D267" s="16" t="str" cm="1">
        <f t="array" ref="D267" ca="1">INDEX(Lookup!$H$2:$H$4,RANDBETWEEN(1,3))</f>
        <v>Female</v>
      </c>
      <c r="E267" s="16">
        <f t="shared" ca="1" si="56"/>
        <v>32</v>
      </c>
      <c r="F267" s="16" t="str" cm="1">
        <f t="array" ref="F267" ca="1">INDEX(Lookup!$A$2:$A$10,RANDBETWEEN(1,9))</f>
        <v>Sales</v>
      </c>
      <c r="G267" s="16" t="str" cm="1">
        <f t="array" ref="G267" ca="1">_xlfn.LET(_xlpm.Roles,_xlfn._xlws.FILTER(Lookup!$P$2:$P$28,Lookup!$O$2:$O$28=F267),INDEX(_xlpm.Roles,RANDBETWEEN(1,ROWS(_xlpm.Roles))))</f>
        <v>Account Manager</v>
      </c>
      <c r="H267" s="16" t="str" cm="1">
        <f t="array" ref="H267" ca="1">INDEX(Lookup!$B$2:$B$7,RANDBETWEEN(1,6))</f>
        <v>Galway</v>
      </c>
      <c r="I267" s="22">
        <f t="shared" ca="1" si="57"/>
        <v>43772</v>
      </c>
      <c r="J267" s="22">
        <f t="shared" ca="1" si="58"/>
        <v>44713</v>
      </c>
      <c r="K267" s="16" t="str">
        <f t="shared" ca="1" si="59"/>
        <v>Resigned</v>
      </c>
      <c r="L267" s="26">
        <f ca="1">_xlfn.XLOOKUP(G267,Lookup!$P$2:$P$28,Lookup!$Q$2:$Q$28)*(1+MIN(X267*3%,30%))</f>
        <v>59950</v>
      </c>
      <c r="M267" s="24">
        <f t="shared" ca="1" si="69"/>
        <v>5</v>
      </c>
      <c r="N267" s="24">
        <f t="shared" ca="1" si="60"/>
        <v>53</v>
      </c>
      <c r="O267" s="24">
        <f t="shared" ca="1" si="61"/>
        <v>2</v>
      </c>
      <c r="P267" s="24">
        <f t="shared" ca="1" si="62"/>
        <v>6</v>
      </c>
      <c r="Q267" s="16" t="str">
        <f t="shared" ca="1" si="63"/>
        <v>Promoted</v>
      </c>
      <c r="R267" s="16" t="str" cm="1">
        <f t="array" ref="R267" ca="1">INDEX(Lookup!$E$2:$E$6,RANDBETWEEN(1,5))</f>
        <v>Dipolma</v>
      </c>
      <c r="S267" s="16" t="str" cm="1">
        <f t="array" ref="S267" ca="1">INDEX(Lookup!$J$2:$J$11,RANDBETWEEN(1,10))</f>
        <v>Grace O'Connor</v>
      </c>
      <c r="T267" s="16" t="str">
        <f t="shared" ca="1" si="64"/>
        <v>olivia.collins@hranalytics.com</v>
      </c>
      <c r="U267" s="16" t="str">
        <f t="shared" ca="1" si="65"/>
        <v>0875641645</v>
      </c>
      <c r="V267" s="16" t="str" cm="1">
        <f t="array" ref="V267" ca="1">_xlfn.LET(_xlpm.r,RANDBETWEEN(1,100),_xlfn.IFS(_xlpm.r&lt;=70,"Full-Time",_xlpm.r&lt;=85,"Part-Time",_xlpm.r&lt;=95,"Contract",TRUE,"Intern"))</f>
        <v>Contract</v>
      </c>
      <c r="W267" s="16" cm="1">
        <f t="array" ref="W267" ca="1">IF(K267&lt;&gt;"Active",0,_xlfn.IFS(M267=5,L267*15%,M267=4,L267*10%,M267=3,L267*5%,M267=2,L267*2%,TRUE,0))</f>
        <v>5995</v>
      </c>
      <c r="X267" s="24">
        <f t="shared" ca="1" si="66"/>
        <v>6</v>
      </c>
      <c r="Y267" s="24">
        <f t="shared" ca="1" si="67"/>
        <v>1</v>
      </c>
    </row>
    <row r="268" spans="1:25">
      <c r="A268" s="16" t="str">
        <f t="shared" si="68"/>
        <v>EMP267</v>
      </c>
      <c r="B268" s="16" t="str" cm="1">
        <f t="array" ref="B268" ca="1">IF(D268="Male",INDEX(Lookup!$L$2:$L$13,RANDBETWEEN(1,12)),IF(D268="Female",INDEX(Lookup!$M$2:$M$13,RANDBETWEEN(1,12)),INDEX(Lookup!$N$2:$N$13,RANDBETWEEN(1,12))))</f>
        <v>Emma</v>
      </c>
      <c r="C268" s="16" t="str" cm="1">
        <f t="array" ref="C268" ca="1">INDEX(Lookup!$K$2:$K$31,RANDBETWEEN(1,30))</f>
        <v>Scott</v>
      </c>
      <c r="D268" s="16" t="str" cm="1">
        <f t="array" ref="D268" ca="1">INDEX(Lookup!$H$2:$H$4,RANDBETWEEN(1,3))</f>
        <v>Female</v>
      </c>
      <c r="E268" s="16">
        <f t="shared" ca="1" si="56"/>
        <v>59</v>
      </c>
      <c r="F268" s="16" t="str" cm="1">
        <f t="array" ref="F268" ca="1">INDEX(Lookup!$A$2:$A$10,RANDBETWEEN(1,9))</f>
        <v>Operations</v>
      </c>
      <c r="G268" s="16" t="str" cm="1">
        <f t="array" ref="G268" ca="1">_xlfn.LET(_xlpm.Roles,_xlfn._xlws.FILTER(Lookup!$P$2:$P$28,Lookup!$O$2:$O$28=F268),INDEX(_xlpm.Roles,RANDBETWEEN(1,ROWS(_xlpm.Roles))))</f>
        <v>Operations Executive</v>
      </c>
      <c r="H268" s="16" t="str" cm="1">
        <f t="array" ref="H268" ca="1">INDEX(Lookup!$B$2:$B$7,RANDBETWEEN(1,6))</f>
        <v>Dublin</v>
      </c>
      <c r="I268" s="22">
        <f t="shared" ca="1" si="57"/>
        <v>45350</v>
      </c>
      <c r="J268" s="22" t="str">
        <f t="shared" ca="1" si="58"/>
        <v/>
      </c>
      <c r="K268" s="16" t="str">
        <f t="shared" ca="1" si="59"/>
        <v>Active</v>
      </c>
      <c r="L268" s="26">
        <f ca="1">_xlfn.XLOOKUP(G268,Lookup!$P$2:$P$28,Lookup!$Q$2:$Q$28)*(1+MIN(X268*3%,30%))</f>
        <v>44520</v>
      </c>
      <c r="M268" s="24">
        <f t="shared" ca="1" si="69"/>
        <v>1</v>
      </c>
      <c r="N268" s="24">
        <f t="shared" ca="1" si="60"/>
        <v>20</v>
      </c>
      <c r="O268" s="24">
        <f t="shared" ca="1" si="61"/>
        <v>18</v>
      </c>
      <c r="P268" s="24">
        <f t="shared" ca="1" si="62"/>
        <v>12</v>
      </c>
      <c r="Q268" s="16" t="str">
        <f t="shared" ca="1" si="63"/>
        <v>Promoted</v>
      </c>
      <c r="R268" s="16" t="str" cm="1">
        <f t="array" ref="R268" ca="1">INDEX(Lookup!$E$2:$E$6,RANDBETWEEN(1,5))</f>
        <v>High School</v>
      </c>
      <c r="S268" s="16" t="str" cm="1">
        <f t="array" ref="S268" ca="1">INDEX(Lookup!$J$2:$J$11,RANDBETWEEN(1,10))</f>
        <v>James Taylor</v>
      </c>
      <c r="T268" s="16" t="str">
        <f t="shared" ca="1" si="64"/>
        <v>emma.scott@hranalytics.com</v>
      </c>
      <c r="U268" s="16" t="str">
        <f t="shared" ca="1" si="65"/>
        <v>0847302863</v>
      </c>
      <c r="V268" s="16" t="str" cm="1">
        <f t="array" ref="V268" ca="1">_xlfn.LET(_xlpm.r,RANDBETWEEN(1,100),_xlfn.IFS(_xlpm.r&lt;=70,"Full-Time",_xlpm.r&lt;=85,"Part-Time",_xlpm.r&lt;=95,"Contract",TRUE,"Intern"))</f>
        <v>Part-Time</v>
      </c>
      <c r="W268" s="16" cm="1">
        <f t="array" ref="W268" ca="1">IF(K268&lt;&gt;"Active",0,_xlfn.IFS(M268=5,L268*15%,M268=4,L268*10%,M268=3,L268*5%,M268=2,L268*2%,TRUE,0))</f>
        <v>4452</v>
      </c>
      <c r="X268" s="24">
        <f t="shared" ca="1" si="66"/>
        <v>2</v>
      </c>
      <c r="Y268" s="24">
        <f t="shared" ca="1" si="67"/>
        <v>2</v>
      </c>
    </row>
    <row r="269" spans="1:25">
      <c r="A269" s="16" t="str">
        <f t="shared" si="68"/>
        <v>EMP268</v>
      </c>
      <c r="B269" s="16" t="str" cm="1">
        <f t="array" ref="B269" ca="1">IF(D269="Male",INDEX(Lookup!$L$2:$L$13,RANDBETWEEN(1,12)),IF(D269="Female",INDEX(Lookup!$M$2:$M$13,RANDBETWEEN(1,12)),INDEX(Lookup!$N$2:$N$13,RANDBETWEEN(1,12))))</f>
        <v>Jack</v>
      </c>
      <c r="C269" s="16" t="str" cm="1">
        <f t="array" ref="C269" ca="1">INDEX(Lookup!$K$2:$K$31,RANDBETWEEN(1,30))</f>
        <v>Nelson</v>
      </c>
      <c r="D269" s="16" t="str" cm="1">
        <f t="array" ref="D269" ca="1">INDEX(Lookup!$H$2:$H$4,RANDBETWEEN(1,3))</f>
        <v>Male</v>
      </c>
      <c r="E269" s="16">
        <f t="shared" ca="1" si="56"/>
        <v>30</v>
      </c>
      <c r="F269" s="16" t="str" cm="1">
        <f t="array" ref="F269" ca="1">INDEX(Lookup!$A$2:$A$10,RANDBETWEEN(1,9))</f>
        <v>Marketing</v>
      </c>
      <c r="G269" s="16" t="str" cm="1">
        <f t="array" ref="G269" ca="1">_xlfn.LET(_xlpm.Roles,_xlfn._xlws.FILTER(Lookup!$P$2:$P$28,Lookup!$O$2:$O$28=F269),INDEX(_xlpm.Roles,RANDBETWEEN(1,ROWS(_xlpm.Roles))))</f>
        <v>Marketing Executive</v>
      </c>
      <c r="H269" s="16" t="str" cm="1">
        <f t="array" ref="H269" ca="1">INDEX(Lookup!$B$2:$B$7,RANDBETWEEN(1,6))</f>
        <v>Dublin</v>
      </c>
      <c r="I269" s="22">
        <f t="shared" ca="1" si="57"/>
        <v>45479</v>
      </c>
      <c r="J269" s="22" t="str">
        <f t="shared" ca="1" si="58"/>
        <v/>
      </c>
      <c r="K269" s="16" t="str">
        <f t="shared" ca="1" si="59"/>
        <v>Active</v>
      </c>
      <c r="L269" s="26">
        <f ca="1">_xlfn.XLOOKUP(G269,Lookup!$P$2:$P$28,Lookup!$Q$2:$Q$28)*(1+MIN(X269*3%,30%))</f>
        <v>48300</v>
      </c>
      <c r="M269" s="24">
        <f t="shared" ca="1" si="69"/>
        <v>3</v>
      </c>
      <c r="N269" s="24">
        <f t="shared" ca="1" si="60"/>
        <v>8</v>
      </c>
      <c r="O269" s="24">
        <f t="shared" ca="1" si="61"/>
        <v>17</v>
      </c>
      <c r="P269" s="24">
        <f t="shared" ca="1" si="62"/>
        <v>20</v>
      </c>
      <c r="Q269" s="16" t="str">
        <f t="shared" ca="1" si="63"/>
        <v>Not Promoted</v>
      </c>
      <c r="R269" s="16" t="str" cm="1">
        <f t="array" ref="R269" ca="1">INDEX(Lookup!$E$2:$E$6,RANDBETWEEN(1,5))</f>
        <v>PhD</v>
      </c>
      <c r="S269" s="16" t="str" cm="1">
        <f t="array" ref="S269" ca="1">INDEX(Lookup!$J$2:$J$11,RANDBETWEEN(1,10))</f>
        <v>Daniel Kelly</v>
      </c>
      <c r="T269" s="16" t="str">
        <f t="shared" ca="1" si="64"/>
        <v>jack.nelson@hranalytics.com</v>
      </c>
      <c r="U269" s="16" t="str">
        <f t="shared" ca="1" si="65"/>
        <v>0852642067</v>
      </c>
      <c r="V269" s="16" t="str" cm="1">
        <f t="array" ref="V269" ca="1">_xlfn.LET(_xlpm.r,RANDBETWEEN(1,100),_xlfn.IFS(_xlpm.r&lt;=70,"Full-Time",_xlpm.r&lt;=85,"Part-Time",_xlpm.r&lt;=95,"Contract",TRUE,"Intern"))</f>
        <v>Full-Time</v>
      </c>
      <c r="W269" s="16" cm="1">
        <f t="array" ref="W269" ca="1">IF(K269&lt;&gt;"Active",0,_xlfn.IFS(M269=5,L269*15%,M269=4,L269*10%,M269=3,L269*5%,M269=2,L269*2%,TRUE,0))</f>
        <v>0</v>
      </c>
      <c r="X269" s="24">
        <f t="shared" ca="1" si="66"/>
        <v>2</v>
      </c>
      <c r="Y269" s="24">
        <f t="shared" ca="1" si="67"/>
        <v>3</v>
      </c>
    </row>
    <row r="270" spans="1:25">
      <c r="A270" s="16" t="str">
        <f t="shared" si="68"/>
        <v>EMP269</v>
      </c>
      <c r="B270" s="16" t="str" cm="1">
        <f t="array" ref="B270" ca="1">IF(D270="Male",INDEX(Lookup!$L$2:$L$13,RANDBETWEEN(1,12)),IF(D270="Female",INDEX(Lookup!$M$2:$M$13,RANDBETWEEN(1,12)),INDEX(Lookup!$N$2:$N$13,RANDBETWEEN(1,12))))</f>
        <v>Jordan</v>
      </c>
      <c r="C270" s="16" t="str" cm="1">
        <f t="array" ref="C270" ca="1">INDEX(Lookup!$K$2:$K$31,RANDBETWEEN(1,30))</f>
        <v>Lewis</v>
      </c>
      <c r="D270" s="16" t="str" cm="1">
        <f t="array" ref="D270" ca="1">INDEX(Lookup!$H$2:$H$4,RANDBETWEEN(1,3))</f>
        <v>Other</v>
      </c>
      <c r="E270" s="16">
        <f t="shared" ca="1" si="56"/>
        <v>30</v>
      </c>
      <c r="F270" s="16" t="str" cm="1">
        <f t="array" ref="F270" ca="1">INDEX(Lookup!$A$2:$A$10,RANDBETWEEN(1,9))</f>
        <v>Legal</v>
      </c>
      <c r="G270" s="16" t="str" cm="1">
        <f t="array" ref="G270" ca="1">_xlfn.LET(_xlpm.Roles,_xlfn._xlws.FILTER(Lookup!$P$2:$P$28,Lookup!$O$2:$O$28=F270),INDEX(_xlpm.Roles,RANDBETWEEN(1,ROWS(_xlpm.Roles))))</f>
        <v>Compliance Officer</v>
      </c>
      <c r="H270" s="16" t="str" cm="1">
        <f t="array" ref="H270" ca="1">INDEX(Lookup!$B$2:$B$7,RANDBETWEEN(1,6))</f>
        <v>Belfast</v>
      </c>
      <c r="I270" s="22">
        <f t="shared" ca="1" si="57"/>
        <v>44181</v>
      </c>
      <c r="J270" s="22" t="str">
        <f t="shared" ca="1" si="58"/>
        <v/>
      </c>
      <c r="K270" s="16" t="str">
        <f t="shared" ca="1" si="59"/>
        <v>Active</v>
      </c>
      <c r="L270" s="26">
        <f ca="1">_xlfn.XLOOKUP(G270,Lookup!$P$2:$P$28,Lookup!$Q$2:$Q$28)*(1+MIN(X270*3%,30%))</f>
        <v>61800</v>
      </c>
      <c r="M270" s="24">
        <f t="shared" ca="1" si="69"/>
        <v>2</v>
      </c>
      <c r="N270" s="24">
        <f t="shared" ca="1" si="60"/>
        <v>3</v>
      </c>
      <c r="O270" s="24">
        <f t="shared" ca="1" si="61"/>
        <v>9</v>
      </c>
      <c r="P270" s="24">
        <f t="shared" ca="1" si="62"/>
        <v>52</v>
      </c>
      <c r="Q270" s="16" t="str">
        <f t="shared" ca="1" si="63"/>
        <v>Not Promoted</v>
      </c>
      <c r="R270" s="16" t="str" cm="1">
        <f t="array" ref="R270" ca="1">INDEX(Lookup!$E$2:$E$6,RANDBETWEEN(1,5))</f>
        <v>Master's</v>
      </c>
      <c r="S270" s="16" t="str" cm="1">
        <f t="array" ref="S270" ca="1">INDEX(Lookup!$J$2:$J$11,RANDBETWEEN(1,10))</f>
        <v>Emma Wilson</v>
      </c>
      <c r="T270" s="16" t="str">
        <f t="shared" ca="1" si="64"/>
        <v>jordan.lewis@hranalytics.com</v>
      </c>
      <c r="U270" s="16" t="str">
        <f t="shared" ca="1" si="65"/>
        <v>0882989965</v>
      </c>
      <c r="V270" s="16" t="str" cm="1">
        <f t="array" ref="V270" ca="1">_xlfn.LET(_xlpm.r,RANDBETWEEN(1,100),_xlfn.IFS(_xlpm.r&lt;=70,"Full-Time",_xlpm.r&lt;=85,"Part-Time",_xlpm.r&lt;=95,"Contract",TRUE,"Intern"))</f>
        <v>Full-Time</v>
      </c>
      <c r="W270" s="16" cm="1">
        <f t="array" ref="W270" ca="1">IF(K270&lt;&gt;"Active",0,_xlfn.IFS(M270=5,L270*15%,M270=4,L270*10%,M270=3,L270*5%,M270=2,L270*2%,TRUE,0))</f>
        <v>6180</v>
      </c>
      <c r="X270" s="24">
        <f t="shared" ca="1" si="66"/>
        <v>5</v>
      </c>
      <c r="Y270" s="24">
        <f t="shared" ca="1" si="67"/>
        <v>3</v>
      </c>
    </row>
    <row r="271" spans="1:25">
      <c r="A271" s="16" t="str">
        <f t="shared" si="68"/>
        <v>EMP270</v>
      </c>
      <c r="B271" s="16" t="str" cm="1">
        <f t="array" ref="B271" ca="1">IF(D271="Male",INDEX(Lookup!$L$2:$L$13,RANDBETWEEN(1,12)),IF(D271="Female",INDEX(Lookup!$M$2:$M$13,RANDBETWEEN(1,12)),INDEX(Lookup!$N$2:$N$13,RANDBETWEEN(1,12))))</f>
        <v>Leo</v>
      </c>
      <c r="C271" s="16" t="str" cm="1">
        <f t="array" ref="C271" ca="1">INDEX(Lookup!$K$2:$K$31,RANDBETWEEN(1,30))</f>
        <v>Kelly</v>
      </c>
      <c r="D271" s="16" t="str" cm="1">
        <f t="array" ref="D271" ca="1">INDEX(Lookup!$H$2:$H$4,RANDBETWEEN(1,3))</f>
        <v>Male</v>
      </c>
      <c r="E271" s="16">
        <f t="shared" ca="1" si="56"/>
        <v>27</v>
      </c>
      <c r="F271" s="16" t="str" cm="1">
        <f t="array" ref="F271" ca="1">INDEX(Lookup!$A$2:$A$10,RANDBETWEEN(1,9))</f>
        <v>Customer Support</v>
      </c>
      <c r="G271" s="16" t="str" cm="1">
        <f t="array" ref="G271" ca="1">_xlfn.LET(_xlpm.Roles,_xlfn._xlws.FILTER(Lookup!$P$2:$P$28,Lookup!$O$2:$O$28=F271),INDEX(_xlpm.Roles,RANDBETWEEN(1,ROWS(_xlpm.Roles))))</f>
        <v>Technical Support Specialist</v>
      </c>
      <c r="H271" s="16" t="str" cm="1">
        <f t="array" ref="H271" ca="1">INDEX(Lookup!$B$2:$B$7,RANDBETWEEN(1,6))</f>
        <v>Belfast</v>
      </c>
      <c r="I271" s="22">
        <f t="shared" ca="1" si="57"/>
        <v>43743</v>
      </c>
      <c r="J271" s="22" t="str">
        <f t="shared" ca="1" si="58"/>
        <v/>
      </c>
      <c r="K271" s="16" t="str">
        <f t="shared" ca="1" si="59"/>
        <v>Active</v>
      </c>
      <c r="L271" s="26">
        <f ca="1">_xlfn.XLOOKUP(G271,Lookup!$P$2:$P$28,Lookup!$Q$2:$Q$28)*(1+MIN(X271*3%,30%))</f>
        <v>47700</v>
      </c>
      <c r="M271" s="24">
        <f t="shared" ca="1" si="69"/>
        <v>4</v>
      </c>
      <c r="N271" s="24">
        <f t="shared" ca="1" si="60"/>
        <v>56</v>
      </c>
      <c r="O271" s="24">
        <f t="shared" ca="1" si="61"/>
        <v>6</v>
      </c>
      <c r="P271" s="24">
        <f t="shared" ca="1" si="62"/>
        <v>28</v>
      </c>
      <c r="Q271" s="16" t="str">
        <f t="shared" ca="1" si="63"/>
        <v>Promoted</v>
      </c>
      <c r="R271" s="16" t="str" cm="1">
        <f t="array" ref="R271" ca="1">INDEX(Lookup!$E$2:$E$6,RANDBETWEEN(1,5))</f>
        <v>Master's</v>
      </c>
      <c r="S271" s="16" t="str" cm="1">
        <f t="array" ref="S271" ca="1">INDEX(Lookup!$J$2:$J$11,RANDBETWEEN(1,10))</f>
        <v>Emma Wilson</v>
      </c>
      <c r="T271" s="16" t="str">
        <f t="shared" ca="1" si="64"/>
        <v>leo.kelly@hranalytics.com</v>
      </c>
      <c r="U271" s="16" t="str">
        <f t="shared" ca="1" si="65"/>
        <v>0898942912</v>
      </c>
      <c r="V271" s="16" t="str" cm="1">
        <f t="array" ref="V271" ca="1">_xlfn.LET(_xlpm.r,RANDBETWEEN(1,100),_xlfn.IFS(_xlpm.r&lt;=70,"Full-Time",_xlpm.r&lt;=85,"Part-Time",_xlpm.r&lt;=95,"Contract",TRUE,"Intern"))</f>
        <v>Full-Time</v>
      </c>
      <c r="W271" s="16" cm="1">
        <f t="array" ref="W271" ca="1">IF(K271&lt;&gt;"Active",0,_xlfn.IFS(M271=5,L271*15%,M271=4,L271*10%,M271=3,L271*5%,M271=2,L271*2%,TRUE,0))</f>
        <v>954</v>
      </c>
      <c r="X271" s="24">
        <f t="shared" ca="1" si="66"/>
        <v>6</v>
      </c>
      <c r="Y271" s="24">
        <f t="shared" ca="1" si="67"/>
        <v>3</v>
      </c>
    </row>
    <row r="272" spans="1:25">
      <c r="A272" s="16" t="str">
        <f t="shared" si="68"/>
        <v>EMP271</v>
      </c>
      <c r="B272" s="16" t="str" cm="1">
        <f t="array" ref="B272" ca="1">IF(D272="Male",INDEX(Lookup!$L$2:$L$13,RANDBETWEEN(1,12)),IF(D272="Female",INDEX(Lookup!$M$2:$M$13,RANDBETWEEN(1,12)),INDEX(Lookup!$N$2:$N$13,RANDBETWEEN(1,12))))</f>
        <v>Ella</v>
      </c>
      <c r="C272" s="16" t="str" cm="1">
        <f t="array" ref="C272" ca="1">INDEX(Lookup!$K$2:$K$31,RANDBETWEEN(1,30))</f>
        <v>Hill</v>
      </c>
      <c r="D272" s="16" t="str" cm="1">
        <f t="array" ref="D272" ca="1">INDEX(Lookup!$H$2:$H$4,RANDBETWEEN(1,3))</f>
        <v>Female</v>
      </c>
      <c r="E272" s="16">
        <f t="shared" ca="1" si="56"/>
        <v>31</v>
      </c>
      <c r="F272" s="16" t="str" cm="1">
        <f t="array" ref="F272" ca="1">INDEX(Lookup!$A$2:$A$10,RANDBETWEEN(1,9))</f>
        <v>Customer Support</v>
      </c>
      <c r="G272" s="16" t="str" cm="1">
        <f t="array" ref="G272" ca="1">_xlfn.LET(_xlpm.Roles,_xlfn._xlws.FILTER(Lookup!$P$2:$P$28,Lookup!$O$2:$O$28=F272),INDEX(_xlpm.Roles,RANDBETWEEN(1,ROWS(_xlpm.Roles))))</f>
        <v>Customer Success Specialist</v>
      </c>
      <c r="H272" s="16" t="str" cm="1">
        <f t="array" ref="H272" ca="1">INDEX(Lookup!$B$2:$B$7,RANDBETWEEN(1,6))</f>
        <v>Cork</v>
      </c>
      <c r="I272" s="22">
        <f t="shared" ca="1" si="57"/>
        <v>44996</v>
      </c>
      <c r="J272" s="22" t="str">
        <f t="shared" ca="1" si="58"/>
        <v/>
      </c>
      <c r="K272" s="16" t="str">
        <f t="shared" ca="1" si="59"/>
        <v>Active</v>
      </c>
      <c r="L272" s="26">
        <f ca="1">_xlfn.XLOOKUP(G272,Lookup!$P$2:$P$28,Lookup!$Q$2:$Q$28)*(1+MIN(X272*3%,30%))</f>
        <v>50820</v>
      </c>
      <c r="M272" s="24">
        <f t="shared" ca="1" si="69"/>
        <v>2</v>
      </c>
      <c r="N272" s="24">
        <f t="shared" ca="1" si="60"/>
        <v>58</v>
      </c>
      <c r="O272" s="24">
        <f t="shared" ca="1" si="61"/>
        <v>16</v>
      </c>
      <c r="P272" s="24">
        <f t="shared" ca="1" si="62"/>
        <v>53</v>
      </c>
      <c r="Q272" s="16" t="str">
        <f t="shared" ca="1" si="63"/>
        <v>Not Promoted</v>
      </c>
      <c r="R272" s="16" t="str" cm="1">
        <f t="array" ref="R272" ca="1">INDEX(Lookup!$E$2:$E$6,RANDBETWEEN(1,5))</f>
        <v>PhD</v>
      </c>
      <c r="S272" s="16" t="str" cm="1">
        <f t="array" ref="S272" ca="1">INDEX(Lookup!$J$2:$J$11,RANDBETWEEN(1,10))</f>
        <v>Olivia Smith</v>
      </c>
      <c r="T272" s="16" t="str">
        <f t="shared" ca="1" si="64"/>
        <v>ella.hill@hranalytics.com</v>
      </c>
      <c r="U272" s="16" t="str">
        <f t="shared" ca="1" si="65"/>
        <v>0881598921</v>
      </c>
      <c r="V272" s="16" t="str" cm="1">
        <f t="array" ref="V272" ca="1">_xlfn.LET(_xlpm.r,RANDBETWEEN(1,100),_xlfn.IFS(_xlpm.r&lt;=70,"Full-Time",_xlpm.r&lt;=85,"Part-Time",_xlpm.r&lt;=95,"Contract",TRUE,"Intern"))</f>
        <v>Full-Time</v>
      </c>
      <c r="W272" s="16" cm="1">
        <f t="array" ref="W272" ca="1">IF(K272&lt;&gt;"Active",0,_xlfn.IFS(M272=5,L272*15%,M272=4,L272*10%,M272=3,L272*5%,M272=2,L272*2%,TRUE,0))</f>
        <v>0</v>
      </c>
      <c r="X272" s="24">
        <f t="shared" ca="1" si="66"/>
        <v>3</v>
      </c>
      <c r="Y272" s="24">
        <f t="shared" ca="1" si="67"/>
        <v>2</v>
      </c>
    </row>
    <row r="273" spans="1:25">
      <c r="A273" s="16" t="str">
        <f t="shared" si="68"/>
        <v>EMP272</v>
      </c>
      <c r="B273" s="16" t="str" cm="1">
        <f t="array" ref="B273" ca="1">IF(D273="Male",INDEX(Lookup!$L$2:$L$13,RANDBETWEEN(1,12)),IF(D273="Female",INDEX(Lookup!$M$2:$M$13,RANDBETWEEN(1,12)),INDEX(Lookup!$N$2:$N$13,RANDBETWEEN(1,12))))</f>
        <v>Taylor</v>
      </c>
      <c r="C273" s="16" t="str" cm="1">
        <f t="array" ref="C273" ca="1">INDEX(Lookup!$K$2:$K$31,RANDBETWEEN(1,30))</f>
        <v>Wilson</v>
      </c>
      <c r="D273" s="16" t="str" cm="1">
        <f t="array" ref="D273" ca="1">INDEX(Lookup!$H$2:$H$4,RANDBETWEEN(1,3))</f>
        <v>Other</v>
      </c>
      <c r="E273" s="16">
        <f t="shared" ca="1" si="56"/>
        <v>49</v>
      </c>
      <c r="F273" s="16" t="str" cm="1">
        <f t="array" ref="F273" ca="1">INDEX(Lookup!$A$2:$A$10,RANDBETWEEN(1,9))</f>
        <v>Marketing</v>
      </c>
      <c r="G273" s="16" t="str" cm="1">
        <f t="array" ref="G273" ca="1">_xlfn.LET(_xlpm.Roles,_xlfn._xlws.FILTER(Lookup!$P$2:$P$28,Lookup!$O$2:$O$28=F273),INDEX(_xlpm.Roles,RANDBETWEEN(1,ROWS(_xlpm.Roles))))</f>
        <v>Digital Marketing Specialist</v>
      </c>
      <c r="H273" s="16" t="str" cm="1">
        <f t="array" ref="H273" ca="1">INDEX(Lookup!$B$2:$B$7,RANDBETWEEN(1,6))</f>
        <v>Dublin</v>
      </c>
      <c r="I273" s="22">
        <f t="shared" ca="1" si="57"/>
        <v>44078</v>
      </c>
      <c r="J273" s="22" t="str">
        <f t="shared" ca="1" si="58"/>
        <v/>
      </c>
      <c r="K273" s="16" t="str">
        <f t="shared" ca="1" si="59"/>
        <v>Active</v>
      </c>
      <c r="L273" s="26">
        <f ca="1">_xlfn.XLOOKUP(G273,Lookup!$P$2:$P$28,Lookup!$Q$2:$Q$28)*(1+MIN(X273*3%,30%))</f>
        <v>51500</v>
      </c>
      <c r="M273" s="24">
        <f t="shared" ca="1" si="69"/>
        <v>5</v>
      </c>
      <c r="N273" s="24">
        <f t="shared" ca="1" si="60"/>
        <v>4</v>
      </c>
      <c r="O273" s="24">
        <f t="shared" ca="1" si="61"/>
        <v>6</v>
      </c>
      <c r="P273" s="24">
        <f t="shared" ca="1" si="62"/>
        <v>42</v>
      </c>
      <c r="Q273" s="16" t="str">
        <f t="shared" ca="1" si="63"/>
        <v>Not Promoted</v>
      </c>
      <c r="R273" s="16" t="str" cm="1">
        <f t="array" ref="R273" ca="1">INDEX(Lookup!$E$2:$E$6,RANDBETWEEN(1,5))</f>
        <v>Dipolma</v>
      </c>
      <c r="S273" s="16" t="str" cm="1">
        <f t="array" ref="S273" ca="1">INDEX(Lookup!$J$2:$J$11,RANDBETWEEN(1,10))</f>
        <v>Daniel Kelly</v>
      </c>
      <c r="T273" s="16" t="str">
        <f t="shared" ca="1" si="64"/>
        <v>taylor.wilson@hranalytics.com</v>
      </c>
      <c r="U273" s="16" t="str">
        <f t="shared" ca="1" si="65"/>
        <v>0864810867</v>
      </c>
      <c r="V273" s="16" t="str" cm="1">
        <f t="array" ref="V273" ca="1">_xlfn.LET(_xlpm.r,RANDBETWEEN(1,100),_xlfn.IFS(_xlpm.r&lt;=70,"Full-Time",_xlpm.r&lt;=85,"Part-Time",_xlpm.r&lt;=95,"Contract",TRUE,"Intern"))</f>
        <v>Contract</v>
      </c>
      <c r="W273" s="16" cm="1">
        <f t="array" ref="W273" ca="1">IF(K273&lt;&gt;"Active",0,_xlfn.IFS(M273=5,L273*15%,M273=4,L273*10%,M273=3,L273*5%,M273=2,L273*2%,TRUE,0))</f>
        <v>0</v>
      </c>
      <c r="X273" s="24">
        <f t="shared" ca="1" si="66"/>
        <v>5</v>
      </c>
      <c r="Y273" s="24">
        <f t="shared" ca="1" si="67"/>
        <v>1</v>
      </c>
    </row>
    <row r="274" spans="1:25">
      <c r="A274" s="16" t="str">
        <f t="shared" si="68"/>
        <v>EMP273</v>
      </c>
      <c r="B274" s="16" t="str" cm="1">
        <f t="array" ref="B274" ca="1">IF(D274="Male",INDEX(Lookup!$L$2:$L$13,RANDBETWEEN(1,12)),IF(D274="Female",INDEX(Lookup!$M$2:$M$13,RANDBETWEEN(1,12)),INDEX(Lookup!$N$2:$N$13,RANDBETWEEN(1,12))))</f>
        <v>Grace</v>
      </c>
      <c r="C274" s="16" t="str" cm="1">
        <f t="array" ref="C274" ca="1">INDEX(Lookup!$K$2:$K$31,RANDBETWEEN(1,30))</f>
        <v>White</v>
      </c>
      <c r="D274" s="16" t="str" cm="1">
        <f t="array" ref="D274" ca="1">INDEX(Lookup!$H$2:$H$4,RANDBETWEEN(1,3))</f>
        <v>Female</v>
      </c>
      <c r="E274" s="16">
        <f t="shared" ca="1" si="56"/>
        <v>24</v>
      </c>
      <c r="F274" s="16" t="str" cm="1">
        <f t="array" ref="F274" ca="1">INDEX(Lookup!$A$2:$A$10,RANDBETWEEN(1,9))</f>
        <v>HR</v>
      </c>
      <c r="G274" s="16" t="str" cm="1">
        <f t="array" ref="G274" ca="1">_xlfn.LET(_xlpm.Roles,_xlfn._xlws.FILTER(Lookup!$P$2:$P$28,Lookup!$O$2:$O$28=F274),INDEX(_xlpm.Roles,RANDBETWEEN(1,ROWS(_xlpm.Roles))))</f>
        <v>HR Assistant</v>
      </c>
      <c r="H274" s="16" t="str" cm="1">
        <f t="array" ref="H274" ca="1">INDEX(Lookup!$B$2:$B$7,RANDBETWEEN(1,6))</f>
        <v>Waterford</v>
      </c>
      <c r="I274" s="22">
        <f t="shared" ca="1" si="57"/>
        <v>44059</v>
      </c>
      <c r="J274" s="22" t="str">
        <f t="shared" ca="1" si="58"/>
        <v/>
      </c>
      <c r="K274" s="16" t="str">
        <f t="shared" ca="1" si="59"/>
        <v>Active</v>
      </c>
      <c r="L274" s="26">
        <f ca="1">_xlfn.XLOOKUP(G274,Lookup!$P$2:$P$28,Lookup!$Q$2:$Q$28)*(1+MIN(X274*3%,30%))</f>
        <v>41140</v>
      </c>
      <c r="M274" s="24">
        <f t="shared" ca="1" si="69"/>
        <v>4</v>
      </c>
      <c r="N274" s="24">
        <f t="shared" ca="1" si="60"/>
        <v>77</v>
      </c>
      <c r="O274" s="24">
        <f t="shared" ca="1" si="61"/>
        <v>7</v>
      </c>
      <c r="P274" s="24">
        <f t="shared" ca="1" si="62"/>
        <v>60</v>
      </c>
      <c r="Q274" s="16" t="str">
        <f t="shared" ca="1" si="63"/>
        <v>Not Promoted</v>
      </c>
      <c r="R274" s="16" t="str" cm="1">
        <f t="array" ref="R274" ca="1">INDEX(Lookup!$E$2:$E$6,RANDBETWEEN(1,5))</f>
        <v>Master's</v>
      </c>
      <c r="S274" s="16" t="str" cm="1">
        <f t="array" ref="S274" ca="1">INDEX(Lookup!$J$2:$J$11,RANDBETWEEN(1,10))</f>
        <v>James Taylor</v>
      </c>
      <c r="T274" s="16" t="str">
        <f t="shared" ca="1" si="64"/>
        <v>grace.white@hranalytics.com</v>
      </c>
      <c r="U274" s="16" t="str">
        <f t="shared" ca="1" si="65"/>
        <v>0831470607</v>
      </c>
      <c r="V274" s="16" t="str" cm="1">
        <f t="array" ref="V274" ca="1">_xlfn.LET(_xlpm.r,RANDBETWEEN(1,100),_xlfn.IFS(_xlpm.r&lt;=70,"Full-Time",_xlpm.r&lt;=85,"Part-Time",_xlpm.r&lt;=95,"Contract",TRUE,"Intern"))</f>
        <v>Full-Time</v>
      </c>
      <c r="W274" s="16" cm="1">
        <f t="array" ref="W274" ca="1">IF(K274&lt;&gt;"Active",0,_xlfn.IFS(M274=5,L274*15%,M274=4,L274*10%,M274=3,L274*5%,M274=2,L274*2%,TRUE,0))</f>
        <v>0</v>
      </c>
      <c r="X274" s="24">
        <f t="shared" ca="1" si="66"/>
        <v>6</v>
      </c>
      <c r="Y274" s="24">
        <f t="shared" ca="1" si="67"/>
        <v>3</v>
      </c>
    </row>
    <row r="275" spans="1:25">
      <c r="A275" s="16" t="str">
        <f t="shared" si="68"/>
        <v>EMP274</v>
      </c>
      <c r="B275" s="16" t="str" cm="1">
        <f t="array" ref="B275" ca="1">IF(D275="Male",INDEX(Lookup!$L$2:$L$13,RANDBETWEEN(1,12)),IF(D275="Female",INDEX(Lookup!$M$2:$M$13,RANDBETWEEN(1,12)),INDEX(Lookup!$N$2:$N$13,RANDBETWEEN(1,12))))</f>
        <v>Lucas</v>
      </c>
      <c r="C275" s="16" t="str" cm="1">
        <f t="array" ref="C275" ca="1">INDEX(Lookup!$K$2:$K$31,RANDBETWEEN(1,30))</f>
        <v>Collins</v>
      </c>
      <c r="D275" s="16" t="str" cm="1">
        <f t="array" ref="D275" ca="1">INDEX(Lookup!$H$2:$H$4,RANDBETWEEN(1,3))</f>
        <v>Male</v>
      </c>
      <c r="E275" s="16">
        <f t="shared" ca="1" si="56"/>
        <v>57</v>
      </c>
      <c r="F275" s="16" t="str" cm="1">
        <f t="array" ref="F275" ca="1">INDEX(Lookup!$A$2:$A$10,RANDBETWEEN(1,9))</f>
        <v>IT</v>
      </c>
      <c r="G275" s="16" t="str" cm="1">
        <f t="array" ref="G275" ca="1">_xlfn.LET(_xlpm.Roles,_xlfn._xlws.FILTER(Lookup!$P$2:$P$28,Lookup!$O$2:$O$28=F275),INDEX(_xlpm.Roles,RANDBETWEEN(1,ROWS(_xlpm.Roles))))</f>
        <v>Data Analyst</v>
      </c>
      <c r="H275" s="16" t="str" cm="1">
        <f t="array" ref="H275" ca="1">INDEX(Lookup!$B$2:$B$7,RANDBETWEEN(1,6))</f>
        <v>Galway</v>
      </c>
      <c r="I275" s="22">
        <f t="shared" ca="1" si="57"/>
        <v>43594</v>
      </c>
      <c r="J275" s="22">
        <f t="shared" ca="1" si="58"/>
        <v>45557</v>
      </c>
      <c r="K275" s="16" t="str">
        <f t="shared" ca="1" si="59"/>
        <v>Resigned</v>
      </c>
      <c r="L275" s="26">
        <f ca="1">_xlfn.XLOOKUP(G275,Lookup!$P$2:$P$28,Lookup!$Q$2:$Q$28)*(1+MIN(X275*3%,30%))</f>
        <v>64900</v>
      </c>
      <c r="M275" s="24">
        <f t="shared" ca="1" si="69"/>
        <v>4</v>
      </c>
      <c r="N275" s="24">
        <f t="shared" ca="1" si="60"/>
        <v>56</v>
      </c>
      <c r="O275" s="24">
        <f t="shared" ca="1" si="61"/>
        <v>20</v>
      </c>
      <c r="P275" s="24">
        <f t="shared" ca="1" si="62"/>
        <v>50</v>
      </c>
      <c r="Q275" s="16" t="str">
        <f t="shared" ca="1" si="63"/>
        <v>Promoted</v>
      </c>
      <c r="R275" s="16" t="str" cm="1">
        <f t="array" ref="R275" ca="1">INDEX(Lookup!$E$2:$E$6,RANDBETWEEN(1,5))</f>
        <v>High School</v>
      </c>
      <c r="S275" s="16" t="str" cm="1">
        <f t="array" ref="S275" ca="1">INDEX(Lookup!$J$2:$J$11,RANDBETWEEN(1,10))</f>
        <v>Sarah Johnson</v>
      </c>
      <c r="T275" s="16" t="str">
        <f t="shared" ca="1" si="64"/>
        <v>lucas.collins@hranalytics.com</v>
      </c>
      <c r="U275" s="16" t="str">
        <f t="shared" ca="1" si="65"/>
        <v>0866345490</v>
      </c>
      <c r="V275" s="16" t="str" cm="1">
        <f t="array" ref="V275" ca="1">_xlfn.LET(_xlpm.r,RANDBETWEEN(1,100),_xlfn.IFS(_xlpm.r&lt;=70,"Full-Time",_xlpm.r&lt;=85,"Part-Time",_xlpm.r&lt;=95,"Contract",TRUE,"Intern"))</f>
        <v>Part-Time</v>
      </c>
      <c r="W275" s="16" cm="1">
        <f t="array" ref="W275" ca="1">IF(K275&lt;&gt;"Active",0,_xlfn.IFS(M275=5,L275*15%,M275=4,L275*10%,M275=3,L275*5%,M275=2,L275*2%,TRUE,0))</f>
        <v>0</v>
      </c>
      <c r="X275" s="24">
        <f t="shared" ca="1" si="66"/>
        <v>7</v>
      </c>
      <c r="Y275" s="24">
        <f t="shared" ca="1" si="67"/>
        <v>3</v>
      </c>
    </row>
    <row r="276" spans="1:25">
      <c r="A276" s="16" t="str">
        <f t="shared" si="68"/>
        <v>EMP275</v>
      </c>
      <c r="B276" s="16" t="str" cm="1">
        <f t="array" ref="B276" ca="1">IF(D276="Male",INDEX(Lookup!$L$2:$L$13,RANDBETWEEN(1,12)),IF(D276="Female",INDEX(Lookup!$M$2:$M$13,RANDBETWEEN(1,12)),INDEX(Lookup!$N$2:$N$13,RANDBETWEEN(1,12))))</f>
        <v>David</v>
      </c>
      <c r="C276" s="16" t="str" cm="1">
        <f t="array" ref="C276" ca="1">INDEX(Lookup!$K$2:$K$31,RANDBETWEEN(1,30))</f>
        <v>Hill</v>
      </c>
      <c r="D276" s="16" t="str" cm="1">
        <f t="array" ref="D276" ca="1">INDEX(Lookup!$H$2:$H$4,RANDBETWEEN(1,3))</f>
        <v>Male</v>
      </c>
      <c r="E276" s="16">
        <f t="shared" ca="1" si="56"/>
        <v>22</v>
      </c>
      <c r="F276" s="16" t="str" cm="1">
        <f t="array" ref="F276" ca="1">INDEX(Lookup!$A$2:$A$10,RANDBETWEEN(1,9))</f>
        <v>IT</v>
      </c>
      <c r="G276" s="16" t="str" cm="1">
        <f t="array" ref="G276" ca="1">_xlfn.LET(_xlpm.Roles,_xlfn._xlws.FILTER(Lookup!$P$2:$P$28,Lookup!$O$2:$O$28=F276),INDEX(_xlpm.Roles,RANDBETWEEN(1,ROWS(_xlpm.Roles))))</f>
        <v>IT Support Specialist</v>
      </c>
      <c r="H276" s="16" t="str" cm="1">
        <f t="array" ref="H276" ca="1">INDEX(Lookup!$B$2:$B$7,RANDBETWEEN(1,6))</f>
        <v>Galway</v>
      </c>
      <c r="I276" s="22">
        <f t="shared" ca="1" si="57"/>
        <v>44866</v>
      </c>
      <c r="J276" s="22" t="str">
        <f t="shared" ca="1" si="58"/>
        <v/>
      </c>
      <c r="K276" s="16" t="str">
        <f t="shared" ca="1" si="59"/>
        <v>Active</v>
      </c>
      <c r="L276" s="26">
        <f ca="1">_xlfn.XLOOKUP(G276,Lookup!$P$2:$P$28,Lookup!$Q$2:$Q$28)*(1+MIN(X276*3%,30%))</f>
        <v>52320</v>
      </c>
      <c r="M276" s="24">
        <f t="shared" ca="1" si="69"/>
        <v>4</v>
      </c>
      <c r="N276" s="24">
        <f t="shared" ca="1" si="60"/>
        <v>40</v>
      </c>
      <c r="O276" s="24">
        <f t="shared" ca="1" si="61"/>
        <v>17</v>
      </c>
      <c r="P276" s="24">
        <f t="shared" ca="1" si="62"/>
        <v>59</v>
      </c>
      <c r="Q276" s="16" t="str">
        <f t="shared" ca="1" si="63"/>
        <v>Promoted</v>
      </c>
      <c r="R276" s="16" t="str" cm="1">
        <f t="array" ref="R276" ca="1">INDEX(Lookup!$E$2:$E$6,RANDBETWEEN(1,5))</f>
        <v>High School</v>
      </c>
      <c r="S276" s="16" t="str" cm="1">
        <f t="array" ref="S276" ca="1">INDEX(Lookup!$J$2:$J$11,RANDBETWEEN(1,10))</f>
        <v>Sophia Martin</v>
      </c>
      <c r="T276" s="16" t="str">
        <f t="shared" ca="1" si="64"/>
        <v>david.hill@hranalytics.com</v>
      </c>
      <c r="U276" s="16" t="str">
        <f t="shared" ca="1" si="65"/>
        <v>0853679980</v>
      </c>
      <c r="V276" s="16" t="str" cm="1">
        <f t="array" ref="V276" ca="1">_xlfn.LET(_xlpm.r,RANDBETWEEN(1,100),_xlfn.IFS(_xlpm.r&lt;=70,"Full-Time",_xlpm.r&lt;=85,"Part-Time",_xlpm.r&lt;=95,"Contract",TRUE,"Intern"))</f>
        <v>Full-Time</v>
      </c>
      <c r="W276" s="16" cm="1">
        <f t="array" ref="W276" ca="1">IF(K276&lt;&gt;"Active",0,_xlfn.IFS(M276=5,L276*15%,M276=4,L276*10%,M276=3,L276*5%,M276=2,L276*2%,TRUE,0))</f>
        <v>7848</v>
      </c>
      <c r="X276" s="24">
        <f t="shared" ca="1" si="66"/>
        <v>3</v>
      </c>
      <c r="Y276" s="24">
        <f t="shared" ca="1" si="67"/>
        <v>1</v>
      </c>
    </row>
    <row r="277" spans="1:25">
      <c r="A277" s="16" t="str">
        <f t="shared" si="68"/>
        <v>EMP276</v>
      </c>
      <c r="B277" s="16" t="str" cm="1">
        <f t="array" ref="B277" ca="1">IF(D277="Male",INDEX(Lookup!$L$2:$L$13,RANDBETWEEN(1,12)),IF(D277="Female",INDEX(Lookup!$M$2:$M$13,RANDBETWEEN(1,12)),INDEX(Lookup!$N$2:$N$13,RANDBETWEEN(1,12))))</f>
        <v>Riley</v>
      </c>
      <c r="C277" s="16" t="str" cm="1">
        <f t="array" ref="C277" ca="1">INDEX(Lookup!$K$2:$K$31,RANDBETWEEN(1,30))</f>
        <v>Martin</v>
      </c>
      <c r="D277" s="16" t="str" cm="1">
        <f t="array" ref="D277" ca="1">INDEX(Lookup!$H$2:$H$4,RANDBETWEEN(1,3))</f>
        <v>Other</v>
      </c>
      <c r="E277" s="16">
        <f t="shared" ca="1" si="56"/>
        <v>33</v>
      </c>
      <c r="F277" s="16" t="str" cm="1">
        <f t="array" ref="F277" ca="1">INDEX(Lookup!$A$2:$A$10,RANDBETWEEN(1,9))</f>
        <v>Marketing</v>
      </c>
      <c r="G277" s="16" t="str" cm="1">
        <f t="array" ref="G277" ca="1">_xlfn.LET(_xlpm.Roles,_xlfn._xlws.FILTER(Lookup!$P$2:$P$28,Lookup!$O$2:$O$28=F277),INDEX(_xlpm.Roles,RANDBETWEEN(1,ROWS(_xlpm.Roles))))</f>
        <v>Digital Marketing Specialist</v>
      </c>
      <c r="H277" s="16" t="str" cm="1">
        <f t="array" ref="H277" ca="1">INDEX(Lookup!$B$2:$B$7,RANDBETWEEN(1,6))</f>
        <v>Galway</v>
      </c>
      <c r="I277" s="22">
        <f t="shared" ca="1" si="57"/>
        <v>44695</v>
      </c>
      <c r="J277" s="22">
        <f t="shared" ca="1" si="58"/>
        <v>45464</v>
      </c>
      <c r="K277" s="16" t="str">
        <f t="shared" ca="1" si="59"/>
        <v>Resigned</v>
      </c>
      <c r="L277" s="26">
        <f ca="1">_xlfn.XLOOKUP(G277,Lookup!$P$2:$P$28,Lookup!$Q$2:$Q$28)*(1+MIN(X277*3%,30%))</f>
        <v>53000</v>
      </c>
      <c r="M277" s="24">
        <f t="shared" ca="1" si="69"/>
        <v>5</v>
      </c>
      <c r="N277" s="24">
        <f t="shared" ca="1" si="60"/>
        <v>21</v>
      </c>
      <c r="O277" s="24">
        <f t="shared" ca="1" si="61"/>
        <v>10</v>
      </c>
      <c r="P277" s="24">
        <f t="shared" ca="1" si="62"/>
        <v>23</v>
      </c>
      <c r="Q277" s="16" t="str">
        <f t="shared" ca="1" si="63"/>
        <v>Not Promoted</v>
      </c>
      <c r="R277" s="16" t="str" cm="1">
        <f t="array" ref="R277" ca="1">INDEX(Lookup!$E$2:$E$6,RANDBETWEEN(1,5))</f>
        <v>Master's</v>
      </c>
      <c r="S277" s="16" t="str" cm="1">
        <f t="array" ref="S277" ca="1">INDEX(Lookup!$J$2:$J$11,RANDBETWEEN(1,10))</f>
        <v>Michael Brown</v>
      </c>
      <c r="T277" s="16" t="str">
        <f t="shared" ca="1" si="64"/>
        <v>riley.martin@hranalytics.com</v>
      </c>
      <c r="U277" s="16" t="str">
        <f t="shared" ca="1" si="65"/>
        <v>0854428935</v>
      </c>
      <c r="V277" s="16" t="str" cm="1">
        <f t="array" ref="V277" ca="1">_xlfn.LET(_xlpm.r,RANDBETWEEN(1,100),_xlfn.IFS(_xlpm.r&lt;=70,"Full-Time",_xlpm.r&lt;=85,"Part-Time",_xlpm.r&lt;=95,"Contract",TRUE,"Intern"))</f>
        <v>Full-Time</v>
      </c>
      <c r="W277" s="16" cm="1">
        <f t="array" ref="W277" ca="1">IF(K277&lt;&gt;"Active",0,_xlfn.IFS(M277=5,L277*15%,M277=4,L277*10%,M277=3,L277*5%,M277=2,L277*2%,TRUE,0))</f>
        <v>0</v>
      </c>
      <c r="X277" s="24">
        <f t="shared" ca="1" si="66"/>
        <v>4</v>
      </c>
      <c r="Y277" s="24">
        <f t="shared" ca="1" si="67"/>
        <v>3</v>
      </c>
    </row>
    <row r="278" spans="1:25">
      <c r="A278" s="16" t="str">
        <f t="shared" si="68"/>
        <v>EMP277</v>
      </c>
      <c r="B278" s="16" t="str" cm="1">
        <f t="array" ref="B278" ca="1">IF(D278="Male",INDEX(Lookup!$L$2:$L$13,RANDBETWEEN(1,12)),IF(D278="Female",INDEX(Lookup!$M$2:$M$13,RANDBETWEEN(1,12)),INDEX(Lookup!$N$2:$N$13,RANDBETWEEN(1,12))))</f>
        <v>Robin</v>
      </c>
      <c r="C278" s="16" t="str" cm="1">
        <f t="array" ref="C278" ca="1">INDEX(Lookup!$K$2:$K$31,RANDBETWEEN(1,30))</f>
        <v>Martin</v>
      </c>
      <c r="D278" s="16" t="str" cm="1">
        <f t="array" ref="D278" ca="1">INDEX(Lookup!$H$2:$H$4,RANDBETWEEN(1,3))</f>
        <v>Other</v>
      </c>
      <c r="E278" s="16">
        <f t="shared" ca="1" si="56"/>
        <v>35</v>
      </c>
      <c r="F278" s="16" t="str" cm="1">
        <f t="array" ref="F278" ca="1">INDEX(Lookup!$A$2:$A$10,RANDBETWEEN(1,9))</f>
        <v>IT</v>
      </c>
      <c r="G278" s="16" t="str" cm="1">
        <f t="array" ref="G278" ca="1">_xlfn.LET(_xlpm.Roles,_xlfn._xlws.FILTER(Lookup!$P$2:$P$28,Lookup!$O$2:$O$28=F278),INDEX(_xlpm.Roles,RANDBETWEEN(1,ROWS(_xlpm.Roles))))</f>
        <v>IT Support Specialist</v>
      </c>
      <c r="H278" s="16" t="str" cm="1">
        <f t="array" ref="H278" ca="1">INDEX(Lookup!$B$2:$B$7,RANDBETWEEN(1,6))</f>
        <v>Dublin</v>
      </c>
      <c r="I278" s="22">
        <f t="shared" ca="1" si="57"/>
        <v>43825</v>
      </c>
      <c r="J278" s="22" t="str">
        <f t="shared" ca="1" si="58"/>
        <v/>
      </c>
      <c r="K278" s="16" t="str">
        <f t="shared" ca="1" si="59"/>
        <v>Active</v>
      </c>
      <c r="L278" s="26">
        <f ca="1">_xlfn.XLOOKUP(G278,Lookup!$P$2:$P$28,Lookup!$Q$2:$Q$28)*(1+MIN(X278*3%,30%))</f>
        <v>49440</v>
      </c>
      <c r="M278" s="24">
        <f t="shared" ca="1" si="69"/>
        <v>5</v>
      </c>
      <c r="N278" s="24">
        <f t="shared" ca="1" si="60"/>
        <v>7</v>
      </c>
      <c r="O278" s="24">
        <f t="shared" ca="1" si="61"/>
        <v>9</v>
      </c>
      <c r="P278" s="24">
        <f t="shared" ca="1" si="62"/>
        <v>19</v>
      </c>
      <c r="Q278" s="16" t="str">
        <f t="shared" ca="1" si="63"/>
        <v>Not Promoted</v>
      </c>
      <c r="R278" s="16" t="str" cm="1">
        <f t="array" ref="R278" ca="1">INDEX(Lookup!$E$2:$E$6,RANDBETWEEN(1,5))</f>
        <v>Master's</v>
      </c>
      <c r="S278" s="16" t="str" cm="1">
        <f t="array" ref="S278" ca="1">INDEX(Lookup!$J$2:$J$11,RANDBETWEEN(1,10))</f>
        <v>David Murphy</v>
      </c>
      <c r="T278" s="16" t="str">
        <f t="shared" ca="1" si="64"/>
        <v>robin.martin@hranalytics.com</v>
      </c>
      <c r="U278" s="16" t="str">
        <f t="shared" ca="1" si="65"/>
        <v>0851725666</v>
      </c>
      <c r="V278" s="16" t="str" cm="1">
        <f t="array" ref="V278" ca="1">_xlfn.LET(_xlpm.r,RANDBETWEEN(1,100),_xlfn.IFS(_xlpm.r&lt;=70,"Full-Time",_xlpm.r&lt;=85,"Part-Time",_xlpm.r&lt;=95,"Contract",TRUE,"Intern"))</f>
        <v>Part-Time</v>
      </c>
      <c r="W278" s="16" cm="1">
        <f t="array" ref="W278" ca="1">IF(K278&lt;&gt;"Active",0,_xlfn.IFS(M278=5,L278*15%,M278=4,L278*10%,M278=3,L278*5%,M278=2,L278*2%,TRUE,0))</f>
        <v>2472</v>
      </c>
      <c r="X278" s="24">
        <f t="shared" ca="1" si="66"/>
        <v>6</v>
      </c>
      <c r="Y278" s="24">
        <f t="shared" ca="1" si="67"/>
        <v>3</v>
      </c>
    </row>
    <row r="279" spans="1:25">
      <c r="A279" s="16" t="str">
        <f t="shared" si="68"/>
        <v>EMP278</v>
      </c>
      <c r="B279" s="16" t="str" cm="1">
        <f t="array" ref="B279" ca="1">IF(D279="Male",INDEX(Lookup!$L$2:$L$13,RANDBETWEEN(1,12)),IF(D279="Female",INDEX(Lookup!$M$2:$M$13,RANDBETWEEN(1,12)),INDEX(Lookup!$N$2:$N$13,RANDBETWEEN(1,12))))</f>
        <v>Jack</v>
      </c>
      <c r="C279" s="16" t="str" cm="1">
        <f t="array" ref="C279" ca="1">INDEX(Lookup!$K$2:$K$31,RANDBETWEEN(1,30))</f>
        <v>Taylor</v>
      </c>
      <c r="D279" s="16" t="str" cm="1">
        <f t="array" ref="D279" ca="1">INDEX(Lookup!$H$2:$H$4,RANDBETWEEN(1,3))</f>
        <v>Male</v>
      </c>
      <c r="E279" s="16">
        <f t="shared" ca="1" si="56"/>
        <v>55</v>
      </c>
      <c r="F279" s="16" t="str" cm="1">
        <f t="array" ref="F279" ca="1">INDEX(Lookup!$A$2:$A$10,RANDBETWEEN(1,9))</f>
        <v>Sales</v>
      </c>
      <c r="G279" s="16" t="str" cm="1">
        <f t="array" ref="G279" ca="1">_xlfn.LET(_xlpm.Roles,_xlfn._xlws.FILTER(Lookup!$P$2:$P$28,Lookup!$O$2:$O$28=F279),INDEX(_xlpm.Roles,RANDBETWEEN(1,ROWS(_xlpm.Roles))))</f>
        <v>Sales Executive</v>
      </c>
      <c r="H279" s="16" t="str" cm="1">
        <f t="array" ref="H279" ca="1">INDEX(Lookup!$B$2:$B$7,RANDBETWEEN(1,6))</f>
        <v>Galway</v>
      </c>
      <c r="I279" s="22">
        <f t="shared" ca="1" si="57"/>
        <v>43652</v>
      </c>
      <c r="J279" s="22" t="str">
        <f t="shared" ca="1" si="58"/>
        <v/>
      </c>
      <c r="K279" s="16" t="str">
        <f t="shared" ca="1" si="59"/>
        <v>Active</v>
      </c>
      <c r="L279" s="26">
        <f ca="1">_xlfn.XLOOKUP(G279,Lookup!$P$2:$P$28,Lookup!$Q$2:$Q$28)*(1+MIN(X279*3%,30%))</f>
        <v>49600</v>
      </c>
      <c r="M279" s="24">
        <f t="shared" ca="1" si="69"/>
        <v>1</v>
      </c>
      <c r="N279" s="24">
        <f t="shared" ca="1" si="60"/>
        <v>45</v>
      </c>
      <c r="O279" s="24">
        <f t="shared" ca="1" si="61"/>
        <v>20</v>
      </c>
      <c r="P279" s="24">
        <f t="shared" ca="1" si="62"/>
        <v>26</v>
      </c>
      <c r="Q279" s="16" t="str">
        <f t="shared" ca="1" si="63"/>
        <v>Promoted</v>
      </c>
      <c r="R279" s="16" t="str" cm="1">
        <f t="array" ref="R279" ca="1">INDEX(Lookup!$E$2:$E$6,RANDBETWEEN(1,5))</f>
        <v>Master's</v>
      </c>
      <c r="S279" s="16" t="str" cm="1">
        <f t="array" ref="S279" ca="1">INDEX(Lookup!$J$2:$J$11,RANDBETWEEN(1,10))</f>
        <v>Michael Brown</v>
      </c>
      <c r="T279" s="16" t="str">
        <f t="shared" ca="1" si="64"/>
        <v>jack.taylor@hranalytics.com</v>
      </c>
      <c r="U279" s="16" t="str">
        <f t="shared" ca="1" si="65"/>
        <v>0858627167</v>
      </c>
      <c r="V279" s="16" t="str" cm="1">
        <f t="array" ref="V279" ca="1">_xlfn.LET(_xlpm.r,RANDBETWEEN(1,100),_xlfn.IFS(_xlpm.r&lt;=70,"Full-Time",_xlpm.r&lt;=85,"Part-Time",_xlpm.r&lt;=95,"Contract",TRUE,"Intern"))</f>
        <v>Full-Time</v>
      </c>
      <c r="W279" s="16" cm="1">
        <f t="array" ref="W279" ca="1">IF(K279&lt;&gt;"Active",0,_xlfn.IFS(M279=5,L279*15%,M279=4,L279*10%,M279=3,L279*5%,M279=2,L279*2%,TRUE,0))</f>
        <v>2480</v>
      </c>
      <c r="X279" s="24">
        <f t="shared" ca="1" si="66"/>
        <v>7</v>
      </c>
      <c r="Y279" s="24">
        <f t="shared" ca="1" si="67"/>
        <v>3</v>
      </c>
    </row>
    <row r="280" spans="1:25">
      <c r="A280" s="16" t="str">
        <f t="shared" si="68"/>
        <v>EMP279</v>
      </c>
      <c r="B280" s="16" t="str" cm="1">
        <f t="array" ref="B280" ca="1">IF(D280="Male",INDEX(Lookup!$L$2:$L$13,RANDBETWEEN(1,12)),IF(D280="Female",INDEX(Lookup!$M$2:$M$13,RANDBETWEEN(1,12)),INDEX(Lookup!$N$2:$N$13,RANDBETWEEN(1,12))))</f>
        <v>Isabella</v>
      </c>
      <c r="C280" s="16" t="str" cm="1">
        <f t="array" ref="C280" ca="1">INDEX(Lookup!$K$2:$K$31,RANDBETWEEN(1,30))</f>
        <v>Young</v>
      </c>
      <c r="D280" s="16" t="str" cm="1">
        <f t="array" ref="D280" ca="1">INDEX(Lookup!$H$2:$H$4,RANDBETWEEN(1,3))</f>
        <v>Female</v>
      </c>
      <c r="E280" s="16">
        <f t="shared" ca="1" si="56"/>
        <v>21</v>
      </c>
      <c r="F280" s="16" t="str" cm="1">
        <f t="array" ref="F280" ca="1">INDEX(Lookup!$A$2:$A$10,RANDBETWEEN(1,9))</f>
        <v>Sales</v>
      </c>
      <c r="G280" s="16" t="str" cm="1">
        <f t="array" ref="G280" ca="1">_xlfn.LET(_xlpm.Roles,_xlfn._xlws.FILTER(Lookup!$P$2:$P$28,Lookup!$O$2:$O$28=F280),INDEX(_xlpm.Roles,RANDBETWEEN(1,ROWS(_xlpm.Roles))))</f>
        <v>Account Manager</v>
      </c>
      <c r="H280" s="16" t="str" cm="1">
        <f t="array" ref="H280" ca="1">INDEX(Lookup!$B$2:$B$7,RANDBETWEEN(1,6))</f>
        <v>Cork</v>
      </c>
      <c r="I280" s="22">
        <f t="shared" ca="1" si="57"/>
        <v>44582</v>
      </c>
      <c r="J280" s="22" t="str">
        <f t="shared" ca="1" si="58"/>
        <v/>
      </c>
      <c r="K280" s="16" t="str">
        <f t="shared" ca="1" si="59"/>
        <v>Active</v>
      </c>
      <c r="L280" s="26">
        <f ca="1">_xlfn.XLOOKUP(G280,Lookup!$P$2:$P$28,Lookup!$Q$2:$Q$28)*(1+MIN(X280*3%,30%))</f>
        <v>66550</v>
      </c>
      <c r="M280" s="24">
        <f t="shared" ca="1" si="69"/>
        <v>4</v>
      </c>
      <c r="N280" s="24">
        <f t="shared" ca="1" si="60"/>
        <v>17</v>
      </c>
      <c r="O280" s="24">
        <f t="shared" ca="1" si="61"/>
        <v>15</v>
      </c>
      <c r="P280" s="24">
        <f t="shared" ca="1" si="62"/>
        <v>17</v>
      </c>
      <c r="Q280" s="16" t="str">
        <f t="shared" ca="1" si="63"/>
        <v>Promoted</v>
      </c>
      <c r="R280" s="16" t="str" cm="1">
        <f t="array" ref="R280" ca="1">INDEX(Lookup!$E$2:$E$6,RANDBETWEEN(1,5))</f>
        <v>Dipolma</v>
      </c>
      <c r="S280" s="16" t="str" cm="1">
        <f t="array" ref="S280" ca="1">INDEX(Lookup!$J$2:$J$11,RANDBETWEEN(1,10))</f>
        <v>Daniel Kelly</v>
      </c>
      <c r="T280" s="16" t="str">
        <f t="shared" ca="1" si="64"/>
        <v>isabella.young@hranalytics.com</v>
      </c>
      <c r="U280" s="16" t="str">
        <f t="shared" ca="1" si="65"/>
        <v>0848645410</v>
      </c>
      <c r="V280" s="16" t="str" cm="1">
        <f t="array" ref="V280" ca="1">_xlfn.LET(_xlpm.r,RANDBETWEEN(1,100),_xlfn.IFS(_xlpm.r&lt;=70,"Full-Time",_xlpm.r&lt;=85,"Part-Time",_xlpm.r&lt;=95,"Contract",TRUE,"Intern"))</f>
        <v>Full-Time</v>
      </c>
      <c r="W280" s="16" cm="1">
        <f t="array" ref="W280" ca="1">IF(K280&lt;&gt;"Active",0,_xlfn.IFS(M280=5,L280*15%,M280=4,L280*10%,M280=3,L280*5%,M280=2,L280*2%,TRUE,0))</f>
        <v>1331</v>
      </c>
      <c r="X280" s="24">
        <f t="shared" ca="1" si="66"/>
        <v>4</v>
      </c>
      <c r="Y280" s="24">
        <f t="shared" ca="1" si="67"/>
        <v>3</v>
      </c>
    </row>
    <row r="281" spans="1:25">
      <c r="A281" s="16" t="str">
        <f t="shared" si="68"/>
        <v>EMP280</v>
      </c>
      <c r="B281" s="16" t="str" cm="1">
        <f t="array" ref="B281" ca="1">IF(D281="Male",INDEX(Lookup!$L$2:$L$13,RANDBETWEEN(1,12)),IF(D281="Female",INDEX(Lookup!$M$2:$M$13,RANDBETWEEN(1,12)),INDEX(Lookup!$N$2:$N$13,RANDBETWEEN(1,12))))</f>
        <v>Cameron</v>
      </c>
      <c r="C281" s="16" t="str" cm="1">
        <f t="array" ref="C281" ca="1">INDEX(Lookup!$K$2:$K$31,RANDBETWEEN(1,30))</f>
        <v>Wilson</v>
      </c>
      <c r="D281" s="16" t="str" cm="1">
        <f t="array" ref="D281" ca="1">INDEX(Lookup!$H$2:$H$4,RANDBETWEEN(1,3))</f>
        <v>Other</v>
      </c>
      <c r="E281" s="16">
        <f t="shared" ca="1" si="56"/>
        <v>34</v>
      </c>
      <c r="F281" s="16" t="str" cm="1">
        <f t="array" ref="F281" ca="1">INDEX(Lookup!$A$2:$A$10,RANDBETWEEN(1,9))</f>
        <v>Procurement</v>
      </c>
      <c r="G281" s="16" t="str" cm="1">
        <f t="array" ref="G281" ca="1">_xlfn.LET(_xlpm.Roles,_xlfn._xlws.FILTER(Lookup!$P$2:$P$28,Lookup!$O$2:$O$28=F281),INDEX(_xlpm.Roles,RANDBETWEEN(1,ROWS(_xlpm.Roles))))</f>
        <v>Procurement Analyst</v>
      </c>
      <c r="H281" s="16" t="str" cm="1">
        <f t="array" ref="H281" ca="1">INDEX(Lookup!$B$2:$B$7,RANDBETWEEN(1,6))</f>
        <v>Belfast</v>
      </c>
      <c r="I281" s="22">
        <f t="shared" ca="1" si="57"/>
        <v>44332</v>
      </c>
      <c r="J281" s="22" t="str">
        <f t="shared" ca="1" si="58"/>
        <v/>
      </c>
      <c r="K281" s="16" t="str">
        <f t="shared" ca="1" si="59"/>
        <v>Active</v>
      </c>
      <c r="L281" s="26">
        <f ca="1">_xlfn.XLOOKUP(G281,Lookup!$P$2:$P$28,Lookup!$Q$2:$Q$28)*(1+MIN(X281*3%,30%))</f>
        <v>54500</v>
      </c>
      <c r="M281" s="24">
        <f t="shared" ca="1" si="69"/>
        <v>2</v>
      </c>
      <c r="N281" s="24">
        <f t="shared" ca="1" si="60"/>
        <v>27</v>
      </c>
      <c r="O281" s="24">
        <f t="shared" ca="1" si="61"/>
        <v>10</v>
      </c>
      <c r="P281" s="24">
        <f t="shared" ca="1" si="62"/>
        <v>19</v>
      </c>
      <c r="Q281" s="16" t="str">
        <f t="shared" ca="1" si="63"/>
        <v>Promoted</v>
      </c>
      <c r="R281" s="16" t="str" cm="1">
        <f t="array" ref="R281" ca="1">INDEX(Lookup!$E$2:$E$6,RANDBETWEEN(1,5))</f>
        <v>High School</v>
      </c>
      <c r="S281" s="16" t="str" cm="1">
        <f t="array" ref="S281" ca="1">INDEX(Lookup!$J$2:$J$11,RANDBETWEEN(1,10))</f>
        <v>David Murphy</v>
      </c>
      <c r="T281" s="16" t="str">
        <f t="shared" ca="1" si="64"/>
        <v>cameron.wilson@hranalytics.com</v>
      </c>
      <c r="U281" s="16" t="str">
        <f t="shared" ca="1" si="65"/>
        <v>0883139604</v>
      </c>
      <c r="V281" s="16" t="str" cm="1">
        <f t="array" ref="V281" ca="1">_xlfn.LET(_xlpm.r,RANDBETWEEN(1,100),_xlfn.IFS(_xlpm.r&lt;=70,"Full-Time",_xlpm.r&lt;=85,"Part-Time",_xlpm.r&lt;=95,"Contract",TRUE,"Intern"))</f>
        <v>Full-Time</v>
      </c>
      <c r="W281" s="16" cm="1">
        <f t="array" ref="W281" ca="1">IF(K281&lt;&gt;"Active",0,_xlfn.IFS(M281=5,L281*15%,M281=4,L281*10%,M281=3,L281*5%,M281=2,L281*2%,TRUE,0))</f>
        <v>5450</v>
      </c>
      <c r="X281" s="24">
        <f t="shared" ca="1" si="66"/>
        <v>5</v>
      </c>
      <c r="Y281" s="24">
        <f t="shared" ca="1" si="67"/>
        <v>2</v>
      </c>
    </row>
    <row r="282" spans="1:25">
      <c r="A282" s="16" t="str">
        <f t="shared" si="68"/>
        <v>EMP281</v>
      </c>
      <c r="B282" s="16" t="str" cm="1">
        <f t="array" ref="B282" ca="1">IF(D282="Male",INDEX(Lookup!$L$2:$L$13,RANDBETWEEN(1,12)),IF(D282="Female",INDEX(Lookup!$M$2:$M$13,RANDBETWEEN(1,12)),INDEX(Lookup!$N$2:$N$13,RANDBETWEEN(1,12))))</f>
        <v>Emily</v>
      </c>
      <c r="C282" s="16" t="str" cm="1">
        <f t="array" ref="C282" ca="1">INDEX(Lookup!$K$2:$K$31,RANDBETWEEN(1,30))</f>
        <v>Turner</v>
      </c>
      <c r="D282" s="16" t="str" cm="1">
        <f t="array" ref="D282" ca="1">INDEX(Lookup!$H$2:$H$4,RANDBETWEEN(1,3))</f>
        <v>Female</v>
      </c>
      <c r="E282" s="16">
        <f t="shared" ca="1" si="56"/>
        <v>28</v>
      </c>
      <c r="F282" s="16" t="str" cm="1">
        <f t="array" ref="F282" ca="1">INDEX(Lookup!$A$2:$A$10,RANDBETWEEN(1,9))</f>
        <v>Finance</v>
      </c>
      <c r="G282" s="16" t="str" cm="1">
        <f t="array" ref="G282" ca="1">_xlfn.LET(_xlpm.Roles,_xlfn._xlws.FILTER(Lookup!$P$2:$P$28,Lookup!$O$2:$O$28=F282),INDEX(_xlpm.Roles,RANDBETWEEN(1,ROWS(_xlpm.Roles))))</f>
        <v>Accountant</v>
      </c>
      <c r="H282" s="16" t="str" cm="1">
        <f t="array" ref="H282" ca="1">INDEX(Lookup!$B$2:$B$7,RANDBETWEEN(1,6))</f>
        <v>Waterford</v>
      </c>
      <c r="I282" s="22">
        <f t="shared" ca="1" si="57"/>
        <v>45895</v>
      </c>
      <c r="J282" s="22" t="str">
        <f t="shared" ca="1" si="58"/>
        <v/>
      </c>
      <c r="K282" s="16" t="str">
        <f t="shared" ca="1" si="59"/>
        <v>Active</v>
      </c>
      <c r="L282" s="26">
        <f ca="1">_xlfn.XLOOKUP(G282,Lookup!$P$2:$P$28,Lookup!$Q$2:$Q$28)*(1+MIN(X282*3%,30%))</f>
        <v>51500</v>
      </c>
      <c r="M282" s="24">
        <f t="shared" ca="1" si="69"/>
        <v>3</v>
      </c>
      <c r="N282" s="24">
        <f t="shared" ca="1" si="60"/>
        <v>55</v>
      </c>
      <c r="O282" s="24">
        <f t="shared" ca="1" si="61"/>
        <v>20</v>
      </c>
      <c r="P282" s="24">
        <f t="shared" ca="1" si="62"/>
        <v>3</v>
      </c>
      <c r="Q282" s="16" t="str">
        <f t="shared" ca="1" si="63"/>
        <v>Not Promoted</v>
      </c>
      <c r="R282" s="16" t="str" cm="1">
        <f t="array" ref="R282" ca="1">INDEX(Lookup!$E$2:$E$6,RANDBETWEEN(1,5))</f>
        <v>Dipolma</v>
      </c>
      <c r="S282" s="16" t="str" cm="1">
        <f t="array" ref="S282" ca="1">INDEX(Lookup!$J$2:$J$11,RANDBETWEEN(1,10))</f>
        <v>Olivia Smith</v>
      </c>
      <c r="T282" s="16" t="str">
        <f t="shared" ca="1" si="64"/>
        <v>emily.turner@hranalytics.com</v>
      </c>
      <c r="U282" s="16" t="str">
        <f t="shared" ca="1" si="65"/>
        <v>0869386492</v>
      </c>
      <c r="V282" s="16" t="str" cm="1">
        <f t="array" ref="V282" ca="1">_xlfn.LET(_xlpm.r,RANDBETWEEN(1,100),_xlfn.IFS(_xlpm.r&lt;=70,"Full-Time",_xlpm.r&lt;=85,"Part-Time",_xlpm.r&lt;=95,"Contract",TRUE,"Intern"))</f>
        <v>Full-Time</v>
      </c>
      <c r="W282" s="16" cm="1">
        <f t="array" ref="W282" ca="1">IF(K282&lt;&gt;"Active",0,_xlfn.IFS(M282=5,L282*15%,M282=4,L282*10%,M282=3,L282*5%,M282=2,L282*2%,TRUE,0))</f>
        <v>5150</v>
      </c>
      <c r="X282" s="24">
        <f t="shared" ca="1" si="66"/>
        <v>1</v>
      </c>
      <c r="Y282" s="24">
        <f t="shared" ca="1" si="67"/>
        <v>2</v>
      </c>
    </row>
    <row r="283" spans="1:25">
      <c r="A283" s="16" t="str">
        <f t="shared" si="68"/>
        <v>EMP282</v>
      </c>
      <c r="B283" s="16" t="str" cm="1">
        <f t="array" ref="B283" ca="1">IF(D283="Male",INDEX(Lookup!$L$2:$L$13,RANDBETWEEN(1,12)),IF(D283="Female",INDEX(Lookup!$M$2:$M$13,RANDBETWEEN(1,12)),INDEX(Lookup!$N$2:$N$13,RANDBETWEEN(1,12))))</f>
        <v>John</v>
      </c>
      <c r="C283" s="16" t="str" cm="1">
        <f t="array" ref="C283" ca="1">INDEX(Lookup!$K$2:$K$31,RANDBETWEEN(1,30))</f>
        <v>Brown</v>
      </c>
      <c r="D283" s="16" t="str" cm="1">
        <f t="array" ref="D283" ca="1">INDEX(Lookup!$H$2:$H$4,RANDBETWEEN(1,3))</f>
        <v>Male</v>
      </c>
      <c r="E283" s="16">
        <f t="shared" ca="1" si="56"/>
        <v>28</v>
      </c>
      <c r="F283" s="16" t="str" cm="1">
        <f t="array" ref="F283" ca="1">INDEX(Lookup!$A$2:$A$10,RANDBETWEEN(1,9))</f>
        <v>Customer Support</v>
      </c>
      <c r="G283" s="16" t="str" cm="1">
        <f t="array" ref="G283" ca="1">_xlfn.LET(_xlpm.Roles,_xlfn._xlws.FILTER(Lookup!$P$2:$P$28,Lookup!$O$2:$O$28=F283),INDEX(_xlpm.Roles,RANDBETWEEN(1,ROWS(_xlpm.Roles))))</f>
        <v>Customer Success Specialist</v>
      </c>
      <c r="H283" s="16" t="str" cm="1">
        <f t="array" ref="H283" ca="1">INDEX(Lookup!$B$2:$B$7,RANDBETWEEN(1,6))</f>
        <v>Belfast</v>
      </c>
      <c r="I283" s="22">
        <f t="shared" ca="1" si="57"/>
        <v>45917</v>
      </c>
      <c r="J283" s="22" t="str">
        <f t="shared" ca="1" si="58"/>
        <v/>
      </c>
      <c r="K283" s="16" t="str">
        <f t="shared" ca="1" si="59"/>
        <v>Active</v>
      </c>
      <c r="L283" s="26">
        <f ca="1">_xlfn.XLOOKUP(G283,Lookup!$P$2:$P$28,Lookup!$Q$2:$Q$28)*(1+MIN(X283*3%,30%))</f>
        <v>43260</v>
      </c>
      <c r="M283" s="24">
        <f t="shared" ca="1" si="69"/>
        <v>1</v>
      </c>
      <c r="N283" s="24">
        <f t="shared" ca="1" si="60"/>
        <v>23</v>
      </c>
      <c r="O283" s="24">
        <f t="shared" ca="1" si="61"/>
        <v>0</v>
      </c>
      <c r="P283" s="24">
        <f t="shared" ca="1" si="62"/>
        <v>47</v>
      </c>
      <c r="Q283" s="16" t="str">
        <f t="shared" ca="1" si="63"/>
        <v>Not Promoted</v>
      </c>
      <c r="R283" s="16" t="str" cm="1">
        <f t="array" ref="R283" ca="1">INDEX(Lookup!$E$2:$E$6,RANDBETWEEN(1,5))</f>
        <v>PhD</v>
      </c>
      <c r="S283" s="16" t="str" cm="1">
        <f t="array" ref="S283" ca="1">INDEX(Lookup!$J$2:$J$11,RANDBETWEEN(1,10))</f>
        <v>Olivia Smith</v>
      </c>
      <c r="T283" s="16" t="str">
        <f t="shared" ca="1" si="64"/>
        <v>john.brown@hranalytics.com</v>
      </c>
      <c r="U283" s="16" t="str">
        <f t="shared" ca="1" si="65"/>
        <v>0898249744</v>
      </c>
      <c r="V283" s="16" t="str" cm="1">
        <f t="array" ref="V283" ca="1">_xlfn.LET(_xlpm.r,RANDBETWEEN(1,100),_xlfn.IFS(_xlpm.r&lt;=70,"Full-Time",_xlpm.r&lt;=85,"Part-Time",_xlpm.r&lt;=95,"Contract",TRUE,"Intern"))</f>
        <v>Full-Time</v>
      </c>
      <c r="W283" s="16" cm="1">
        <f t="array" ref="W283" ca="1">IF(K283&lt;&gt;"Active",0,_xlfn.IFS(M283=5,L283*15%,M283=4,L283*10%,M283=3,L283*5%,M283=2,L283*2%,TRUE,0))</f>
        <v>6489</v>
      </c>
      <c r="X283" s="24">
        <f t="shared" ca="1" si="66"/>
        <v>0</v>
      </c>
      <c r="Y283" s="24">
        <f t="shared" ca="1" si="67"/>
        <v>1</v>
      </c>
    </row>
    <row r="284" spans="1:25">
      <c r="A284" s="16" t="str">
        <f t="shared" si="68"/>
        <v>EMP283</v>
      </c>
      <c r="B284" s="16" t="str" cm="1">
        <f t="array" ref="B284" ca="1">IF(D284="Male",INDEX(Lookup!$L$2:$L$13,RANDBETWEEN(1,12)),IF(D284="Female",INDEX(Lookup!$M$2:$M$13,RANDBETWEEN(1,12)),INDEX(Lookup!$N$2:$N$13,RANDBETWEEN(1,12))))</f>
        <v>Avery</v>
      </c>
      <c r="C284" s="16" t="str" cm="1">
        <f t="array" ref="C284" ca="1">INDEX(Lookup!$K$2:$K$31,RANDBETWEEN(1,30))</f>
        <v>Edwards</v>
      </c>
      <c r="D284" s="16" t="str" cm="1">
        <f t="array" ref="D284" ca="1">INDEX(Lookup!$H$2:$H$4,RANDBETWEEN(1,3))</f>
        <v>Other</v>
      </c>
      <c r="E284" s="16">
        <f t="shared" ca="1" si="56"/>
        <v>48</v>
      </c>
      <c r="F284" s="16" t="str" cm="1">
        <f t="array" ref="F284" ca="1">INDEX(Lookup!$A$2:$A$10,RANDBETWEEN(1,9))</f>
        <v>Legal</v>
      </c>
      <c r="G284" s="16" t="str" cm="1">
        <f t="array" ref="G284" ca="1">_xlfn.LET(_xlpm.Roles,_xlfn._xlws.FILTER(Lookup!$P$2:$P$28,Lookup!$O$2:$O$28=F284),INDEX(_xlpm.Roles,RANDBETWEEN(1,ROWS(_xlpm.Roles))))</f>
        <v>Legal Executive</v>
      </c>
      <c r="H284" s="16" t="str" cm="1">
        <f t="array" ref="H284" ca="1">INDEX(Lookup!$B$2:$B$7,RANDBETWEEN(1,6))</f>
        <v>Cork</v>
      </c>
      <c r="I284" s="22">
        <f t="shared" ca="1" si="57"/>
        <v>44096</v>
      </c>
      <c r="J284" s="22" t="str">
        <f t="shared" ca="1" si="58"/>
        <v/>
      </c>
      <c r="K284" s="16" t="str">
        <f t="shared" ca="1" si="59"/>
        <v>Active</v>
      </c>
      <c r="L284" s="26">
        <f ca="1">_xlfn.XLOOKUP(G284,Lookup!$P$2:$P$28,Lookup!$Q$2:$Q$28)*(1+MIN(X284*3%,30%))</f>
        <v>59800</v>
      </c>
      <c r="M284" s="24">
        <f t="shared" ca="1" si="69"/>
        <v>3</v>
      </c>
      <c r="N284" s="24">
        <f t="shared" ca="1" si="60"/>
        <v>71</v>
      </c>
      <c r="O284" s="24">
        <f t="shared" ca="1" si="61"/>
        <v>16</v>
      </c>
      <c r="P284" s="24">
        <f t="shared" ca="1" si="62"/>
        <v>51</v>
      </c>
      <c r="Q284" s="16" t="str">
        <f t="shared" ca="1" si="63"/>
        <v>Not Promoted</v>
      </c>
      <c r="R284" s="16" t="str" cm="1">
        <f t="array" ref="R284" ca="1">INDEX(Lookup!$E$2:$E$6,RANDBETWEEN(1,5))</f>
        <v>PhD</v>
      </c>
      <c r="S284" s="16" t="str" cm="1">
        <f t="array" ref="S284" ca="1">INDEX(Lookup!$J$2:$J$11,RANDBETWEEN(1,10))</f>
        <v>David Murphy</v>
      </c>
      <c r="T284" s="16" t="str">
        <f t="shared" ca="1" si="64"/>
        <v>avery.edwards@hranalytics.com</v>
      </c>
      <c r="U284" s="16" t="str">
        <f t="shared" ca="1" si="65"/>
        <v>0873702211</v>
      </c>
      <c r="V284" s="16" t="str" cm="1">
        <f t="array" ref="V284" ca="1">_xlfn.LET(_xlpm.r,RANDBETWEEN(1,100),_xlfn.IFS(_xlpm.r&lt;=70,"Full-Time",_xlpm.r&lt;=85,"Part-Time",_xlpm.r&lt;=95,"Contract",TRUE,"Intern"))</f>
        <v>Full-Time</v>
      </c>
      <c r="W284" s="16" cm="1">
        <f t="array" ref="W284" ca="1">IF(K284&lt;&gt;"Active",0,_xlfn.IFS(M284=5,L284*15%,M284=4,L284*10%,M284=3,L284*5%,M284=2,L284*2%,TRUE,0))</f>
        <v>0</v>
      </c>
      <c r="X284" s="24">
        <f t="shared" ca="1" si="66"/>
        <v>5</v>
      </c>
      <c r="Y284" s="24">
        <f t="shared" ca="1" si="67"/>
        <v>2</v>
      </c>
    </row>
    <row r="285" spans="1:25">
      <c r="A285" s="16" t="str">
        <f t="shared" si="68"/>
        <v>EMP284</v>
      </c>
      <c r="B285" s="16" t="str" cm="1">
        <f t="array" ref="B285" ca="1">IF(D285="Male",INDEX(Lookup!$L$2:$L$13,RANDBETWEEN(1,12)),IF(D285="Female",INDEX(Lookup!$M$2:$M$13,RANDBETWEEN(1,12)),INDEX(Lookup!$N$2:$N$13,RANDBETWEEN(1,12))))</f>
        <v>Taylor</v>
      </c>
      <c r="C285" s="16" t="str" cm="1">
        <f t="array" ref="C285" ca="1">INDEX(Lookup!$K$2:$K$31,RANDBETWEEN(1,30))</f>
        <v>Parker</v>
      </c>
      <c r="D285" s="16" t="str" cm="1">
        <f t="array" ref="D285" ca="1">INDEX(Lookup!$H$2:$H$4,RANDBETWEEN(1,3))</f>
        <v>Other</v>
      </c>
      <c r="E285" s="16">
        <f t="shared" ca="1" si="56"/>
        <v>34</v>
      </c>
      <c r="F285" s="16" t="str" cm="1">
        <f t="array" ref="F285" ca="1">INDEX(Lookup!$A$2:$A$10,RANDBETWEEN(1,9))</f>
        <v>Marketing</v>
      </c>
      <c r="G285" s="16" t="str" cm="1">
        <f t="array" ref="G285" ca="1">_xlfn.LET(_xlpm.Roles,_xlfn._xlws.FILTER(Lookup!$P$2:$P$28,Lookup!$O$2:$O$28=F285),INDEX(_xlpm.Roles,RANDBETWEEN(1,ROWS(_xlpm.Roles))))</f>
        <v>Digital Marketing Specialist</v>
      </c>
      <c r="H285" s="16" t="str" cm="1">
        <f t="array" ref="H285" ca="1">INDEX(Lookup!$B$2:$B$7,RANDBETWEEN(1,6))</f>
        <v>Waterford</v>
      </c>
      <c r="I285" s="22">
        <f t="shared" ca="1" si="57"/>
        <v>44372</v>
      </c>
      <c r="J285" s="22" t="str">
        <f t="shared" ca="1" si="58"/>
        <v/>
      </c>
      <c r="K285" s="16" t="str">
        <f t="shared" ca="1" si="59"/>
        <v>Active</v>
      </c>
      <c r="L285" s="26">
        <f ca="1">_xlfn.XLOOKUP(G285,Lookup!$P$2:$P$28,Lookup!$Q$2:$Q$28)*(1+MIN(X285*3%,30%))</f>
        <v>60500</v>
      </c>
      <c r="M285" s="24">
        <f t="shared" ca="1" si="69"/>
        <v>4</v>
      </c>
      <c r="N285" s="24">
        <f t="shared" ca="1" si="60"/>
        <v>1</v>
      </c>
      <c r="O285" s="24">
        <f t="shared" ca="1" si="61"/>
        <v>7</v>
      </c>
      <c r="P285" s="24">
        <f t="shared" ca="1" si="62"/>
        <v>23</v>
      </c>
      <c r="Q285" s="16" t="str">
        <f t="shared" ca="1" si="63"/>
        <v>Promoted</v>
      </c>
      <c r="R285" s="16" t="str" cm="1">
        <f t="array" ref="R285" ca="1">INDEX(Lookup!$E$2:$E$6,RANDBETWEEN(1,5))</f>
        <v>High School</v>
      </c>
      <c r="S285" s="16" t="str" cm="1">
        <f t="array" ref="S285" ca="1">INDEX(Lookup!$J$2:$J$11,RANDBETWEEN(1,10))</f>
        <v>Emma Wilson</v>
      </c>
      <c r="T285" s="16" t="str">
        <f t="shared" ca="1" si="64"/>
        <v>taylor.parker@hranalytics.com</v>
      </c>
      <c r="U285" s="16" t="str">
        <f t="shared" ca="1" si="65"/>
        <v>0875202790</v>
      </c>
      <c r="V285" s="16" t="str" cm="1">
        <f t="array" ref="V285" ca="1">_xlfn.LET(_xlpm.r,RANDBETWEEN(1,100),_xlfn.IFS(_xlpm.r&lt;=70,"Full-Time",_xlpm.r&lt;=85,"Part-Time",_xlpm.r&lt;=95,"Contract",TRUE,"Intern"))</f>
        <v>Contract</v>
      </c>
      <c r="W285" s="16" cm="1">
        <f t="array" ref="W285" ca="1">IF(K285&lt;&gt;"Active",0,_xlfn.IFS(M285=5,L285*15%,M285=4,L285*10%,M285=3,L285*5%,M285=2,L285*2%,TRUE,0))</f>
        <v>1210</v>
      </c>
      <c r="X285" s="24">
        <f t="shared" ca="1" si="66"/>
        <v>5</v>
      </c>
      <c r="Y285" s="24">
        <f t="shared" ca="1" si="67"/>
        <v>3</v>
      </c>
    </row>
    <row r="286" spans="1:25">
      <c r="A286" s="16" t="str">
        <f t="shared" si="68"/>
        <v>EMP285</v>
      </c>
      <c r="B286" s="16" t="str" cm="1">
        <f t="array" ref="B286" ca="1">IF(D286="Male",INDEX(Lookup!$L$2:$L$13,RANDBETWEEN(1,12)),IF(D286="Female",INDEX(Lookup!$M$2:$M$13,RANDBETWEEN(1,12)),INDEX(Lookup!$N$2:$N$13,RANDBETWEEN(1,12))))</f>
        <v>Charlotte</v>
      </c>
      <c r="C286" s="16" t="str" cm="1">
        <f t="array" ref="C286" ca="1">INDEX(Lookup!$K$2:$K$31,RANDBETWEEN(1,30))</f>
        <v>Smith</v>
      </c>
      <c r="D286" s="16" t="str" cm="1">
        <f t="array" ref="D286" ca="1">INDEX(Lookup!$H$2:$H$4,RANDBETWEEN(1,3))</f>
        <v>Female</v>
      </c>
      <c r="E286" s="16">
        <f t="shared" ca="1" si="56"/>
        <v>32</v>
      </c>
      <c r="F286" s="16" t="str" cm="1">
        <f t="array" ref="F286" ca="1">INDEX(Lookup!$A$2:$A$10,RANDBETWEEN(1,9))</f>
        <v>Customer Support</v>
      </c>
      <c r="G286" s="16" t="str" cm="1">
        <f t="array" ref="G286" ca="1">_xlfn.LET(_xlpm.Roles,_xlfn._xlws.FILTER(Lookup!$P$2:$P$28,Lookup!$O$2:$O$28=F286),INDEX(_xlpm.Roles,RANDBETWEEN(1,ROWS(_xlpm.Roles))))</f>
        <v>Customer Success Specialist</v>
      </c>
      <c r="H286" s="16" t="str" cm="1">
        <f t="array" ref="H286" ca="1">INDEX(Lookup!$B$2:$B$7,RANDBETWEEN(1,6))</f>
        <v>Belfast</v>
      </c>
      <c r="I286" s="22">
        <f t="shared" ca="1" si="57"/>
        <v>43458</v>
      </c>
      <c r="J286" s="22">
        <f t="shared" ca="1" si="58"/>
        <v>45175</v>
      </c>
      <c r="K286" s="16" t="str">
        <f t="shared" ca="1" si="59"/>
        <v>Resigned</v>
      </c>
      <c r="L286" s="26">
        <f ca="1">_xlfn.XLOOKUP(G286,Lookup!$P$2:$P$28,Lookup!$Q$2:$Q$28)*(1+MIN(X286*3%,30%))</f>
        <v>50820</v>
      </c>
      <c r="M286" s="24">
        <f t="shared" ca="1" si="69"/>
        <v>5</v>
      </c>
      <c r="N286" s="24">
        <f t="shared" ca="1" si="60"/>
        <v>12</v>
      </c>
      <c r="O286" s="24">
        <f t="shared" ca="1" si="61"/>
        <v>6</v>
      </c>
      <c r="P286" s="24">
        <f t="shared" ca="1" si="62"/>
        <v>60</v>
      </c>
      <c r="Q286" s="16" t="str">
        <f t="shared" ca="1" si="63"/>
        <v>Promoted</v>
      </c>
      <c r="R286" s="16" t="str" cm="1">
        <f t="array" ref="R286" ca="1">INDEX(Lookup!$E$2:$E$6,RANDBETWEEN(1,5))</f>
        <v>PhD</v>
      </c>
      <c r="S286" s="16" t="str" cm="1">
        <f t="array" ref="S286" ca="1">INDEX(Lookup!$J$2:$J$11,RANDBETWEEN(1,10))</f>
        <v>Michael Brown</v>
      </c>
      <c r="T286" s="16" t="str">
        <f t="shared" ca="1" si="64"/>
        <v>charlotte.smith@hranalytics.com</v>
      </c>
      <c r="U286" s="16" t="str">
        <f t="shared" ca="1" si="65"/>
        <v>0867024470</v>
      </c>
      <c r="V286" s="16" t="str" cm="1">
        <f t="array" ref="V286" ca="1">_xlfn.LET(_xlpm.r,RANDBETWEEN(1,100),_xlfn.IFS(_xlpm.r&lt;=70,"Full-Time",_xlpm.r&lt;=85,"Part-Time",_xlpm.r&lt;=95,"Contract",TRUE,"Intern"))</f>
        <v>Contract</v>
      </c>
      <c r="W286" s="16" cm="1">
        <f t="array" ref="W286" ca="1">IF(K286&lt;&gt;"Active",0,_xlfn.IFS(M286=5,L286*15%,M286=4,L286*10%,M286=3,L286*5%,M286=2,L286*2%,TRUE,0))</f>
        <v>5082</v>
      </c>
      <c r="X286" s="24">
        <f t="shared" ca="1" si="66"/>
        <v>7</v>
      </c>
      <c r="Y286" s="24">
        <f t="shared" ca="1" si="67"/>
        <v>1</v>
      </c>
    </row>
    <row r="287" spans="1:25">
      <c r="A287" s="16" t="str">
        <f t="shared" si="68"/>
        <v>EMP286</v>
      </c>
      <c r="B287" s="16" t="str" cm="1">
        <f t="array" ref="B287" ca="1">IF(D287="Male",INDEX(Lookup!$L$2:$L$13,RANDBETWEEN(1,12)),IF(D287="Female",INDEX(Lookup!$M$2:$M$13,RANDBETWEEN(1,12)),INDEX(Lookup!$N$2:$N$13,RANDBETWEEN(1,12))))</f>
        <v>Grace</v>
      </c>
      <c r="C287" s="16" t="str" cm="1">
        <f t="array" ref="C287" ca="1">INDEX(Lookup!$K$2:$K$31,RANDBETWEEN(1,30))</f>
        <v>Moore</v>
      </c>
      <c r="D287" s="16" t="str" cm="1">
        <f t="array" ref="D287" ca="1">INDEX(Lookup!$H$2:$H$4,RANDBETWEEN(1,3))</f>
        <v>Female</v>
      </c>
      <c r="E287" s="16">
        <f t="shared" ca="1" si="56"/>
        <v>26</v>
      </c>
      <c r="F287" s="16" t="str" cm="1">
        <f t="array" ref="F287" ca="1">INDEX(Lookup!$A$2:$A$10,RANDBETWEEN(1,9))</f>
        <v>HR</v>
      </c>
      <c r="G287" s="16" t="str" cm="1">
        <f t="array" ref="G287" ca="1">_xlfn.LET(_xlpm.Roles,_xlfn._xlws.FILTER(Lookup!$P$2:$P$28,Lookup!$O$2:$O$28=F287),INDEX(_xlpm.Roles,RANDBETWEEN(1,ROWS(_xlpm.Roles))))</f>
        <v>HR Manager</v>
      </c>
      <c r="H287" s="16" t="str" cm="1">
        <f t="array" ref="H287" ca="1">INDEX(Lookup!$B$2:$B$7,RANDBETWEEN(1,6))</f>
        <v>Limerick</v>
      </c>
      <c r="I287" s="22">
        <f t="shared" ca="1" si="57"/>
        <v>45438</v>
      </c>
      <c r="J287" s="22" t="str">
        <f t="shared" ca="1" si="58"/>
        <v/>
      </c>
      <c r="K287" s="16" t="str">
        <f t="shared" ca="1" si="59"/>
        <v>Active</v>
      </c>
      <c r="L287" s="26">
        <f ca="1">_xlfn.XLOOKUP(G287,Lookup!$P$2:$P$28,Lookup!$Q$2:$Q$28)*(1+MIN(X287*3%,30%))</f>
        <v>70850</v>
      </c>
      <c r="M287" s="24">
        <f t="shared" ca="1" si="69"/>
        <v>2</v>
      </c>
      <c r="N287" s="24">
        <f t="shared" ca="1" si="60"/>
        <v>13</v>
      </c>
      <c r="O287" s="24">
        <f t="shared" ca="1" si="61"/>
        <v>16</v>
      </c>
      <c r="P287" s="24">
        <f t="shared" ca="1" si="62"/>
        <v>57</v>
      </c>
      <c r="Q287" s="16" t="str">
        <f t="shared" ca="1" si="63"/>
        <v>Promoted</v>
      </c>
      <c r="R287" s="16" t="str" cm="1">
        <f t="array" ref="R287" ca="1">INDEX(Lookup!$E$2:$E$6,RANDBETWEEN(1,5))</f>
        <v>High School</v>
      </c>
      <c r="S287" s="16" t="str" cm="1">
        <f t="array" ref="S287" ca="1">INDEX(Lookup!$J$2:$J$11,RANDBETWEEN(1,10))</f>
        <v>Liam Byrne</v>
      </c>
      <c r="T287" s="16" t="str">
        <f t="shared" ca="1" si="64"/>
        <v>grace.moore@hranalytics.com</v>
      </c>
      <c r="U287" s="16" t="str">
        <f t="shared" ca="1" si="65"/>
        <v>0844535421</v>
      </c>
      <c r="V287" s="16" t="str" cm="1">
        <f t="array" ref="V287" ca="1">_xlfn.LET(_xlpm.r,RANDBETWEEN(1,100),_xlfn.IFS(_xlpm.r&lt;=70,"Full-Time",_xlpm.r&lt;=85,"Part-Time",_xlpm.r&lt;=95,"Contract",TRUE,"Intern"))</f>
        <v>Contract</v>
      </c>
      <c r="W287" s="16" cm="1">
        <f t="array" ref="W287" ca="1">IF(K287&lt;&gt;"Active",0,_xlfn.IFS(M287=5,L287*15%,M287=4,L287*10%,M287=3,L287*5%,M287=2,L287*2%,TRUE,0))</f>
        <v>1417</v>
      </c>
      <c r="X287" s="24">
        <f t="shared" ca="1" si="66"/>
        <v>2</v>
      </c>
      <c r="Y287" s="24">
        <f t="shared" ca="1" si="67"/>
        <v>3</v>
      </c>
    </row>
    <row r="288" spans="1:25">
      <c r="A288" s="16" t="str">
        <f t="shared" si="68"/>
        <v>EMP287</v>
      </c>
      <c r="B288" s="16" t="str" cm="1">
        <f t="array" ref="B288" ca="1">IF(D288="Male",INDEX(Lookup!$L$2:$L$13,RANDBETWEEN(1,12)),IF(D288="Female",INDEX(Lookup!$M$2:$M$13,RANDBETWEEN(1,12)),INDEX(Lookup!$N$2:$N$13,RANDBETWEEN(1,12))))</f>
        <v>Charlotte</v>
      </c>
      <c r="C288" s="16" t="str" cm="1">
        <f t="array" ref="C288" ca="1">INDEX(Lookup!$K$2:$K$31,RANDBETWEEN(1,30))</f>
        <v>Adams</v>
      </c>
      <c r="D288" s="16" t="str" cm="1">
        <f t="array" ref="D288" ca="1">INDEX(Lookup!$H$2:$H$4,RANDBETWEEN(1,3))</f>
        <v>Female</v>
      </c>
      <c r="E288" s="16">
        <f t="shared" ca="1" si="56"/>
        <v>47</v>
      </c>
      <c r="F288" s="16" t="str" cm="1">
        <f t="array" ref="F288" ca="1">INDEX(Lookup!$A$2:$A$10,RANDBETWEEN(1,9))</f>
        <v>Marketing</v>
      </c>
      <c r="G288" s="16" t="str" cm="1">
        <f t="array" ref="G288" ca="1">_xlfn.LET(_xlpm.Roles,_xlfn._xlws.FILTER(Lookup!$P$2:$P$28,Lookup!$O$2:$O$28=F288),INDEX(_xlpm.Roles,RANDBETWEEN(1,ROWS(_xlpm.Roles))))</f>
        <v>Digital Marketing Specialist</v>
      </c>
      <c r="H288" s="16" t="str" cm="1">
        <f t="array" ref="H288" ca="1">INDEX(Lookup!$B$2:$B$7,RANDBETWEEN(1,6))</f>
        <v>Waterford</v>
      </c>
      <c r="I288" s="22">
        <f t="shared" ca="1" si="57"/>
        <v>44876</v>
      </c>
      <c r="J288" s="22" t="str">
        <f t="shared" ca="1" si="58"/>
        <v/>
      </c>
      <c r="K288" s="16" t="str">
        <f t="shared" ca="1" si="59"/>
        <v>Active</v>
      </c>
      <c r="L288" s="26">
        <f ca="1">_xlfn.XLOOKUP(G288,Lookup!$P$2:$P$28,Lookup!$Q$2:$Q$28)*(1+MIN(X288*3%,30%))</f>
        <v>54500</v>
      </c>
      <c r="M288" s="24">
        <f t="shared" ca="1" si="69"/>
        <v>1</v>
      </c>
      <c r="N288" s="24">
        <f t="shared" ca="1" si="60"/>
        <v>75</v>
      </c>
      <c r="O288" s="24">
        <f t="shared" ca="1" si="61"/>
        <v>0</v>
      </c>
      <c r="P288" s="24">
        <f t="shared" ca="1" si="62"/>
        <v>5</v>
      </c>
      <c r="Q288" s="16" t="str">
        <f t="shared" ca="1" si="63"/>
        <v>Not Promoted</v>
      </c>
      <c r="R288" s="16" t="str" cm="1">
        <f t="array" ref="R288" ca="1">INDEX(Lookup!$E$2:$E$6,RANDBETWEEN(1,5))</f>
        <v>Bachelor's</v>
      </c>
      <c r="S288" s="16" t="str" cm="1">
        <f t="array" ref="S288" ca="1">INDEX(Lookup!$J$2:$J$11,RANDBETWEEN(1,10))</f>
        <v>Michael Brown</v>
      </c>
      <c r="T288" s="16" t="str">
        <f t="shared" ca="1" si="64"/>
        <v>charlotte.adams@hranalytics.com</v>
      </c>
      <c r="U288" s="16" t="str">
        <f t="shared" ca="1" si="65"/>
        <v>0894380238</v>
      </c>
      <c r="V288" s="16" t="str" cm="1">
        <f t="array" ref="V288" ca="1">_xlfn.LET(_xlpm.r,RANDBETWEEN(1,100),_xlfn.IFS(_xlpm.r&lt;=70,"Full-Time",_xlpm.r&lt;=85,"Part-Time",_xlpm.r&lt;=95,"Contract",TRUE,"Intern"))</f>
        <v>Full-Time</v>
      </c>
      <c r="W288" s="16" cm="1">
        <f t="array" ref="W288" ca="1">IF(K288&lt;&gt;"Active",0,_xlfn.IFS(M288=5,L288*15%,M288=4,L288*10%,M288=3,L288*5%,M288=2,L288*2%,TRUE,0))</f>
        <v>0</v>
      </c>
      <c r="X288" s="24">
        <f t="shared" ca="1" si="66"/>
        <v>3</v>
      </c>
      <c r="Y288" s="24">
        <f t="shared" ca="1" si="67"/>
        <v>1</v>
      </c>
    </row>
    <row r="289" spans="1:25">
      <c r="A289" s="16" t="str">
        <f t="shared" si="68"/>
        <v>EMP288</v>
      </c>
      <c r="B289" s="16" t="str" cm="1">
        <f t="array" ref="B289" ca="1">IF(D289="Male",INDEX(Lookup!$L$2:$L$13,RANDBETWEEN(1,12)),IF(D289="Female",INDEX(Lookup!$M$2:$M$13,RANDBETWEEN(1,12)),INDEX(Lookup!$N$2:$N$13,RANDBETWEEN(1,12))))</f>
        <v>Emily</v>
      </c>
      <c r="C289" s="16" t="str" cm="1">
        <f t="array" ref="C289" ca="1">INDEX(Lookup!$K$2:$K$31,RANDBETWEEN(1,30))</f>
        <v>Nelson</v>
      </c>
      <c r="D289" s="16" t="str" cm="1">
        <f t="array" ref="D289" ca="1">INDEX(Lookup!$H$2:$H$4,RANDBETWEEN(1,3))</f>
        <v>Female</v>
      </c>
      <c r="E289" s="16">
        <f t="shared" ca="1" si="56"/>
        <v>55</v>
      </c>
      <c r="F289" s="16" t="str" cm="1">
        <f t="array" ref="F289" ca="1">INDEX(Lookup!$A$2:$A$10,RANDBETWEEN(1,9))</f>
        <v>Procurement</v>
      </c>
      <c r="G289" s="16" t="str" cm="1">
        <f t="array" ref="G289" ca="1">_xlfn.LET(_xlpm.Roles,_xlfn._xlws.FILTER(Lookup!$P$2:$P$28,Lookup!$O$2:$O$28=F289),INDEX(_xlpm.Roles,RANDBETWEEN(1,ROWS(_xlpm.Roles))))</f>
        <v>Procurement Analyst</v>
      </c>
      <c r="H289" s="16" t="str" cm="1">
        <f t="array" ref="H289" ca="1">INDEX(Lookup!$B$2:$B$7,RANDBETWEEN(1,6))</f>
        <v>Cork</v>
      </c>
      <c r="I289" s="22">
        <f t="shared" ca="1" si="57"/>
        <v>45921</v>
      </c>
      <c r="J289" s="22" t="str">
        <f t="shared" ca="1" si="58"/>
        <v/>
      </c>
      <c r="K289" s="16" t="str">
        <f t="shared" ca="1" si="59"/>
        <v>Active</v>
      </c>
      <c r="L289" s="26">
        <f ca="1">_xlfn.XLOOKUP(G289,Lookup!$P$2:$P$28,Lookup!$Q$2:$Q$28)*(1+MIN(X289*3%,30%))</f>
        <v>56000</v>
      </c>
      <c r="M289" s="24">
        <f t="shared" ca="1" si="69"/>
        <v>5</v>
      </c>
      <c r="N289" s="24">
        <f t="shared" ca="1" si="60"/>
        <v>64</v>
      </c>
      <c r="O289" s="24">
        <f t="shared" ca="1" si="61"/>
        <v>1</v>
      </c>
      <c r="P289" s="24">
        <f t="shared" ca="1" si="62"/>
        <v>25</v>
      </c>
      <c r="Q289" s="16" t="str">
        <f t="shared" ca="1" si="63"/>
        <v>Promoted</v>
      </c>
      <c r="R289" s="16" t="str" cm="1">
        <f t="array" ref="R289" ca="1">INDEX(Lookup!$E$2:$E$6,RANDBETWEEN(1,5))</f>
        <v>High School</v>
      </c>
      <c r="S289" s="16" t="str" cm="1">
        <f t="array" ref="S289" ca="1">INDEX(Lookup!$J$2:$J$11,RANDBETWEEN(1,10))</f>
        <v>David Murphy</v>
      </c>
      <c r="T289" s="16" t="str">
        <f t="shared" ca="1" si="64"/>
        <v>emily.nelson@hranalytics.com</v>
      </c>
      <c r="U289" s="16" t="str">
        <f t="shared" ca="1" si="65"/>
        <v>0847199429</v>
      </c>
      <c r="V289" s="16" t="str" cm="1">
        <f t="array" ref="V289" ca="1">_xlfn.LET(_xlpm.r,RANDBETWEEN(1,100),_xlfn.IFS(_xlpm.r&lt;=70,"Full-Time",_xlpm.r&lt;=85,"Part-Time",_xlpm.r&lt;=95,"Contract",TRUE,"Intern"))</f>
        <v>Full-Time</v>
      </c>
      <c r="W289" s="16" cm="1">
        <f t="array" ref="W289" ca="1">IF(K289&lt;&gt;"Active",0,_xlfn.IFS(M289=5,L289*15%,M289=4,L289*10%,M289=3,L289*5%,M289=2,L289*2%,TRUE,0))</f>
        <v>8400</v>
      </c>
      <c r="X289" s="24">
        <f t="shared" ca="1" si="66"/>
        <v>0</v>
      </c>
      <c r="Y289" s="24">
        <f t="shared" ca="1" si="67"/>
        <v>1</v>
      </c>
    </row>
    <row r="290" spans="1:25">
      <c r="A290" s="16" t="str">
        <f t="shared" si="68"/>
        <v>EMP289</v>
      </c>
      <c r="B290" s="16" t="str" cm="1">
        <f t="array" ref="B290" ca="1">IF(D290="Male",INDEX(Lookup!$L$2:$L$13,RANDBETWEEN(1,12)),IF(D290="Female",INDEX(Lookup!$M$2:$M$13,RANDBETWEEN(1,12)),INDEX(Lookup!$N$2:$N$13,RANDBETWEEN(1,12))))</f>
        <v>Jamie</v>
      </c>
      <c r="C290" s="16" t="str" cm="1">
        <f t="array" ref="C290" ca="1">INDEX(Lookup!$K$2:$K$31,RANDBETWEEN(1,30))</f>
        <v>Lewis</v>
      </c>
      <c r="D290" s="16" t="str" cm="1">
        <f t="array" ref="D290" ca="1">INDEX(Lookup!$H$2:$H$4,RANDBETWEEN(1,3))</f>
        <v>Other</v>
      </c>
      <c r="E290" s="16">
        <f t="shared" ca="1" si="56"/>
        <v>47</v>
      </c>
      <c r="F290" s="16" t="str" cm="1">
        <f t="array" ref="F290" ca="1">INDEX(Lookup!$A$2:$A$10,RANDBETWEEN(1,9))</f>
        <v>Customer Support</v>
      </c>
      <c r="G290" s="16" t="str" cm="1">
        <f t="array" ref="G290" ca="1">_xlfn.LET(_xlpm.Roles,_xlfn._xlws.FILTER(Lookup!$P$2:$P$28,Lookup!$O$2:$O$28=F290),INDEX(_xlpm.Roles,RANDBETWEEN(1,ROWS(_xlpm.Roles))))</f>
        <v>Technical Support Specialist</v>
      </c>
      <c r="H290" s="16" t="str" cm="1">
        <f t="array" ref="H290" ca="1">INDEX(Lookup!$B$2:$B$7,RANDBETWEEN(1,6))</f>
        <v>Dublin</v>
      </c>
      <c r="I290" s="22">
        <f t="shared" ca="1" si="57"/>
        <v>45724</v>
      </c>
      <c r="J290" s="22" t="str">
        <f t="shared" ca="1" si="58"/>
        <v/>
      </c>
      <c r="K290" s="16" t="str">
        <f t="shared" ca="1" si="59"/>
        <v>Active</v>
      </c>
      <c r="L290" s="26">
        <f ca="1">_xlfn.XLOOKUP(G290,Lookup!$P$2:$P$28,Lookup!$Q$2:$Q$28)*(1+MIN(X290*3%,30%))</f>
        <v>47700</v>
      </c>
      <c r="M290" s="24">
        <f t="shared" ca="1" si="69"/>
        <v>3</v>
      </c>
      <c r="N290" s="24">
        <f t="shared" ca="1" si="60"/>
        <v>33</v>
      </c>
      <c r="O290" s="24">
        <f t="shared" ca="1" si="61"/>
        <v>12</v>
      </c>
      <c r="P290" s="24">
        <f t="shared" ca="1" si="62"/>
        <v>11</v>
      </c>
      <c r="Q290" s="16" t="str">
        <f t="shared" ca="1" si="63"/>
        <v>Promoted</v>
      </c>
      <c r="R290" s="16" t="str" cm="1">
        <f t="array" ref="R290" ca="1">INDEX(Lookup!$E$2:$E$6,RANDBETWEEN(1,5))</f>
        <v>Dipolma</v>
      </c>
      <c r="S290" s="16" t="str" cm="1">
        <f t="array" ref="S290" ca="1">INDEX(Lookup!$J$2:$J$11,RANDBETWEEN(1,10))</f>
        <v>Daniel Kelly</v>
      </c>
      <c r="T290" s="16" t="str">
        <f t="shared" ca="1" si="64"/>
        <v>jamie.lewis@hranalytics.com</v>
      </c>
      <c r="U290" s="16" t="str">
        <f t="shared" ca="1" si="65"/>
        <v>0844023035</v>
      </c>
      <c r="V290" s="16" t="str" cm="1">
        <f t="array" ref="V290" ca="1">_xlfn.LET(_xlpm.r,RANDBETWEEN(1,100),_xlfn.IFS(_xlpm.r&lt;=70,"Full-Time",_xlpm.r&lt;=85,"Part-Time",_xlpm.r&lt;=95,"Contract",TRUE,"Intern"))</f>
        <v>Full-Time</v>
      </c>
      <c r="W290" s="16" cm="1">
        <f t="array" ref="W290" ca="1">IF(K290&lt;&gt;"Active",0,_xlfn.IFS(M290=5,L290*15%,M290=4,L290*10%,M290=3,L290*5%,M290=2,L290*2%,TRUE,0))</f>
        <v>2385</v>
      </c>
      <c r="X290" s="24">
        <f t="shared" ca="1" si="66"/>
        <v>1</v>
      </c>
      <c r="Y290" s="24">
        <f t="shared" ca="1" si="67"/>
        <v>3</v>
      </c>
    </row>
    <row r="291" spans="1:25">
      <c r="A291" s="16" t="str">
        <f t="shared" si="68"/>
        <v>EMP290</v>
      </c>
      <c r="B291" s="16" t="str" cm="1">
        <f t="array" ref="B291" ca="1">IF(D291="Male",INDEX(Lookup!$L$2:$L$13,RANDBETWEEN(1,12)),IF(D291="Female",INDEX(Lookup!$M$2:$M$13,RANDBETWEEN(1,12)),INDEX(Lookup!$N$2:$N$13,RANDBETWEEN(1,12))))</f>
        <v>Morgan</v>
      </c>
      <c r="C291" s="16" t="str" cm="1">
        <f t="array" ref="C291" ca="1">INDEX(Lookup!$K$2:$K$31,RANDBETWEEN(1,30))</f>
        <v>Lewis</v>
      </c>
      <c r="D291" s="16" t="str" cm="1">
        <f t="array" ref="D291" ca="1">INDEX(Lookup!$H$2:$H$4,RANDBETWEEN(1,3))</f>
        <v>Other</v>
      </c>
      <c r="E291" s="16">
        <f t="shared" ca="1" si="56"/>
        <v>43</v>
      </c>
      <c r="F291" s="16" t="str" cm="1">
        <f t="array" ref="F291" ca="1">INDEX(Lookup!$A$2:$A$10,RANDBETWEEN(1,9))</f>
        <v>Operations</v>
      </c>
      <c r="G291" s="16" t="str" cm="1">
        <f t="array" ref="G291" ca="1">_xlfn.LET(_xlpm.Roles,_xlfn._xlws.FILTER(Lookup!$P$2:$P$28,Lookup!$O$2:$O$28=F291),INDEX(_xlpm.Roles,RANDBETWEEN(1,ROWS(_xlpm.Roles))))</f>
        <v>Operations Coordinator</v>
      </c>
      <c r="H291" s="16" t="str" cm="1">
        <f t="array" ref="H291" ca="1">INDEX(Lookup!$B$2:$B$7,RANDBETWEEN(1,6))</f>
        <v>Cork</v>
      </c>
      <c r="I291" s="22">
        <f t="shared" ca="1" si="57"/>
        <v>45771</v>
      </c>
      <c r="J291" s="22" t="str">
        <f t="shared" ca="1" si="58"/>
        <v/>
      </c>
      <c r="K291" s="16" t="str">
        <f t="shared" ca="1" si="59"/>
        <v>Active</v>
      </c>
      <c r="L291" s="26">
        <f ca="1">_xlfn.XLOOKUP(G291,Lookup!$P$2:$P$28,Lookup!$Q$2:$Q$28)*(1+MIN(X291*3%,30%))</f>
        <v>54450</v>
      </c>
      <c r="M291" s="24">
        <f t="shared" ca="1" si="69"/>
        <v>1</v>
      </c>
      <c r="N291" s="24">
        <f t="shared" ca="1" si="60"/>
        <v>38</v>
      </c>
      <c r="O291" s="24">
        <f t="shared" ca="1" si="61"/>
        <v>5</v>
      </c>
      <c r="P291" s="24">
        <f t="shared" ca="1" si="62"/>
        <v>46</v>
      </c>
      <c r="Q291" s="16" t="str">
        <f t="shared" ca="1" si="63"/>
        <v>Not Promoted</v>
      </c>
      <c r="R291" s="16" t="str" cm="1">
        <f t="array" ref="R291" ca="1">INDEX(Lookup!$E$2:$E$6,RANDBETWEEN(1,5))</f>
        <v>Dipolma</v>
      </c>
      <c r="S291" s="16" t="str" cm="1">
        <f t="array" ref="S291" ca="1">INDEX(Lookup!$J$2:$J$11,RANDBETWEEN(1,10))</f>
        <v>Sarah Johnson</v>
      </c>
      <c r="T291" s="16" t="str">
        <f t="shared" ca="1" si="64"/>
        <v>morgan.lewis@hranalytics.com</v>
      </c>
      <c r="U291" s="16" t="str">
        <f t="shared" ca="1" si="65"/>
        <v>0848515960</v>
      </c>
      <c r="V291" s="16" t="str" cm="1">
        <f t="array" ref="V291" ca="1">_xlfn.LET(_xlpm.r,RANDBETWEEN(1,100),_xlfn.IFS(_xlpm.r&lt;=70,"Full-Time",_xlpm.r&lt;=85,"Part-Time",_xlpm.r&lt;=95,"Contract",TRUE,"Intern"))</f>
        <v>Intern</v>
      </c>
      <c r="W291" s="16" cm="1">
        <f t="array" ref="W291" ca="1">IF(K291&lt;&gt;"Active",0,_xlfn.IFS(M291=5,L291*15%,M291=4,L291*10%,M291=3,L291*5%,M291=2,L291*2%,TRUE,0))</f>
        <v>0</v>
      </c>
      <c r="X291" s="24">
        <f t="shared" ca="1" si="66"/>
        <v>1</v>
      </c>
      <c r="Y291" s="24">
        <f t="shared" ca="1" si="67"/>
        <v>2</v>
      </c>
    </row>
    <row r="292" spans="1:25">
      <c r="A292" s="16" t="str">
        <f t="shared" si="68"/>
        <v>EMP291</v>
      </c>
      <c r="B292" s="16" t="str" cm="1">
        <f t="array" ref="B292" ca="1">IF(D292="Male",INDEX(Lookup!$L$2:$L$13,RANDBETWEEN(1,12)),IF(D292="Female",INDEX(Lookup!$M$2:$M$13,RANDBETWEEN(1,12)),INDEX(Lookup!$N$2:$N$13,RANDBETWEEN(1,12))))</f>
        <v>Michael</v>
      </c>
      <c r="C292" s="16" t="str" cm="1">
        <f t="array" ref="C292" ca="1">INDEX(Lookup!$K$2:$K$31,RANDBETWEEN(1,30))</f>
        <v>Hall</v>
      </c>
      <c r="D292" s="16" t="str" cm="1">
        <f t="array" ref="D292" ca="1">INDEX(Lookup!$H$2:$H$4,RANDBETWEEN(1,3))</f>
        <v>Male</v>
      </c>
      <c r="E292" s="16">
        <f t="shared" ca="1" si="56"/>
        <v>27</v>
      </c>
      <c r="F292" s="16" t="str" cm="1">
        <f t="array" ref="F292" ca="1">INDEX(Lookup!$A$2:$A$10,RANDBETWEEN(1,9))</f>
        <v>Marketing</v>
      </c>
      <c r="G292" s="16" t="str" cm="1">
        <f t="array" ref="G292" ca="1">_xlfn.LET(_xlpm.Roles,_xlfn._xlws.FILTER(Lookup!$P$2:$P$28,Lookup!$O$2:$O$28=F292),INDEX(_xlpm.Roles,RANDBETWEEN(1,ROWS(_xlpm.Roles))))</f>
        <v>Marketing Executive</v>
      </c>
      <c r="H292" s="16" t="str" cm="1">
        <f t="array" ref="H292" ca="1">INDEX(Lookup!$B$2:$B$7,RANDBETWEEN(1,6))</f>
        <v>Limerick</v>
      </c>
      <c r="I292" s="22">
        <f t="shared" ca="1" si="57"/>
        <v>43513</v>
      </c>
      <c r="J292" s="22" t="str">
        <f t="shared" ca="1" si="58"/>
        <v/>
      </c>
      <c r="K292" s="16" t="str">
        <f t="shared" ca="1" si="59"/>
        <v>Active</v>
      </c>
      <c r="L292" s="26">
        <f ca="1">_xlfn.XLOOKUP(G292,Lookup!$P$2:$P$28,Lookup!$Q$2:$Q$28)*(1+MIN(X292*3%,30%))</f>
        <v>50820</v>
      </c>
      <c r="M292" s="24">
        <f t="shared" ca="1" si="69"/>
        <v>2</v>
      </c>
      <c r="N292" s="24">
        <f t="shared" ca="1" si="60"/>
        <v>3</v>
      </c>
      <c r="O292" s="24">
        <f t="shared" ca="1" si="61"/>
        <v>5</v>
      </c>
      <c r="P292" s="24">
        <f t="shared" ca="1" si="62"/>
        <v>11</v>
      </c>
      <c r="Q292" s="16" t="str">
        <f t="shared" ca="1" si="63"/>
        <v>Promoted</v>
      </c>
      <c r="R292" s="16" t="str" cm="1">
        <f t="array" ref="R292" ca="1">INDEX(Lookup!$E$2:$E$6,RANDBETWEEN(1,5))</f>
        <v>PhD</v>
      </c>
      <c r="S292" s="16" t="str" cm="1">
        <f t="array" ref="S292" ca="1">INDEX(Lookup!$J$2:$J$11,RANDBETWEEN(1,10))</f>
        <v>James Taylor</v>
      </c>
      <c r="T292" s="16" t="str">
        <f t="shared" ca="1" si="64"/>
        <v>michael.hall@hranalytics.com</v>
      </c>
      <c r="U292" s="16" t="str">
        <f t="shared" ca="1" si="65"/>
        <v>0874846780</v>
      </c>
      <c r="V292" s="16" t="str" cm="1">
        <f t="array" ref="V292" ca="1">_xlfn.LET(_xlpm.r,RANDBETWEEN(1,100),_xlfn.IFS(_xlpm.r&lt;=70,"Full-Time",_xlpm.r&lt;=85,"Part-Time",_xlpm.r&lt;=95,"Contract",TRUE,"Intern"))</f>
        <v>Full-Time</v>
      </c>
      <c r="W292" s="16" cm="1">
        <f t="array" ref="W292" ca="1">IF(K292&lt;&gt;"Active",0,_xlfn.IFS(M292=5,L292*15%,M292=4,L292*10%,M292=3,L292*5%,M292=2,L292*2%,TRUE,0))</f>
        <v>5082</v>
      </c>
      <c r="X292" s="24">
        <f t="shared" ca="1" si="66"/>
        <v>7</v>
      </c>
      <c r="Y292" s="24">
        <f t="shared" ca="1" si="67"/>
        <v>1</v>
      </c>
    </row>
    <row r="293" spans="1:25">
      <c r="A293" s="16" t="str">
        <f t="shared" si="68"/>
        <v>EMP292</v>
      </c>
      <c r="B293" s="16" t="str" cm="1">
        <f t="array" ref="B293" ca="1">IF(D293="Male",INDEX(Lookup!$L$2:$L$13,RANDBETWEEN(1,12)),IF(D293="Female",INDEX(Lookup!$M$2:$M$13,RANDBETWEEN(1,12)),INDEX(Lookup!$N$2:$N$13,RANDBETWEEN(1,12))))</f>
        <v>Hannah</v>
      </c>
      <c r="C293" s="16" t="str" cm="1">
        <f t="array" ref="C293" ca="1">INDEX(Lookup!$K$2:$K$31,RANDBETWEEN(1,30))</f>
        <v>White</v>
      </c>
      <c r="D293" s="16" t="str" cm="1">
        <f t="array" ref="D293" ca="1">INDEX(Lookup!$H$2:$H$4,RANDBETWEEN(1,3))</f>
        <v>Female</v>
      </c>
      <c r="E293" s="16">
        <f t="shared" ca="1" si="56"/>
        <v>23</v>
      </c>
      <c r="F293" s="16" t="str" cm="1">
        <f t="array" ref="F293" ca="1">INDEX(Lookup!$A$2:$A$10,RANDBETWEEN(1,9))</f>
        <v>Marketing</v>
      </c>
      <c r="G293" s="16" t="str" cm="1">
        <f t="array" ref="G293" ca="1">_xlfn.LET(_xlpm.Roles,_xlfn._xlws.FILTER(Lookup!$P$2:$P$28,Lookup!$O$2:$O$28=F293),INDEX(_xlpm.Roles,RANDBETWEEN(1,ROWS(_xlpm.Roles))))</f>
        <v>Digital Marketing Specialist</v>
      </c>
      <c r="H293" s="16" t="str" cm="1">
        <f t="array" ref="H293" ca="1">INDEX(Lookup!$B$2:$B$7,RANDBETWEEN(1,6))</f>
        <v>Belfast</v>
      </c>
      <c r="I293" s="22">
        <f t="shared" ca="1" si="57"/>
        <v>45128</v>
      </c>
      <c r="J293" s="22">
        <f t="shared" ca="1" si="58"/>
        <v>46267</v>
      </c>
      <c r="K293" s="16" t="str">
        <f t="shared" ca="1" si="59"/>
        <v>Resigned</v>
      </c>
      <c r="L293" s="26">
        <f ca="1">_xlfn.XLOOKUP(G293,Lookup!$P$2:$P$28,Lookup!$Q$2:$Q$28)*(1+MIN(X293*3%,30%))</f>
        <v>59000</v>
      </c>
      <c r="M293" s="24">
        <f t="shared" ca="1" si="69"/>
        <v>4</v>
      </c>
      <c r="N293" s="24">
        <f t="shared" ca="1" si="60"/>
        <v>61</v>
      </c>
      <c r="O293" s="24">
        <f t="shared" ca="1" si="61"/>
        <v>14</v>
      </c>
      <c r="P293" s="24">
        <f t="shared" ca="1" si="62"/>
        <v>20</v>
      </c>
      <c r="Q293" s="16" t="str">
        <f t="shared" ca="1" si="63"/>
        <v>Promoted</v>
      </c>
      <c r="R293" s="16" t="str" cm="1">
        <f t="array" ref="R293" ca="1">INDEX(Lookup!$E$2:$E$6,RANDBETWEEN(1,5))</f>
        <v>PhD</v>
      </c>
      <c r="S293" s="16" t="str" cm="1">
        <f t="array" ref="S293" ca="1">INDEX(Lookup!$J$2:$J$11,RANDBETWEEN(1,10))</f>
        <v>Liam Byrne</v>
      </c>
      <c r="T293" s="16" t="str">
        <f t="shared" ca="1" si="64"/>
        <v>hannah.white@hranalytics.com</v>
      </c>
      <c r="U293" s="16" t="str">
        <f t="shared" ca="1" si="65"/>
        <v>0861536760</v>
      </c>
      <c r="V293" s="16" t="str" cm="1">
        <f t="array" ref="V293" ca="1">_xlfn.LET(_xlpm.r,RANDBETWEEN(1,100),_xlfn.IFS(_xlpm.r&lt;=70,"Full-Time",_xlpm.r&lt;=85,"Part-Time",_xlpm.r&lt;=95,"Contract",TRUE,"Intern"))</f>
        <v>Full-Time</v>
      </c>
      <c r="W293" s="16" cm="1">
        <f t="array" ref="W293" ca="1">IF(K293&lt;&gt;"Active",0,_xlfn.IFS(M293=5,L293*15%,M293=4,L293*10%,M293=3,L293*5%,M293=2,L293*2%,TRUE,0))</f>
        <v>5900</v>
      </c>
      <c r="X293" s="24">
        <f t="shared" ca="1" si="66"/>
        <v>3</v>
      </c>
      <c r="Y293" s="24">
        <f t="shared" ca="1" si="67"/>
        <v>1</v>
      </c>
    </row>
    <row r="294" spans="1:25">
      <c r="A294" s="16" t="str">
        <f t="shared" si="68"/>
        <v>EMP293</v>
      </c>
      <c r="B294" s="16" t="str" cm="1">
        <f t="array" ref="B294" ca="1">IF(D294="Male",INDEX(Lookup!$L$2:$L$13,RANDBETWEEN(1,12)),IF(D294="Female",INDEX(Lookup!$M$2:$M$13,RANDBETWEEN(1,12)),INDEX(Lookup!$N$2:$N$13,RANDBETWEEN(1,12))))</f>
        <v>Lucas</v>
      </c>
      <c r="C294" s="16" t="str" cm="1">
        <f t="array" ref="C294" ca="1">INDEX(Lookup!$K$2:$K$31,RANDBETWEEN(1,30))</f>
        <v>Wilson</v>
      </c>
      <c r="D294" s="16" t="str" cm="1">
        <f t="array" ref="D294" ca="1">INDEX(Lookup!$H$2:$H$4,RANDBETWEEN(1,3))</f>
        <v>Male</v>
      </c>
      <c r="E294" s="16">
        <f t="shared" ca="1" si="56"/>
        <v>44</v>
      </c>
      <c r="F294" s="16" t="str" cm="1">
        <f t="array" ref="F294" ca="1">INDEX(Lookup!$A$2:$A$10,RANDBETWEEN(1,9))</f>
        <v>Procurement</v>
      </c>
      <c r="G294" s="16" t="str" cm="1">
        <f t="array" ref="G294" ca="1">_xlfn.LET(_xlpm.Roles,_xlfn._xlws.FILTER(Lookup!$P$2:$P$28,Lookup!$O$2:$O$28=F294),INDEX(_xlpm.Roles,RANDBETWEEN(1,ROWS(_xlpm.Roles))))</f>
        <v>Procurement Officer</v>
      </c>
      <c r="H294" s="16" t="str" cm="1">
        <f t="array" ref="H294" ca="1">INDEX(Lookup!$B$2:$B$7,RANDBETWEEN(1,6))</f>
        <v>Belfast</v>
      </c>
      <c r="I294" s="22">
        <f t="shared" ca="1" si="57"/>
        <v>44211</v>
      </c>
      <c r="J294" s="22" t="str">
        <f t="shared" ca="1" si="58"/>
        <v/>
      </c>
      <c r="K294" s="16" t="str">
        <f t="shared" ca="1" si="59"/>
        <v>Active</v>
      </c>
      <c r="L294" s="26">
        <f ca="1">_xlfn.XLOOKUP(G294,Lookup!$P$2:$P$28,Lookup!$Q$2:$Q$28)*(1+MIN(X294*3%,30%))</f>
        <v>51750</v>
      </c>
      <c r="M294" s="24">
        <f t="shared" ca="1" si="69"/>
        <v>4</v>
      </c>
      <c r="N294" s="24">
        <f t="shared" ca="1" si="60"/>
        <v>54</v>
      </c>
      <c r="O294" s="24">
        <f t="shared" ca="1" si="61"/>
        <v>14</v>
      </c>
      <c r="P294" s="24">
        <f t="shared" ca="1" si="62"/>
        <v>49</v>
      </c>
      <c r="Q294" s="16" t="str">
        <f t="shared" ca="1" si="63"/>
        <v>Promoted</v>
      </c>
      <c r="R294" s="16" t="str" cm="1">
        <f t="array" ref="R294" ca="1">INDEX(Lookup!$E$2:$E$6,RANDBETWEEN(1,5))</f>
        <v>High School</v>
      </c>
      <c r="S294" s="16" t="str" cm="1">
        <f t="array" ref="S294" ca="1">INDEX(Lookup!$J$2:$J$11,RANDBETWEEN(1,10))</f>
        <v>Olivia Smith</v>
      </c>
      <c r="T294" s="16" t="str">
        <f t="shared" ca="1" si="64"/>
        <v>lucas.wilson@hranalytics.com</v>
      </c>
      <c r="U294" s="16" t="str">
        <f t="shared" ca="1" si="65"/>
        <v>0836595737</v>
      </c>
      <c r="V294" s="16" t="str" cm="1">
        <f t="array" ref="V294" ca="1">_xlfn.LET(_xlpm.r,RANDBETWEEN(1,100),_xlfn.IFS(_xlpm.r&lt;=70,"Full-Time",_xlpm.r&lt;=85,"Part-Time",_xlpm.r&lt;=95,"Contract",TRUE,"Intern"))</f>
        <v>Full-Time</v>
      </c>
      <c r="W294" s="16" cm="1">
        <f t="array" ref="W294" ca="1">IF(K294&lt;&gt;"Active",0,_xlfn.IFS(M294=5,L294*15%,M294=4,L294*10%,M294=3,L294*5%,M294=2,L294*2%,TRUE,0))</f>
        <v>1035</v>
      </c>
      <c r="X294" s="24">
        <f t="shared" ca="1" si="66"/>
        <v>5</v>
      </c>
      <c r="Y294" s="24">
        <f t="shared" ca="1" si="67"/>
        <v>3</v>
      </c>
    </row>
    <row r="295" spans="1:25">
      <c r="A295" s="16" t="str">
        <f t="shared" si="68"/>
        <v>EMP294</v>
      </c>
      <c r="B295" s="16" t="str" cm="1">
        <f t="array" ref="B295" ca="1">IF(D295="Male",INDEX(Lookup!$L$2:$L$13,RANDBETWEEN(1,12)),IF(D295="Female",INDEX(Lookup!$M$2:$M$13,RANDBETWEEN(1,12)),INDEX(Lookup!$N$2:$N$13,RANDBETWEEN(1,12))))</f>
        <v>Jamie</v>
      </c>
      <c r="C295" s="16" t="str" cm="1">
        <f t="array" ref="C295" ca="1">INDEX(Lookup!$K$2:$K$31,RANDBETWEEN(1,30))</f>
        <v>Moore</v>
      </c>
      <c r="D295" s="16" t="str" cm="1">
        <f t="array" ref="D295" ca="1">INDEX(Lookup!$H$2:$H$4,RANDBETWEEN(1,3))</f>
        <v>Other</v>
      </c>
      <c r="E295" s="16">
        <f t="shared" ca="1" si="56"/>
        <v>48</v>
      </c>
      <c r="F295" s="16" t="str" cm="1">
        <f t="array" ref="F295" ca="1">INDEX(Lookup!$A$2:$A$10,RANDBETWEEN(1,9))</f>
        <v>Customer Support</v>
      </c>
      <c r="G295" s="16" t="str" cm="1">
        <f t="array" ref="G295" ca="1">_xlfn.LET(_xlpm.Roles,_xlfn._xlws.FILTER(Lookup!$P$2:$P$28,Lookup!$O$2:$O$28=F295),INDEX(_xlpm.Roles,RANDBETWEEN(1,ROWS(_xlpm.Roles))))</f>
        <v>Customer Support Representative</v>
      </c>
      <c r="H295" s="16" t="str" cm="1">
        <f t="array" ref="H295" ca="1">INDEX(Lookup!$B$2:$B$7,RANDBETWEEN(1,6))</f>
        <v>Belfast</v>
      </c>
      <c r="I295" s="22">
        <f t="shared" ca="1" si="57"/>
        <v>43529</v>
      </c>
      <c r="J295" s="22" t="str">
        <f t="shared" ca="1" si="58"/>
        <v/>
      </c>
      <c r="K295" s="16" t="str">
        <f t="shared" ca="1" si="59"/>
        <v>Active</v>
      </c>
      <c r="L295" s="26">
        <f ca="1">_xlfn.XLOOKUP(G295,Lookup!$P$2:$P$28,Lookup!$Q$2:$Q$28)*(1+MIN(X295*3%,30%))</f>
        <v>40320</v>
      </c>
      <c r="M295" s="24">
        <f t="shared" ca="1" si="69"/>
        <v>3</v>
      </c>
      <c r="N295" s="24">
        <f t="shared" ca="1" si="60"/>
        <v>54</v>
      </c>
      <c r="O295" s="24">
        <f t="shared" ca="1" si="61"/>
        <v>20</v>
      </c>
      <c r="P295" s="24">
        <f t="shared" ca="1" si="62"/>
        <v>60</v>
      </c>
      <c r="Q295" s="16" t="str">
        <f t="shared" ca="1" si="63"/>
        <v>Promoted</v>
      </c>
      <c r="R295" s="16" t="str" cm="1">
        <f t="array" ref="R295" ca="1">INDEX(Lookup!$E$2:$E$6,RANDBETWEEN(1,5))</f>
        <v>PhD</v>
      </c>
      <c r="S295" s="16" t="str" cm="1">
        <f t="array" ref="S295" ca="1">INDEX(Lookup!$J$2:$J$11,RANDBETWEEN(1,10))</f>
        <v>Emma Wilson</v>
      </c>
      <c r="T295" s="16" t="str">
        <f t="shared" ca="1" si="64"/>
        <v>jamie.moore@hranalytics.com</v>
      </c>
      <c r="U295" s="16" t="str">
        <f t="shared" ca="1" si="65"/>
        <v>0846544376</v>
      </c>
      <c r="V295" s="16" t="str" cm="1">
        <f t="array" ref="V295" ca="1">_xlfn.LET(_xlpm.r,RANDBETWEEN(1,100),_xlfn.IFS(_xlpm.r&lt;=70,"Full-Time",_xlpm.r&lt;=85,"Part-Time",_xlpm.r&lt;=95,"Contract",TRUE,"Intern"))</f>
        <v>Full-Time</v>
      </c>
      <c r="W295" s="16" cm="1">
        <f t="array" ref="W295" ca="1">IF(K295&lt;&gt;"Active",0,_xlfn.IFS(M295=5,L295*15%,M295=4,L295*10%,M295=3,L295*5%,M295=2,L295*2%,TRUE,0))</f>
        <v>0</v>
      </c>
      <c r="X295" s="24">
        <f t="shared" ca="1" si="66"/>
        <v>7</v>
      </c>
      <c r="Y295" s="24">
        <f t="shared" ca="1" si="67"/>
        <v>3</v>
      </c>
    </row>
    <row r="296" spans="1:25">
      <c r="A296" s="16" t="str">
        <f t="shared" si="68"/>
        <v>EMP295</v>
      </c>
      <c r="B296" s="16" t="str" cm="1">
        <f t="array" ref="B296" ca="1">IF(D296="Male",INDEX(Lookup!$L$2:$L$13,RANDBETWEEN(1,12)),IF(D296="Female",INDEX(Lookup!$M$2:$M$13,RANDBETWEEN(1,12)),INDEX(Lookup!$N$2:$N$13,RANDBETWEEN(1,12))))</f>
        <v>Grace</v>
      </c>
      <c r="C296" s="16" t="str" cm="1">
        <f t="array" ref="C296" ca="1">INDEX(Lookup!$K$2:$K$31,RANDBETWEEN(1,30))</f>
        <v>Edwards</v>
      </c>
      <c r="D296" s="16" t="str" cm="1">
        <f t="array" ref="D296" ca="1">INDEX(Lookup!$H$2:$H$4,RANDBETWEEN(1,3))</f>
        <v>Female</v>
      </c>
      <c r="E296" s="16">
        <f t="shared" ca="1" si="56"/>
        <v>41</v>
      </c>
      <c r="F296" s="16" t="str" cm="1">
        <f t="array" ref="F296" ca="1">INDEX(Lookup!$A$2:$A$10,RANDBETWEEN(1,9))</f>
        <v>Operations</v>
      </c>
      <c r="G296" s="16" t="str" cm="1">
        <f t="array" ref="G296" ca="1">_xlfn.LET(_xlpm.Roles,_xlfn._xlws.FILTER(Lookup!$P$2:$P$28,Lookup!$O$2:$O$28=F296),INDEX(_xlpm.Roles,RANDBETWEEN(1,ROWS(_xlpm.Roles))))</f>
        <v>Operations Coordinator</v>
      </c>
      <c r="H296" s="16" t="str" cm="1">
        <f t="array" ref="H296" ca="1">INDEX(Lookup!$B$2:$B$7,RANDBETWEEN(1,6))</f>
        <v>Galway</v>
      </c>
      <c r="I296" s="22">
        <f t="shared" ca="1" si="57"/>
        <v>45111</v>
      </c>
      <c r="J296" s="22" t="str">
        <f t="shared" ca="1" si="58"/>
        <v/>
      </c>
      <c r="K296" s="16" t="str">
        <f t="shared" ca="1" si="59"/>
        <v>Active</v>
      </c>
      <c r="L296" s="26">
        <f ca="1">_xlfn.XLOOKUP(G296,Lookup!$P$2:$P$28,Lookup!$Q$2:$Q$28)*(1+MIN(X296*3%,30%))</f>
        <v>47700</v>
      </c>
      <c r="M296" s="24">
        <f t="shared" ca="1" si="69"/>
        <v>2</v>
      </c>
      <c r="N296" s="24">
        <f t="shared" ca="1" si="60"/>
        <v>8</v>
      </c>
      <c r="O296" s="24">
        <f t="shared" ca="1" si="61"/>
        <v>4</v>
      </c>
      <c r="P296" s="24">
        <f t="shared" ca="1" si="62"/>
        <v>18</v>
      </c>
      <c r="Q296" s="16" t="str">
        <f t="shared" ca="1" si="63"/>
        <v>Not Promoted</v>
      </c>
      <c r="R296" s="16" t="str" cm="1">
        <f t="array" ref="R296" ca="1">INDEX(Lookup!$E$2:$E$6,RANDBETWEEN(1,5))</f>
        <v>Master's</v>
      </c>
      <c r="S296" s="16" t="str" cm="1">
        <f t="array" ref="S296" ca="1">INDEX(Lookup!$J$2:$J$11,RANDBETWEEN(1,10))</f>
        <v>David Murphy</v>
      </c>
      <c r="T296" s="16" t="str">
        <f t="shared" ca="1" si="64"/>
        <v>grace.edwards@hranalytics.com</v>
      </c>
      <c r="U296" s="16" t="str">
        <f t="shared" ca="1" si="65"/>
        <v>0867992111</v>
      </c>
      <c r="V296" s="16" t="str" cm="1">
        <f t="array" ref="V296" ca="1">_xlfn.LET(_xlpm.r,RANDBETWEEN(1,100),_xlfn.IFS(_xlpm.r&lt;=70,"Full-Time",_xlpm.r&lt;=85,"Part-Time",_xlpm.r&lt;=95,"Contract",TRUE,"Intern"))</f>
        <v>Full-Time</v>
      </c>
      <c r="W296" s="16" cm="1">
        <f t="array" ref="W296" ca="1">IF(K296&lt;&gt;"Active",0,_xlfn.IFS(M296=5,L296*15%,M296=4,L296*10%,M296=3,L296*5%,M296=2,L296*2%,TRUE,0))</f>
        <v>0</v>
      </c>
      <c r="X296" s="24">
        <f t="shared" ca="1" si="66"/>
        <v>3</v>
      </c>
      <c r="Y296" s="24">
        <f t="shared" ca="1" si="67"/>
        <v>3</v>
      </c>
    </row>
    <row r="297" spans="1:25">
      <c r="A297" s="16" t="str">
        <f t="shared" si="68"/>
        <v>EMP296</v>
      </c>
      <c r="B297" s="16" t="str" cm="1">
        <f t="array" ref="B297" ca="1">IF(D297="Male",INDEX(Lookup!$L$2:$L$13,RANDBETWEEN(1,12)),IF(D297="Female",INDEX(Lookup!$M$2:$M$13,RANDBETWEEN(1,12)),INDEX(Lookup!$N$2:$N$13,RANDBETWEEN(1,12))))</f>
        <v>Ryan</v>
      </c>
      <c r="C297" s="16" t="str" cm="1">
        <f t="array" ref="C297" ca="1">INDEX(Lookup!$K$2:$K$31,RANDBETWEEN(1,30))</f>
        <v>Nelson</v>
      </c>
      <c r="D297" s="16" t="str" cm="1">
        <f t="array" ref="D297" ca="1">INDEX(Lookup!$H$2:$H$4,RANDBETWEEN(1,3))</f>
        <v>Male</v>
      </c>
      <c r="E297" s="16">
        <f t="shared" ca="1" si="56"/>
        <v>42</v>
      </c>
      <c r="F297" s="16" t="str" cm="1">
        <f t="array" ref="F297" ca="1">INDEX(Lookup!$A$2:$A$10,RANDBETWEEN(1,9))</f>
        <v>Legal</v>
      </c>
      <c r="G297" s="16" t="str" cm="1">
        <f t="array" ref="G297" ca="1">_xlfn.LET(_xlpm.Roles,_xlfn._xlws.FILTER(Lookup!$P$2:$P$28,Lookup!$O$2:$O$28=F297),INDEX(_xlpm.Roles,RANDBETWEEN(1,ROWS(_xlpm.Roles))))</f>
        <v>Compliance Officer</v>
      </c>
      <c r="H297" s="16" t="str" cm="1">
        <f t="array" ref="H297" ca="1">INDEX(Lookup!$B$2:$B$7,RANDBETWEEN(1,6))</f>
        <v>Waterford</v>
      </c>
      <c r="I297" s="22">
        <f t="shared" ca="1" si="57"/>
        <v>43500</v>
      </c>
      <c r="J297" s="22" t="str">
        <f t="shared" ca="1" si="58"/>
        <v/>
      </c>
      <c r="K297" s="16" t="str">
        <f t="shared" ca="1" si="59"/>
        <v>Active</v>
      </c>
      <c r="L297" s="26">
        <f ca="1">_xlfn.XLOOKUP(G297,Lookup!$P$2:$P$28,Lookup!$Q$2:$Q$28)*(1+MIN(X297*3%,30%))</f>
        <v>61800</v>
      </c>
      <c r="M297" s="24">
        <f t="shared" ca="1" si="69"/>
        <v>1</v>
      </c>
      <c r="N297" s="24">
        <f t="shared" ca="1" si="60"/>
        <v>40</v>
      </c>
      <c r="O297" s="24">
        <f t="shared" ca="1" si="61"/>
        <v>4</v>
      </c>
      <c r="P297" s="24">
        <f t="shared" ca="1" si="62"/>
        <v>53</v>
      </c>
      <c r="Q297" s="16" t="str">
        <f t="shared" ca="1" si="63"/>
        <v>Not Promoted</v>
      </c>
      <c r="R297" s="16" t="str" cm="1">
        <f t="array" ref="R297" ca="1">INDEX(Lookup!$E$2:$E$6,RANDBETWEEN(1,5))</f>
        <v>Dipolma</v>
      </c>
      <c r="S297" s="16" t="str" cm="1">
        <f t="array" ref="S297" ca="1">INDEX(Lookup!$J$2:$J$11,RANDBETWEEN(1,10))</f>
        <v>Michael Brown</v>
      </c>
      <c r="T297" s="16" t="str">
        <f t="shared" ca="1" si="64"/>
        <v>ryan.nelson@hranalytics.com</v>
      </c>
      <c r="U297" s="16" t="str">
        <f t="shared" ca="1" si="65"/>
        <v>0862508272</v>
      </c>
      <c r="V297" s="16" t="str" cm="1">
        <f t="array" ref="V297" ca="1">_xlfn.LET(_xlpm.r,RANDBETWEEN(1,100),_xlfn.IFS(_xlpm.r&lt;=70,"Full-Time",_xlpm.r&lt;=85,"Part-Time",_xlpm.r&lt;=95,"Contract",TRUE,"Intern"))</f>
        <v>Full-Time</v>
      </c>
      <c r="W297" s="16" cm="1">
        <f t="array" ref="W297" ca="1">IF(K297&lt;&gt;"Active",0,_xlfn.IFS(M297=5,L297*15%,M297=4,L297*10%,M297=3,L297*5%,M297=2,L297*2%,TRUE,0))</f>
        <v>0</v>
      </c>
      <c r="X297" s="24">
        <f t="shared" ca="1" si="66"/>
        <v>7</v>
      </c>
      <c r="Y297" s="24">
        <f t="shared" ca="1" si="67"/>
        <v>3</v>
      </c>
    </row>
    <row r="298" spans="1:25">
      <c r="A298" s="16" t="str">
        <f t="shared" si="68"/>
        <v>EMP297</v>
      </c>
      <c r="B298" s="16" t="str" cm="1">
        <f t="array" ref="B298" ca="1">IF(D298="Male",INDEX(Lookup!$L$2:$L$13,RANDBETWEEN(1,12)),IF(D298="Female",INDEX(Lookup!$M$2:$M$13,RANDBETWEEN(1,12)),INDEX(Lookup!$N$2:$N$13,RANDBETWEEN(1,12))))</f>
        <v>Quinn</v>
      </c>
      <c r="C298" s="16" t="str" cm="1">
        <f t="array" ref="C298" ca="1">INDEX(Lookup!$K$2:$K$31,RANDBETWEEN(1,30))</f>
        <v>Moore</v>
      </c>
      <c r="D298" s="16" t="str" cm="1">
        <f t="array" ref="D298" ca="1">INDEX(Lookup!$H$2:$H$4,RANDBETWEEN(1,3))</f>
        <v>Other</v>
      </c>
      <c r="E298" s="16">
        <f t="shared" ca="1" si="56"/>
        <v>44</v>
      </c>
      <c r="F298" s="16" t="str" cm="1">
        <f t="array" ref="F298" ca="1">INDEX(Lookup!$A$2:$A$10,RANDBETWEEN(1,9))</f>
        <v>Operations</v>
      </c>
      <c r="G298" s="16" t="str" cm="1">
        <f t="array" ref="G298" ca="1">_xlfn.LET(_xlpm.Roles,_xlfn._xlws.FILTER(Lookup!$P$2:$P$28,Lookup!$O$2:$O$28=F298),INDEX(_xlpm.Roles,RANDBETWEEN(1,ROWS(_xlpm.Roles))))</f>
        <v>Operations Manager</v>
      </c>
      <c r="H298" s="16" t="str" cm="1">
        <f t="array" ref="H298" ca="1">INDEX(Lookup!$B$2:$B$7,RANDBETWEEN(1,6))</f>
        <v>Dublin</v>
      </c>
      <c r="I298" s="22">
        <f t="shared" ca="1" si="57"/>
        <v>43591</v>
      </c>
      <c r="J298" s="22">
        <f t="shared" ca="1" si="58"/>
        <v>44674</v>
      </c>
      <c r="K298" s="16" t="str">
        <f t="shared" ca="1" si="59"/>
        <v>Resigned</v>
      </c>
      <c r="L298" s="26">
        <f ca="1">_xlfn.XLOOKUP(G298,Lookup!$P$2:$P$28,Lookup!$Q$2:$Q$28)*(1+MIN(X298*3%,30%))</f>
        <v>75020</v>
      </c>
      <c r="M298" s="24">
        <f t="shared" ca="1" si="69"/>
        <v>3</v>
      </c>
      <c r="N298" s="24">
        <f t="shared" ca="1" si="60"/>
        <v>61</v>
      </c>
      <c r="O298" s="24">
        <f t="shared" ca="1" si="61"/>
        <v>18</v>
      </c>
      <c r="P298" s="24">
        <f t="shared" ca="1" si="62"/>
        <v>42</v>
      </c>
      <c r="Q298" s="16" t="str">
        <f t="shared" ca="1" si="63"/>
        <v>Promoted</v>
      </c>
      <c r="R298" s="16" t="str" cm="1">
        <f t="array" ref="R298" ca="1">INDEX(Lookup!$E$2:$E$6,RANDBETWEEN(1,5))</f>
        <v>Bachelor's</v>
      </c>
      <c r="S298" s="16" t="str" cm="1">
        <f t="array" ref="S298" ca="1">INDEX(Lookup!$J$2:$J$11,RANDBETWEEN(1,10))</f>
        <v>Sarah Johnson</v>
      </c>
      <c r="T298" s="16" t="str">
        <f t="shared" ca="1" si="64"/>
        <v>quinn.moore@hranalytics.com</v>
      </c>
      <c r="U298" s="16" t="str">
        <f t="shared" ca="1" si="65"/>
        <v>0847052715</v>
      </c>
      <c r="V298" s="16" t="str" cm="1">
        <f t="array" ref="V298" ca="1">_xlfn.LET(_xlpm.r,RANDBETWEEN(1,100),_xlfn.IFS(_xlpm.r&lt;=70,"Full-Time",_xlpm.r&lt;=85,"Part-Time",_xlpm.r&lt;=95,"Contract",TRUE,"Intern"))</f>
        <v>Intern</v>
      </c>
      <c r="W298" s="16" cm="1">
        <f t="array" ref="W298" ca="1">IF(K298&lt;&gt;"Active",0,_xlfn.IFS(M298=5,L298*15%,M298=4,L298*10%,M298=3,L298*5%,M298=2,L298*2%,TRUE,0))</f>
        <v>0</v>
      </c>
      <c r="X298" s="24">
        <f t="shared" ca="1" si="66"/>
        <v>7</v>
      </c>
      <c r="Y298" s="24">
        <f t="shared" ca="1" si="67"/>
        <v>3</v>
      </c>
    </row>
    <row r="299" spans="1:25">
      <c r="A299" s="16" t="str">
        <f t="shared" si="68"/>
        <v>EMP298</v>
      </c>
      <c r="B299" s="16" t="str" cm="1">
        <f t="array" ref="B299" ca="1">IF(D299="Male",INDEX(Lookup!$L$2:$L$13,RANDBETWEEN(1,12)),IF(D299="Female",INDEX(Lookup!$M$2:$M$13,RANDBETWEEN(1,12)),INDEX(Lookup!$N$2:$N$13,RANDBETWEEN(1,12))))</f>
        <v>Morgan</v>
      </c>
      <c r="C299" s="16" t="str" cm="1">
        <f t="array" ref="C299" ca="1">INDEX(Lookup!$K$2:$K$31,RANDBETWEEN(1,30))</f>
        <v>King</v>
      </c>
      <c r="D299" s="16" t="str" cm="1">
        <f t="array" ref="D299" ca="1">INDEX(Lookup!$H$2:$H$4,RANDBETWEEN(1,3))</f>
        <v>Other</v>
      </c>
      <c r="E299" s="16">
        <f t="shared" ca="1" si="56"/>
        <v>52</v>
      </c>
      <c r="F299" s="16" t="str" cm="1">
        <f t="array" ref="F299" ca="1">INDEX(Lookup!$A$2:$A$10,RANDBETWEEN(1,9))</f>
        <v>HR</v>
      </c>
      <c r="G299" s="16" t="str" cm="1">
        <f t="array" ref="G299" ca="1">_xlfn.LET(_xlpm.Roles,_xlfn._xlws.FILTER(Lookup!$P$2:$P$28,Lookup!$O$2:$O$28=F299),INDEX(_xlpm.Roles,RANDBETWEEN(1,ROWS(_xlpm.Roles))))</f>
        <v>HR Manager</v>
      </c>
      <c r="H299" s="16" t="str" cm="1">
        <f t="array" ref="H299" ca="1">INDEX(Lookup!$B$2:$B$7,RANDBETWEEN(1,6))</f>
        <v>Dublin</v>
      </c>
      <c r="I299" s="22">
        <f t="shared" ca="1" si="57"/>
        <v>43561</v>
      </c>
      <c r="J299" s="22" t="str">
        <f t="shared" ca="1" si="58"/>
        <v/>
      </c>
      <c r="K299" s="16" t="str">
        <f t="shared" ca="1" si="59"/>
        <v>Active</v>
      </c>
      <c r="L299" s="26">
        <f ca="1">_xlfn.XLOOKUP(G299,Lookup!$P$2:$P$28,Lookup!$Q$2:$Q$28)*(1+MIN(X299*3%,30%))</f>
        <v>65000</v>
      </c>
      <c r="M299" s="24">
        <f t="shared" ca="1" si="69"/>
        <v>2</v>
      </c>
      <c r="N299" s="24">
        <f t="shared" ca="1" si="60"/>
        <v>1</v>
      </c>
      <c r="O299" s="24">
        <f t="shared" ca="1" si="61"/>
        <v>16</v>
      </c>
      <c r="P299" s="24">
        <f t="shared" ca="1" si="62"/>
        <v>18</v>
      </c>
      <c r="Q299" s="16" t="str">
        <f t="shared" ca="1" si="63"/>
        <v>Not Promoted</v>
      </c>
      <c r="R299" s="16" t="str" cm="1">
        <f t="array" ref="R299" ca="1">INDEX(Lookup!$E$2:$E$6,RANDBETWEEN(1,5))</f>
        <v>High School</v>
      </c>
      <c r="S299" s="16" t="str" cm="1">
        <f t="array" ref="S299" ca="1">INDEX(Lookup!$J$2:$J$11,RANDBETWEEN(1,10))</f>
        <v>Sophia Martin</v>
      </c>
      <c r="T299" s="16" t="str">
        <f t="shared" ca="1" si="64"/>
        <v>morgan.king@hranalytics.com</v>
      </c>
      <c r="U299" s="16" t="str">
        <f t="shared" ca="1" si="65"/>
        <v>0837337283</v>
      </c>
      <c r="V299" s="16" t="str" cm="1">
        <f t="array" ref="V299" ca="1">_xlfn.LET(_xlpm.r,RANDBETWEEN(1,100),_xlfn.IFS(_xlpm.r&lt;=70,"Full-Time",_xlpm.r&lt;=85,"Part-Time",_xlpm.r&lt;=95,"Contract",TRUE,"Intern"))</f>
        <v>Part-Time</v>
      </c>
      <c r="W299" s="16" cm="1">
        <f t="array" ref="W299" ca="1">IF(K299&lt;&gt;"Active",0,_xlfn.IFS(M299=5,L299*15%,M299=4,L299*10%,M299=3,L299*5%,M299=2,L299*2%,TRUE,0))</f>
        <v>0</v>
      </c>
      <c r="X299" s="24">
        <f t="shared" ca="1" si="66"/>
        <v>7</v>
      </c>
      <c r="Y299" s="24">
        <f t="shared" ca="1" si="67"/>
        <v>1</v>
      </c>
    </row>
    <row r="300" spans="1:25">
      <c r="A300" s="16" t="str">
        <f t="shared" si="68"/>
        <v>EMP299</v>
      </c>
      <c r="B300" s="16" t="str" cm="1">
        <f t="array" ref="B300" ca="1">IF(D300="Male",INDEX(Lookup!$L$2:$L$13,RANDBETWEEN(1,12)),IF(D300="Female",INDEX(Lookup!$M$2:$M$13,RANDBETWEEN(1,12)),INDEX(Lookup!$N$2:$N$13,RANDBETWEEN(1,12))))</f>
        <v>Morgan</v>
      </c>
      <c r="C300" s="16" t="str" cm="1">
        <f t="array" ref="C300" ca="1">INDEX(Lookup!$K$2:$K$31,RANDBETWEEN(1,30))</f>
        <v>Johnson</v>
      </c>
      <c r="D300" s="16" t="str" cm="1">
        <f t="array" ref="D300" ca="1">INDEX(Lookup!$H$2:$H$4,RANDBETWEEN(1,3))</f>
        <v>Other</v>
      </c>
      <c r="E300" s="16">
        <f t="shared" ca="1" si="56"/>
        <v>23</v>
      </c>
      <c r="F300" s="16" t="str" cm="1">
        <f t="array" ref="F300" ca="1">INDEX(Lookup!$A$2:$A$10,RANDBETWEEN(1,9))</f>
        <v>Customer Support</v>
      </c>
      <c r="G300" s="16" t="str" cm="1">
        <f t="array" ref="G300" ca="1">_xlfn.LET(_xlpm.Roles,_xlfn._xlws.FILTER(Lookup!$P$2:$P$28,Lookup!$O$2:$O$28=F300),INDEX(_xlpm.Roles,RANDBETWEEN(1,ROWS(_xlpm.Roles))))</f>
        <v>Customer Support Representative</v>
      </c>
      <c r="H300" s="16" t="str" cm="1">
        <f t="array" ref="H300" ca="1">INDEX(Lookup!$B$2:$B$7,RANDBETWEEN(1,6))</f>
        <v>Galway</v>
      </c>
      <c r="I300" s="22">
        <f t="shared" ca="1" si="57"/>
        <v>44391</v>
      </c>
      <c r="J300" s="22" t="str">
        <f t="shared" ca="1" si="58"/>
        <v/>
      </c>
      <c r="K300" s="16" t="str">
        <f t="shared" ca="1" si="59"/>
        <v>Active</v>
      </c>
      <c r="L300" s="26">
        <f ca="1">_xlfn.XLOOKUP(G300,Lookup!$P$2:$P$28,Lookup!$Q$2:$Q$28)*(1+MIN(X300*3%,30%))</f>
        <v>38160</v>
      </c>
      <c r="M300" s="24">
        <f t="shared" ca="1" si="69"/>
        <v>5</v>
      </c>
      <c r="N300" s="24">
        <f t="shared" ca="1" si="60"/>
        <v>77</v>
      </c>
      <c r="O300" s="24">
        <f t="shared" ca="1" si="61"/>
        <v>13</v>
      </c>
      <c r="P300" s="24">
        <f t="shared" ca="1" si="62"/>
        <v>24</v>
      </c>
      <c r="Q300" s="16" t="str">
        <f t="shared" ca="1" si="63"/>
        <v>Promoted</v>
      </c>
      <c r="R300" s="16" t="str" cm="1">
        <f t="array" ref="R300" ca="1">INDEX(Lookup!$E$2:$E$6,RANDBETWEEN(1,5))</f>
        <v>Dipolma</v>
      </c>
      <c r="S300" s="16" t="str" cm="1">
        <f t="array" ref="S300" ca="1">INDEX(Lookup!$J$2:$J$11,RANDBETWEEN(1,10))</f>
        <v>Michael Brown</v>
      </c>
      <c r="T300" s="16" t="str">
        <f t="shared" ca="1" si="64"/>
        <v>morgan.johnson@hranalytics.com</v>
      </c>
      <c r="U300" s="16" t="str">
        <f t="shared" ca="1" si="65"/>
        <v>0869417620</v>
      </c>
      <c r="V300" s="16" t="str" cm="1">
        <f t="array" ref="V300" ca="1">_xlfn.LET(_xlpm.r,RANDBETWEEN(1,100),_xlfn.IFS(_xlpm.r&lt;=70,"Full-Time",_xlpm.r&lt;=85,"Part-Time",_xlpm.r&lt;=95,"Contract",TRUE,"Intern"))</f>
        <v>Full-Time</v>
      </c>
      <c r="W300" s="16" cm="1">
        <f t="array" ref="W300" ca="1">IF(K300&lt;&gt;"Active",0,_xlfn.IFS(M300=5,L300*15%,M300=4,L300*10%,M300=3,L300*5%,M300=2,L300*2%,TRUE,0))</f>
        <v>763.2</v>
      </c>
      <c r="X300" s="24">
        <f t="shared" ca="1" si="66"/>
        <v>5</v>
      </c>
      <c r="Y300" s="24">
        <f t="shared" ca="1" si="67"/>
        <v>3</v>
      </c>
    </row>
    <row r="301" spans="1:25">
      <c r="A301" s="16" t="str">
        <f t="shared" si="68"/>
        <v>EMP300</v>
      </c>
      <c r="B301" s="16" t="str" cm="1">
        <f t="array" ref="B301" ca="1">IF(D301="Male",INDEX(Lookup!$L$2:$L$13,RANDBETWEEN(1,12)),IF(D301="Female",INDEX(Lookup!$M$2:$M$13,RANDBETWEEN(1,12)),INDEX(Lookup!$N$2:$N$13,RANDBETWEEN(1,12))))</f>
        <v>Robin</v>
      </c>
      <c r="C301" s="16" t="str" cm="1">
        <f t="array" ref="C301" ca="1">INDEX(Lookup!$K$2:$K$31,RANDBETWEEN(1,30))</f>
        <v>Parker</v>
      </c>
      <c r="D301" s="16" t="str" cm="1">
        <f t="array" ref="D301" ca="1">INDEX(Lookup!$H$2:$H$4,RANDBETWEEN(1,3))</f>
        <v>Other</v>
      </c>
      <c r="E301" s="16">
        <f t="shared" ca="1" si="56"/>
        <v>59</v>
      </c>
      <c r="F301" s="16" t="str" cm="1">
        <f t="array" ref="F301" ca="1">INDEX(Lookup!$A$2:$A$10,RANDBETWEEN(1,9))</f>
        <v>Finance</v>
      </c>
      <c r="G301" s="16" t="str" cm="1">
        <f t="array" ref="G301" ca="1">_xlfn.LET(_xlpm.Roles,_xlfn._xlws.FILTER(Lookup!$P$2:$P$28,Lookup!$O$2:$O$28=F301),INDEX(_xlpm.Roles,RANDBETWEEN(1,ROWS(_xlpm.Roles))))</f>
        <v>Accountant</v>
      </c>
      <c r="H301" s="16" t="str" cm="1">
        <f t="array" ref="H301" ca="1">INDEX(Lookup!$B$2:$B$7,RANDBETWEEN(1,6))</f>
        <v>Belfast</v>
      </c>
      <c r="I301" s="22">
        <f t="shared" ca="1" si="57"/>
        <v>45773</v>
      </c>
      <c r="J301" s="22" t="str">
        <f t="shared" ca="1" si="58"/>
        <v/>
      </c>
      <c r="K301" s="16" t="str">
        <f t="shared" ca="1" si="59"/>
        <v>Active</v>
      </c>
      <c r="L301" s="26">
        <f ca="1">_xlfn.XLOOKUP(G301,Lookup!$P$2:$P$28,Lookup!$Q$2:$Q$28)*(1+MIN(X301*3%,30%))</f>
        <v>59000</v>
      </c>
      <c r="M301" s="24">
        <f t="shared" ca="1" si="69"/>
        <v>5</v>
      </c>
      <c r="N301" s="24">
        <f t="shared" ca="1" si="60"/>
        <v>7</v>
      </c>
      <c r="O301" s="24">
        <f t="shared" ca="1" si="61"/>
        <v>10</v>
      </c>
      <c r="P301" s="24">
        <f t="shared" ca="1" si="62"/>
        <v>51</v>
      </c>
      <c r="Q301" s="16" t="str">
        <f t="shared" ca="1" si="63"/>
        <v>Promoted</v>
      </c>
      <c r="R301" s="16" t="str" cm="1">
        <f t="array" ref="R301" ca="1">INDEX(Lookup!$E$2:$E$6,RANDBETWEEN(1,5))</f>
        <v>High School</v>
      </c>
      <c r="S301" s="16" t="str" cm="1">
        <f t="array" ref="S301" ca="1">INDEX(Lookup!$J$2:$J$11,RANDBETWEEN(1,10))</f>
        <v>Michael Brown</v>
      </c>
      <c r="T301" s="16" t="str">
        <f t="shared" ca="1" si="64"/>
        <v>robin.parker@hranalytics.com</v>
      </c>
      <c r="U301" s="16" t="str">
        <f t="shared" ca="1" si="65"/>
        <v>0896387015</v>
      </c>
      <c r="V301" s="16" t="str" cm="1">
        <f t="array" ref="V301" ca="1">_xlfn.LET(_xlpm.r,RANDBETWEEN(1,100),_xlfn.IFS(_xlpm.r&lt;=70,"Full-Time",_xlpm.r&lt;=85,"Part-Time",_xlpm.r&lt;=95,"Contract",TRUE,"Intern"))</f>
        <v>Full-Time</v>
      </c>
      <c r="W301" s="16" cm="1">
        <f t="array" ref="W301" ca="1">IF(K301&lt;&gt;"Active",0,_xlfn.IFS(M301=5,L301*15%,M301=4,L301*10%,M301=3,L301*5%,M301=2,L301*2%,TRUE,0))</f>
        <v>8850</v>
      </c>
      <c r="X301" s="24">
        <f t="shared" ca="1" si="66"/>
        <v>1</v>
      </c>
      <c r="Y301" s="24">
        <f t="shared" ca="1" si="67"/>
        <v>1</v>
      </c>
    </row>
    <row r="302" spans="1:25">
      <c r="A302" s="16" t="str">
        <f t="shared" si="68"/>
        <v>EMP301</v>
      </c>
      <c r="B302" s="16" t="str" cm="1">
        <f t="array" ref="B302" ca="1">IF(D302="Male",INDEX(Lookup!$L$2:$L$13,RANDBETWEEN(1,12)),IF(D302="Female",INDEX(Lookup!$M$2:$M$13,RANDBETWEEN(1,12)),INDEX(Lookup!$N$2:$N$13,RANDBETWEEN(1,12))))</f>
        <v>Noah</v>
      </c>
      <c r="C302" s="16" t="str" cm="1">
        <f t="array" ref="C302" ca="1">INDEX(Lookup!$K$2:$K$31,RANDBETWEEN(1,30))</f>
        <v>Smith</v>
      </c>
      <c r="D302" s="16" t="str" cm="1">
        <f t="array" ref="D302" ca="1">INDEX(Lookup!$H$2:$H$4,RANDBETWEEN(1,3))</f>
        <v>Male</v>
      </c>
      <c r="E302" s="16">
        <f t="shared" ca="1" si="56"/>
        <v>50</v>
      </c>
      <c r="F302" s="16" t="str" cm="1">
        <f t="array" ref="F302" ca="1">INDEX(Lookup!$A$2:$A$10,RANDBETWEEN(1,9))</f>
        <v>Operations</v>
      </c>
      <c r="G302" s="16" t="str" cm="1">
        <f t="array" ref="G302" ca="1">_xlfn.LET(_xlpm.Roles,_xlfn._xlws.FILTER(Lookup!$P$2:$P$28,Lookup!$O$2:$O$28=F302),INDEX(_xlpm.Roles,RANDBETWEEN(1,ROWS(_xlpm.Roles))))</f>
        <v>Operations Manager</v>
      </c>
      <c r="H302" s="16" t="str" cm="1">
        <f t="array" ref="H302" ca="1">INDEX(Lookup!$B$2:$B$7,RANDBETWEEN(1,6))</f>
        <v>Dublin</v>
      </c>
      <c r="I302" s="22">
        <f t="shared" ca="1" si="57"/>
        <v>43200</v>
      </c>
      <c r="J302" s="22" t="str">
        <f t="shared" ca="1" si="58"/>
        <v/>
      </c>
      <c r="K302" s="16" t="str">
        <f t="shared" ca="1" si="59"/>
        <v>Active</v>
      </c>
      <c r="L302" s="26">
        <f ca="1">_xlfn.XLOOKUP(G302,Lookup!$P$2:$P$28,Lookup!$Q$2:$Q$28)*(1+MIN(X302*3%,30%))</f>
        <v>65720</v>
      </c>
      <c r="M302" s="24">
        <f t="shared" ca="1" si="69"/>
        <v>4</v>
      </c>
      <c r="N302" s="24">
        <f t="shared" ca="1" si="60"/>
        <v>6</v>
      </c>
      <c r="O302" s="24">
        <f t="shared" ca="1" si="61"/>
        <v>19</v>
      </c>
      <c r="P302" s="24">
        <f t="shared" ca="1" si="62"/>
        <v>20</v>
      </c>
      <c r="Q302" s="16" t="str">
        <f t="shared" ca="1" si="63"/>
        <v>Not Promoted</v>
      </c>
      <c r="R302" s="16" t="str" cm="1">
        <f t="array" ref="R302" ca="1">INDEX(Lookup!$E$2:$E$6,RANDBETWEEN(1,5))</f>
        <v>High School</v>
      </c>
      <c r="S302" s="16" t="str" cm="1">
        <f t="array" ref="S302" ca="1">INDEX(Lookup!$J$2:$J$11,RANDBETWEEN(1,10))</f>
        <v>Sophia Martin</v>
      </c>
      <c r="T302" s="16" t="str">
        <f t="shared" ca="1" si="64"/>
        <v>noah.smith@hranalytics.com</v>
      </c>
      <c r="U302" s="16" t="str">
        <f t="shared" ca="1" si="65"/>
        <v>0878881782</v>
      </c>
      <c r="V302" s="16" t="str" cm="1">
        <f t="array" ref="V302" ca="1">_xlfn.LET(_xlpm.r,RANDBETWEEN(1,100),_xlfn.IFS(_xlpm.r&lt;=70,"Full-Time",_xlpm.r&lt;=85,"Part-Time",_xlpm.r&lt;=95,"Contract",TRUE,"Intern"))</f>
        <v>Full-Time</v>
      </c>
      <c r="W302" s="16" cm="1">
        <f t="array" ref="W302" ca="1">IF(K302&lt;&gt;"Active",0,_xlfn.IFS(M302=5,L302*15%,M302=4,L302*10%,M302=3,L302*5%,M302=2,L302*2%,TRUE,0))</f>
        <v>0</v>
      </c>
      <c r="X302" s="24">
        <f t="shared" ca="1" si="66"/>
        <v>8</v>
      </c>
      <c r="Y302" s="24">
        <f t="shared" ca="1" si="67"/>
        <v>3</v>
      </c>
    </row>
    <row r="303" spans="1:25">
      <c r="A303" s="16" t="str">
        <f t="shared" si="68"/>
        <v>EMP302</v>
      </c>
      <c r="B303" s="16" t="str" cm="1">
        <f t="array" ref="B303" ca="1">IF(D303="Male",INDEX(Lookup!$L$2:$L$13,RANDBETWEEN(1,12)),IF(D303="Female",INDEX(Lookup!$M$2:$M$13,RANDBETWEEN(1,12)),INDEX(Lookup!$N$2:$N$13,RANDBETWEEN(1,12))))</f>
        <v>Mia</v>
      </c>
      <c r="C303" s="16" t="str" cm="1">
        <f t="array" ref="C303" ca="1">INDEX(Lookup!$K$2:$K$31,RANDBETWEEN(1,30))</f>
        <v>Thomas</v>
      </c>
      <c r="D303" s="16" t="str" cm="1">
        <f t="array" ref="D303" ca="1">INDEX(Lookup!$H$2:$H$4,RANDBETWEEN(1,3))</f>
        <v>Female</v>
      </c>
      <c r="E303" s="16">
        <f t="shared" ca="1" si="56"/>
        <v>31</v>
      </c>
      <c r="F303" s="16" t="str" cm="1">
        <f t="array" ref="F303" ca="1">INDEX(Lookup!$A$2:$A$10,RANDBETWEEN(1,9))</f>
        <v>Marketing</v>
      </c>
      <c r="G303" s="16" t="str" cm="1">
        <f t="array" ref="G303" ca="1">_xlfn.LET(_xlpm.Roles,_xlfn._xlws.FILTER(Lookup!$P$2:$P$28,Lookup!$O$2:$O$28=F303),INDEX(_xlpm.Roles,RANDBETWEEN(1,ROWS(_xlpm.Roles))))</f>
        <v>Brand Executive</v>
      </c>
      <c r="H303" s="16" t="str" cm="1">
        <f t="array" ref="H303" ca="1">INDEX(Lookup!$B$2:$B$7,RANDBETWEEN(1,6))</f>
        <v>Dublin</v>
      </c>
      <c r="I303" s="22">
        <f t="shared" ca="1" si="57"/>
        <v>45978</v>
      </c>
      <c r="J303" s="22">
        <f t="shared" ca="1" si="58"/>
        <v>46980</v>
      </c>
      <c r="K303" s="16" t="str">
        <f t="shared" ca="1" si="59"/>
        <v>Resigned</v>
      </c>
      <c r="L303" s="26">
        <f ca="1">_xlfn.XLOOKUP(G303,Lookup!$P$2:$P$28,Lookup!$Q$2:$Q$28)*(1+MIN(X303*3%,30%))</f>
        <v>57040</v>
      </c>
      <c r="M303" s="24">
        <f t="shared" ca="1" si="69"/>
        <v>4</v>
      </c>
      <c r="N303" s="24">
        <f t="shared" ca="1" si="60"/>
        <v>42</v>
      </c>
      <c r="O303" s="24">
        <f t="shared" ca="1" si="61"/>
        <v>17</v>
      </c>
      <c r="P303" s="24">
        <f t="shared" ca="1" si="62"/>
        <v>18</v>
      </c>
      <c r="Q303" s="16" t="str">
        <f t="shared" ca="1" si="63"/>
        <v>Promoted</v>
      </c>
      <c r="R303" s="16" t="str" cm="1">
        <f t="array" ref="R303" ca="1">INDEX(Lookup!$E$2:$E$6,RANDBETWEEN(1,5))</f>
        <v>Bachelor's</v>
      </c>
      <c r="S303" s="16" t="str" cm="1">
        <f t="array" ref="S303" ca="1">INDEX(Lookup!$J$2:$J$11,RANDBETWEEN(1,10))</f>
        <v>Daniel Kelly</v>
      </c>
      <c r="T303" s="16" t="str">
        <f t="shared" ca="1" si="64"/>
        <v>mia.thomas@hranalytics.com</v>
      </c>
      <c r="U303" s="16" t="str">
        <f t="shared" ca="1" si="65"/>
        <v>0854192225</v>
      </c>
      <c r="V303" s="16" t="str" cm="1">
        <f t="array" ref="V303" ca="1">_xlfn.LET(_xlpm.r,RANDBETWEEN(1,100),_xlfn.IFS(_xlpm.r&lt;=70,"Full-Time",_xlpm.r&lt;=85,"Part-Time",_xlpm.r&lt;=95,"Contract",TRUE,"Intern"))</f>
        <v>Full-Time</v>
      </c>
      <c r="W303" s="16" cm="1">
        <f t="array" ref="W303" ca="1">IF(K303&lt;&gt;"Active",0,_xlfn.IFS(M303=5,L303*15%,M303=4,L303*10%,M303=3,L303*5%,M303=2,L303*2%,TRUE,0))</f>
        <v>2852</v>
      </c>
      <c r="X303" s="24">
        <f t="shared" ca="1" si="66"/>
        <v>0</v>
      </c>
      <c r="Y303" s="24">
        <f t="shared" ca="1" si="67"/>
        <v>1</v>
      </c>
    </row>
    <row r="304" spans="1:25">
      <c r="A304" s="16" t="str">
        <f t="shared" si="68"/>
        <v>EMP303</v>
      </c>
      <c r="B304" s="16" t="str" cm="1">
        <f t="array" ref="B304" ca="1">IF(D304="Male",INDEX(Lookup!$L$2:$L$13,RANDBETWEEN(1,12)),IF(D304="Female",INDEX(Lookup!$M$2:$M$13,RANDBETWEEN(1,12)),INDEX(Lookup!$N$2:$N$13,RANDBETWEEN(1,12))))</f>
        <v>Noah</v>
      </c>
      <c r="C304" s="16" t="str" cm="1">
        <f t="array" ref="C304" ca="1">INDEX(Lookup!$K$2:$K$31,RANDBETWEEN(1,30))</f>
        <v>Allen</v>
      </c>
      <c r="D304" s="16" t="str" cm="1">
        <f t="array" ref="D304" ca="1">INDEX(Lookup!$H$2:$H$4,RANDBETWEEN(1,3))</f>
        <v>Male</v>
      </c>
      <c r="E304" s="16">
        <f t="shared" ca="1" si="56"/>
        <v>43</v>
      </c>
      <c r="F304" s="16" t="str" cm="1">
        <f t="array" ref="F304" ca="1">INDEX(Lookup!$A$2:$A$10,RANDBETWEEN(1,9))</f>
        <v>IT</v>
      </c>
      <c r="G304" s="16" t="str" cm="1">
        <f t="array" ref="G304" ca="1">_xlfn.LET(_xlpm.Roles,_xlfn._xlws.FILTER(Lookup!$P$2:$P$28,Lookup!$O$2:$O$28=F304),INDEX(_xlpm.Roles,RANDBETWEEN(1,ROWS(_xlpm.Roles))))</f>
        <v>IT Support Specialist</v>
      </c>
      <c r="H304" s="16" t="str" cm="1">
        <f t="array" ref="H304" ca="1">INDEX(Lookup!$B$2:$B$7,RANDBETWEEN(1,6))</f>
        <v>Dublin</v>
      </c>
      <c r="I304" s="22">
        <f t="shared" ca="1" si="57"/>
        <v>44381</v>
      </c>
      <c r="J304" s="22" t="str">
        <f t="shared" ca="1" si="58"/>
        <v/>
      </c>
      <c r="K304" s="16" t="str">
        <f t="shared" ca="1" si="59"/>
        <v>Active</v>
      </c>
      <c r="L304" s="26">
        <f ca="1">_xlfn.XLOOKUP(G304,Lookup!$P$2:$P$28,Lookup!$Q$2:$Q$28)*(1+MIN(X304*3%,30%))</f>
        <v>49440</v>
      </c>
      <c r="M304" s="24">
        <f t="shared" ca="1" si="69"/>
        <v>4</v>
      </c>
      <c r="N304" s="24">
        <f t="shared" ca="1" si="60"/>
        <v>29</v>
      </c>
      <c r="O304" s="24">
        <f t="shared" ca="1" si="61"/>
        <v>12</v>
      </c>
      <c r="P304" s="24">
        <f t="shared" ca="1" si="62"/>
        <v>2</v>
      </c>
      <c r="Q304" s="16" t="str">
        <f t="shared" ca="1" si="63"/>
        <v>Not Promoted</v>
      </c>
      <c r="R304" s="16" t="str" cm="1">
        <f t="array" ref="R304" ca="1">INDEX(Lookup!$E$2:$E$6,RANDBETWEEN(1,5))</f>
        <v>Master's</v>
      </c>
      <c r="S304" s="16" t="str" cm="1">
        <f t="array" ref="S304" ca="1">INDEX(Lookup!$J$2:$J$11,RANDBETWEEN(1,10))</f>
        <v>Sarah Johnson</v>
      </c>
      <c r="T304" s="16" t="str">
        <f t="shared" ca="1" si="64"/>
        <v>noah.allen@hranalytics.com</v>
      </c>
      <c r="U304" s="16" t="str">
        <f t="shared" ca="1" si="65"/>
        <v>0844001099</v>
      </c>
      <c r="V304" s="16" t="str" cm="1">
        <f t="array" ref="V304" ca="1">_xlfn.LET(_xlpm.r,RANDBETWEEN(1,100),_xlfn.IFS(_xlpm.r&lt;=70,"Full-Time",_xlpm.r&lt;=85,"Part-Time",_xlpm.r&lt;=95,"Contract",TRUE,"Intern"))</f>
        <v>Part-Time</v>
      </c>
      <c r="W304" s="16" cm="1">
        <f t="array" ref="W304" ca="1">IF(K304&lt;&gt;"Active",0,_xlfn.IFS(M304=5,L304*15%,M304=4,L304*10%,M304=3,L304*5%,M304=2,L304*2%,TRUE,0))</f>
        <v>7416</v>
      </c>
      <c r="X304" s="24">
        <f t="shared" ca="1" si="66"/>
        <v>5</v>
      </c>
      <c r="Y304" s="24">
        <f t="shared" ca="1" si="67"/>
        <v>1</v>
      </c>
    </row>
    <row r="305" spans="1:25">
      <c r="A305" s="16" t="str">
        <f t="shared" si="68"/>
        <v>EMP304</v>
      </c>
      <c r="B305" s="16" t="str" cm="1">
        <f t="array" ref="B305" ca="1">IF(D305="Male",INDEX(Lookup!$L$2:$L$13,RANDBETWEEN(1,12)),IF(D305="Female",INDEX(Lookup!$M$2:$M$13,RANDBETWEEN(1,12)),INDEX(Lookup!$N$2:$N$13,RANDBETWEEN(1,12))))</f>
        <v>Olivia</v>
      </c>
      <c r="C305" s="16" t="str" cm="1">
        <f t="array" ref="C305" ca="1">INDEX(Lookup!$K$2:$K$31,RANDBETWEEN(1,30))</f>
        <v>Baker</v>
      </c>
      <c r="D305" s="16" t="str" cm="1">
        <f t="array" ref="D305" ca="1">INDEX(Lookup!$H$2:$H$4,RANDBETWEEN(1,3))</f>
        <v>Female</v>
      </c>
      <c r="E305" s="16">
        <f t="shared" ca="1" si="56"/>
        <v>31</v>
      </c>
      <c r="F305" s="16" t="str" cm="1">
        <f t="array" ref="F305" ca="1">INDEX(Lookup!$A$2:$A$10,RANDBETWEEN(1,9))</f>
        <v>Sales</v>
      </c>
      <c r="G305" s="16" t="str" cm="1">
        <f t="array" ref="G305" ca="1">_xlfn.LET(_xlpm.Roles,_xlfn._xlws.FILTER(Lookup!$P$2:$P$28,Lookup!$O$2:$O$28=F305),INDEX(_xlpm.Roles,RANDBETWEEN(1,ROWS(_xlpm.Roles))))</f>
        <v>Account Manager</v>
      </c>
      <c r="H305" s="16" t="str" cm="1">
        <f t="array" ref="H305" ca="1">INDEX(Lookup!$B$2:$B$7,RANDBETWEEN(1,6))</f>
        <v>Waterford</v>
      </c>
      <c r="I305" s="22">
        <f t="shared" ca="1" si="57"/>
        <v>43603</v>
      </c>
      <c r="J305" s="22" t="str">
        <f t="shared" ca="1" si="58"/>
        <v/>
      </c>
      <c r="K305" s="16" t="str">
        <f t="shared" ca="1" si="59"/>
        <v>Active</v>
      </c>
      <c r="L305" s="26">
        <f ca="1">_xlfn.XLOOKUP(G305,Lookup!$P$2:$P$28,Lookup!$Q$2:$Q$28)*(1+MIN(X305*3%,30%))</f>
        <v>58300</v>
      </c>
      <c r="M305" s="24">
        <f t="shared" ca="1" si="69"/>
        <v>3</v>
      </c>
      <c r="N305" s="24">
        <f t="shared" ca="1" si="60"/>
        <v>64</v>
      </c>
      <c r="O305" s="24">
        <f t="shared" ca="1" si="61"/>
        <v>9</v>
      </c>
      <c r="P305" s="24">
        <f t="shared" ca="1" si="62"/>
        <v>27</v>
      </c>
      <c r="Q305" s="16" t="str">
        <f t="shared" ca="1" si="63"/>
        <v>Promoted</v>
      </c>
      <c r="R305" s="16" t="str" cm="1">
        <f t="array" ref="R305" ca="1">INDEX(Lookup!$E$2:$E$6,RANDBETWEEN(1,5))</f>
        <v>Master's</v>
      </c>
      <c r="S305" s="16" t="str" cm="1">
        <f t="array" ref="S305" ca="1">INDEX(Lookup!$J$2:$J$11,RANDBETWEEN(1,10))</f>
        <v>Olivia Smith</v>
      </c>
      <c r="T305" s="16" t="str">
        <f t="shared" ca="1" si="64"/>
        <v>olivia.baker@hranalytics.com</v>
      </c>
      <c r="U305" s="16" t="str">
        <f t="shared" ca="1" si="65"/>
        <v>0848426269</v>
      </c>
      <c r="V305" s="16" t="str" cm="1">
        <f t="array" ref="V305" ca="1">_xlfn.LET(_xlpm.r,RANDBETWEEN(1,100),_xlfn.IFS(_xlpm.r&lt;=70,"Full-Time",_xlpm.r&lt;=85,"Part-Time",_xlpm.r&lt;=95,"Contract",TRUE,"Intern"))</f>
        <v>Intern</v>
      </c>
      <c r="W305" s="16" cm="1">
        <f t="array" ref="W305" ca="1">IF(K305&lt;&gt;"Active",0,_xlfn.IFS(M305=5,L305*15%,M305=4,L305*10%,M305=3,L305*5%,M305=2,L305*2%,TRUE,0))</f>
        <v>0</v>
      </c>
      <c r="X305" s="24">
        <f t="shared" ca="1" si="66"/>
        <v>7</v>
      </c>
      <c r="Y305" s="24">
        <f t="shared" ca="1" si="67"/>
        <v>1</v>
      </c>
    </row>
    <row r="306" spans="1:25">
      <c r="A306" s="16" t="str">
        <f t="shared" si="68"/>
        <v>EMP305</v>
      </c>
      <c r="B306" s="16" t="str" cm="1">
        <f t="array" ref="B306" ca="1">IF(D306="Male",INDEX(Lookup!$L$2:$L$13,RANDBETWEEN(1,12)),IF(D306="Female",INDEX(Lookup!$M$2:$M$13,RANDBETWEEN(1,12)),INDEX(Lookup!$N$2:$N$13,RANDBETWEEN(1,12))))</f>
        <v>Quinn</v>
      </c>
      <c r="C306" s="16" t="str" cm="1">
        <f t="array" ref="C306" ca="1">INDEX(Lookup!$K$2:$K$31,RANDBETWEEN(1,30))</f>
        <v>Johnson</v>
      </c>
      <c r="D306" s="16" t="str" cm="1">
        <f t="array" ref="D306" ca="1">INDEX(Lookup!$H$2:$H$4,RANDBETWEEN(1,3))</f>
        <v>Other</v>
      </c>
      <c r="E306" s="16">
        <f t="shared" ca="1" si="56"/>
        <v>40</v>
      </c>
      <c r="F306" s="16" t="str" cm="1">
        <f t="array" ref="F306" ca="1">INDEX(Lookup!$A$2:$A$10,RANDBETWEEN(1,9))</f>
        <v>Operations</v>
      </c>
      <c r="G306" s="16" t="str" cm="1">
        <f t="array" ref="G306" ca="1">_xlfn.LET(_xlpm.Roles,_xlfn._xlws.FILTER(Lookup!$P$2:$P$28,Lookup!$O$2:$O$28=F306),INDEX(_xlpm.Roles,RANDBETWEEN(1,ROWS(_xlpm.Roles))))</f>
        <v>Operations Executive</v>
      </c>
      <c r="H306" s="16" t="str" cm="1">
        <f t="array" ref="H306" ca="1">INDEX(Lookup!$B$2:$B$7,RANDBETWEEN(1,6))</f>
        <v>Limerick</v>
      </c>
      <c r="I306" s="22">
        <f t="shared" ca="1" si="57"/>
        <v>44684</v>
      </c>
      <c r="J306" s="22">
        <f t="shared" ca="1" si="58"/>
        <v>46156</v>
      </c>
      <c r="K306" s="16" t="str">
        <f t="shared" ca="1" si="59"/>
        <v>Resigned</v>
      </c>
      <c r="L306" s="26">
        <f ca="1">_xlfn.XLOOKUP(G306,Lookup!$P$2:$P$28,Lookup!$Q$2:$Q$28)*(1+MIN(X306*3%,30%))</f>
        <v>43260</v>
      </c>
      <c r="M306" s="24">
        <f t="shared" ca="1" si="69"/>
        <v>1</v>
      </c>
      <c r="N306" s="24">
        <f t="shared" ca="1" si="60"/>
        <v>63</v>
      </c>
      <c r="O306" s="24">
        <f t="shared" ca="1" si="61"/>
        <v>14</v>
      </c>
      <c r="P306" s="24">
        <f t="shared" ca="1" si="62"/>
        <v>39</v>
      </c>
      <c r="Q306" s="16" t="str">
        <f t="shared" ca="1" si="63"/>
        <v>Not Promoted</v>
      </c>
      <c r="R306" s="16" t="str" cm="1">
        <f t="array" ref="R306" ca="1">INDEX(Lookup!$E$2:$E$6,RANDBETWEEN(1,5))</f>
        <v>Dipolma</v>
      </c>
      <c r="S306" s="16" t="str" cm="1">
        <f t="array" ref="S306" ca="1">INDEX(Lookup!$J$2:$J$11,RANDBETWEEN(1,10))</f>
        <v>Daniel Kelly</v>
      </c>
      <c r="T306" s="16" t="str">
        <f t="shared" ca="1" si="64"/>
        <v>quinn.johnson@hranalytics.com</v>
      </c>
      <c r="U306" s="16" t="str">
        <f t="shared" ca="1" si="65"/>
        <v>0837773732</v>
      </c>
      <c r="V306" s="16" t="str" cm="1">
        <f t="array" ref="V306" ca="1">_xlfn.LET(_xlpm.r,RANDBETWEEN(1,100),_xlfn.IFS(_xlpm.r&lt;=70,"Full-Time",_xlpm.r&lt;=85,"Part-Time",_xlpm.r&lt;=95,"Contract",TRUE,"Intern"))</f>
        <v>Full-Time</v>
      </c>
      <c r="W306" s="16" cm="1">
        <f t="array" ref="W306" ca="1">IF(K306&lt;&gt;"Active",0,_xlfn.IFS(M306=5,L306*15%,M306=4,L306*10%,M306=3,L306*5%,M306=2,L306*2%,TRUE,0))</f>
        <v>4326</v>
      </c>
      <c r="X306" s="24">
        <f t="shared" ca="1" si="66"/>
        <v>4</v>
      </c>
      <c r="Y306" s="24">
        <f t="shared" ca="1" si="67"/>
        <v>2</v>
      </c>
    </row>
    <row r="307" spans="1:25">
      <c r="A307" s="16" t="str">
        <f t="shared" si="68"/>
        <v>EMP306</v>
      </c>
      <c r="B307" s="16" t="str" cm="1">
        <f t="array" ref="B307" ca="1">IF(D307="Male",INDEX(Lookup!$L$2:$L$13,RANDBETWEEN(1,12)),IF(D307="Female",INDEX(Lookup!$M$2:$M$13,RANDBETWEEN(1,12)),INDEX(Lookup!$N$2:$N$13,RANDBETWEEN(1,12))))</f>
        <v>Lucas</v>
      </c>
      <c r="C307" s="16" t="str" cm="1">
        <f t="array" ref="C307" ca="1">INDEX(Lookup!$K$2:$K$31,RANDBETWEEN(1,30))</f>
        <v>Murphy</v>
      </c>
      <c r="D307" s="16" t="str" cm="1">
        <f t="array" ref="D307" ca="1">INDEX(Lookup!$H$2:$H$4,RANDBETWEEN(1,3))</f>
        <v>Male</v>
      </c>
      <c r="E307" s="16">
        <f t="shared" ca="1" si="56"/>
        <v>35</v>
      </c>
      <c r="F307" s="16" t="str" cm="1">
        <f t="array" ref="F307" ca="1">INDEX(Lookup!$A$2:$A$10,RANDBETWEEN(1,9))</f>
        <v>Finance</v>
      </c>
      <c r="G307" s="16" t="str" cm="1">
        <f t="array" ref="G307" ca="1">_xlfn.LET(_xlpm.Roles,_xlfn._xlws.FILTER(Lookup!$P$2:$P$28,Lookup!$O$2:$O$28=F307),INDEX(_xlpm.Roles,RANDBETWEEN(1,ROWS(_xlpm.Roles))))</f>
        <v>Payroll Officer</v>
      </c>
      <c r="H307" s="16" t="str" cm="1">
        <f t="array" ref="H307" ca="1">INDEX(Lookup!$B$2:$B$7,RANDBETWEEN(1,6))</f>
        <v>Belfast</v>
      </c>
      <c r="I307" s="22">
        <f t="shared" ca="1" si="57"/>
        <v>43773</v>
      </c>
      <c r="J307" s="22">
        <f t="shared" ca="1" si="58"/>
        <v>44113</v>
      </c>
      <c r="K307" s="16" t="str">
        <f t="shared" ca="1" si="59"/>
        <v>Resigned</v>
      </c>
      <c r="L307" s="26">
        <f ca="1">_xlfn.XLOOKUP(G307,Lookup!$P$2:$P$28,Lookup!$Q$2:$Q$28)*(1+MIN(X307*3%,30%))</f>
        <v>53100</v>
      </c>
      <c r="M307" s="24">
        <f t="shared" ca="1" si="69"/>
        <v>3</v>
      </c>
      <c r="N307" s="24">
        <f t="shared" ca="1" si="60"/>
        <v>46</v>
      </c>
      <c r="O307" s="24">
        <f t="shared" ca="1" si="61"/>
        <v>12</v>
      </c>
      <c r="P307" s="24">
        <f t="shared" ca="1" si="62"/>
        <v>1</v>
      </c>
      <c r="Q307" s="16" t="str">
        <f t="shared" ca="1" si="63"/>
        <v>Not Promoted</v>
      </c>
      <c r="R307" s="16" t="str" cm="1">
        <f t="array" ref="R307" ca="1">INDEX(Lookup!$E$2:$E$6,RANDBETWEEN(1,5))</f>
        <v>Master's</v>
      </c>
      <c r="S307" s="16" t="str" cm="1">
        <f t="array" ref="S307" ca="1">INDEX(Lookup!$J$2:$J$11,RANDBETWEEN(1,10))</f>
        <v>Sarah Johnson</v>
      </c>
      <c r="T307" s="16" t="str">
        <f t="shared" ca="1" si="64"/>
        <v>lucas.murphy@hranalytics.com</v>
      </c>
      <c r="U307" s="16" t="str">
        <f t="shared" ca="1" si="65"/>
        <v>0872240581</v>
      </c>
      <c r="V307" s="16" t="str" cm="1">
        <f t="array" ref="V307" ca="1">_xlfn.LET(_xlpm.r,RANDBETWEEN(1,100),_xlfn.IFS(_xlpm.r&lt;=70,"Full-Time",_xlpm.r&lt;=85,"Part-Time",_xlpm.r&lt;=95,"Contract",TRUE,"Intern"))</f>
        <v>Part-Time</v>
      </c>
      <c r="W307" s="16" cm="1">
        <f t="array" ref="W307" ca="1">IF(K307&lt;&gt;"Active",0,_xlfn.IFS(M307=5,L307*15%,M307=4,L307*10%,M307=3,L307*5%,M307=2,L307*2%,TRUE,0))</f>
        <v>0</v>
      </c>
      <c r="X307" s="24">
        <f t="shared" ca="1" si="66"/>
        <v>6</v>
      </c>
      <c r="Y307" s="24">
        <f t="shared" ca="1" si="67"/>
        <v>3</v>
      </c>
    </row>
    <row r="308" spans="1:25">
      <c r="A308" s="16" t="str">
        <f t="shared" si="68"/>
        <v>EMP307</v>
      </c>
      <c r="B308" s="16" t="str" cm="1">
        <f t="array" ref="B308" ca="1">IF(D308="Male",INDEX(Lookup!$L$2:$L$13,RANDBETWEEN(1,12)),IF(D308="Female",INDEX(Lookup!$M$2:$M$13,RANDBETWEEN(1,12)),INDEX(Lookup!$N$2:$N$13,RANDBETWEEN(1,12))))</f>
        <v>Lucas</v>
      </c>
      <c r="C308" s="16" t="str" cm="1">
        <f t="array" ref="C308" ca="1">INDEX(Lookup!$K$2:$K$31,RANDBETWEEN(1,30))</f>
        <v>Hall</v>
      </c>
      <c r="D308" s="16" t="str" cm="1">
        <f t="array" ref="D308" ca="1">INDEX(Lookup!$H$2:$H$4,RANDBETWEEN(1,3))</f>
        <v>Male</v>
      </c>
      <c r="E308" s="16">
        <f t="shared" ca="1" si="56"/>
        <v>59</v>
      </c>
      <c r="F308" s="16" t="str" cm="1">
        <f t="array" ref="F308" ca="1">INDEX(Lookup!$A$2:$A$10,RANDBETWEEN(1,9))</f>
        <v>Finance</v>
      </c>
      <c r="G308" s="16" t="str" cm="1">
        <f t="array" ref="G308" ca="1">_xlfn.LET(_xlpm.Roles,_xlfn._xlws.FILTER(Lookup!$P$2:$P$28,Lookup!$O$2:$O$28=F308),INDEX(_xlpm.Roles,RANDBETWEEN(1,ROWS(_xlpm.Roles))))</f>
        <v>Accountant</v>
      </c>
      <c r="H308" s="16" t="str" cm="1">
        <f t="array" ref="H308" ca="1">INDEX(Lookup!$B$2:$B$7,RANDBETWEEN(1,6))</f>
        <v>Limerick</v>
      </c>
      <c r="I308" s="22">
        <f t="shared" ca="1" si="57"/>
        <v>45346</v>
      </c>
      <c r="J308" s="22">
        <f t="shared" ca="1" si="58"/>
        <v>46881</v>
      </c>
      <c r="K308" s="16" t="str">
        <f t="shared" ca="1" si="59"/>
        <v>Resigned</v>
      </c>
      <c r="L308" s="26">
        <f ca="1">_xlfn.XLOOKUP(G308,Lookup!$P$2:$P$28,Lookup!$Q$2:$Q$28)*(1+MIN(X308*3%,30%))</f>
        <v>51500</v>
      </c>
      <c r="M308" s="24">
        <f t="shared" ca="1" si="69"/>
        <v>2</v>
      </c>
      <c r="N308" s="24">
        <f t="shared" ca="1" si="60"/>
        <v>8</v>
      </c>
      <c r="O308" s="24">
        <f t="shared" ca="1" si="61"/>
        <v>4</v>
      </c>
      <c r="P308" s="24">
        <f t="shared" ca="1" si="62"/>
        <v>32</v>
      </c>
      <c r="Q308" s="16" t="str">
        <f t="shared" ca="1" si="63"/>
        <v>Not Promoted</v>
      </c>
      <c r="R308" s="16" t="str" cm="1">
        <f t="array" ref="R308" ca="1">INDEX(Lookup!$E$2:$E$6,RANDBETWEEN(1,5))</f>
        <v>Bachelor's</v>
      </c>
      <c r="S308" s="16" t="str" cm="1">
        <f t="array" ref="S308" ca="1">INDEX(Lookup!$J$2:$J$11,RANDBETWEEN(1,10))</f>
        <v>Sophia Martin</v>
      </c>
      <c r="T308" s="16" t="str">
        <f t="shared" ca="1" si="64"/>
        <v>lucas.hall@hranalytics.com</v>
      </c>
      <c r="U308" s="16" t="str">
        <f t="shared" ca="1" si="65"/>
        <v>0861696058</v>
      </c>
      <c r="V308" s="16" t="str" cm="1">
        <f t="array" ref="V308" ca="1">_xlfn.LET(_xlpm.r,RANDBETWEEN(1,100),_xlfn.IFS(_xlpm.r&lt;=70,"Full-Time",_xlpm.r&lt;=85,"Part-Time",_xlpm.r&lt;=95,"Contract",TRUE,"Intern"))</f>
        <v>Part-Time</v>
      </c>
      <c r="W308" s="16" cm="1">
        <f t="array" ref="W308" ca="1">IF(K308&lt;&gt;"Active",0,_xlfn.IFS(M308=5,L308*15%,M308=4,L308*10%,M308=3,L308*5%,M308=2,L308*2%,TRUE,0))</f>
        <v>2575</v>
      </c>
      <c r="X308" s="24">
        <f t="shared" ca="1" si="66"/>
        <v>2</v>
      </c>
      <c r="Y308" s="24">
        <f t="shared" ca="1" si="67"/>
        <v>1</v>
      </c>
    </row>
    <row r="309" spans="1:25">
      <c r="A309" s="16" t="str">
        <f t="shared" si="68"/>
        <v>EMP308</v>
      </c>
      <c r="B309" s="16" t="str" cm="1">
        <f t="array" ref="B309" ca="1">IF(D309="Male",INDEX(Lookup!$L$2:$L$13,RANDBETWEEN(1,12)),IF(D309="Female",INDEX(Lookup!$M$2:$M$13,RANDBETWEEN(1,12)),INDEX(Lookup!$N$2:$N$13,RANDBETWEEN(1,12))))</f>
        <v>Jamie</v>
      </c>
      <c r="C309" s="16" t="str" cm="1">
        <f t="array" ref="C309" ca="1">INDEX(Lookup!$K$2:$K$31,RANDBETWEEN(1,30))</f>
        <v>Wilson</v>
      </c>
      <c r="D309" s="16" t="str" cm="1">
        <f t="array" ref="D309" ca="1">INDEX(Lookup!$H$2:$H$4,RANDBETWEEN(1,3))</f>
        <v>Other</v>
      </c>
      <c r="E309" s="16">
        <f t="shared" ca="1" si="56"/>
        <v>56</v>
      </c>
      <c r="F309" s="16" t="str" cm="1">
        <f t="array" ref="F309" ca="1">INDEX(Lookup!$A$2:$A$10,RANDBETWEEN(1,9))</f>
        <v>Legal</v>
      </c>
      <c r="G309" s="16" t="str" cm="1">
        <f t="array" ref="G309" ca="1">_xlfn.LET(_xlpm.Roles,_xlfn._xlws.FILTER(Lookup!$P$2:$P$28,Lookup!$O$2:$O$28=F309),INDEX(_xlpm.Roles,RANDBETWEEN(1,ROWS(_xlpm.Roles))))</f>
        <v>Legal Executive</v>
      </c>
      <c r="H309" s="16" t="str" cm="1">
        <f t="array" ref="H309" ca="1">INDEX(Lookup!$B$2:$B$7,RANDBETWEEN(1,6))</f>
        <v>Waterford</v>
      </c>
      <c r="I309" s="22">
        <f t="shared" ca="1" si="57"/>
        <v>43417</v>
      </c>
      <c r="J309" s="22" t="str">
        <f t="shared" ca="1" si="58"/>
        <v/>
      </c>
      <c r="K309" s="16" t="str">
        <f t="shared" ca="1" si="59"/>
        <v>Active</v>
      </c>
      <c r="L309" s="26">
        <f ca="1">_xlfn.XLOOKUP(G309,Lookup!$P$2:$P$28,Lookup!$Q$2:$Q$28)*(1+MIN(X309*3%,30%))</f>
        <v>55120</v>
      </c>
      <c r="M309" s="24">
        <f t="shared" ca="1" si="69"/>
        <v>4</v>
      </c>
      <c r="N309" s="24">
        <f t="shared" ca="1" si="60"/>
        <v>75</v>
      </c>
      <c r="O309" s="24">
        <f t="shared" ca="1" si="61"/>
        <v>19</v>
      </c>
      <c r="P309" s="24">
        <f t="shared" ca="1" si="62"/>
        <v>57</v>
      </c>
      <c r="Q309" s="16" t="str">
        <f t="shared" ca="1" si="63"/>
        <v>Promoted</v>
      </c>
      <c r="R309" s="16" t="str" cm="1">
        <f t="array" ref="R309" ca="1">INDEX(Lookup!$E$2:$E$6,RANDBETWEEN(1,5))</f>
        <v>High School</v>
      </c>
      <c r="S309" s="16" t="str" cm="1">
        <f t="array" ref="S309" ca="1">INDEX(Lookup!$J$2:$J$11,RANDBETWEEN(1,10))</f>
        <v>Grace O'Connor</v>
      </c>
      <c r="T309" s="16" t="str">
        <f t="shared" ca="1" si="64"/>
        <v>jamie.wilson@hranalytics.com</v>
      </c>
      <c r="U309" s="16" t="str">
        <f t="shared" ca="1" si="65"/>
        <v>0886235169</v>
      </c>
      <c r="V309" s="16" t="str" cm="1">
        <f t="array" ref="V309" ca="1">_xlfn.LET(_xlpm.r,RANDBETWEEN(1,100),_xlfn.IFS(_xlpm.r&lt;=70,"Full-Time",_xlpm.r&lt;=85,"Part-Time",_xlpm.r&lt;=95,"Contract",TRUE,"Intern"))</f>
        <v>Part-Time</v>
      </c>
      <c r="W309" s="16" cm="1">
        <f t="array" ref="W309" ca="1">IF(K309&lt;&gt;"Active",0,_xlfn.IFS(M309=5,L309*15%,M309=4,L309*10%,M309=3,L309*5%,M309=2,L309*2%,TRUE,0))</f>
        <v>0</v>
      </c>
      <c r="X309" s="24">
        <f t="shared" ca="1" si="66"/>
        <v>7</v>
      </c>
      <c r="Y309" s="24">
        <f t="shared" ca="1" si="67"/>
        <v>1</v>
      </c>
    </row>
    <row r="310" spans="1:25">
      <c r="A310" s="16" t="str">
        <f t="shared" si="68"/>
        <v>EMP309</v>
      </c>
      <c r="B310" s="16" t="str" cm="1">
        <f t="array" ref="B310" ca="1">IF(D310="Male",INDEX(Lookup!$L$2:$L$13,RANDBETWEEN(1,12)),IF(D310="Female",INDEX(Lookup!$M$2:$M$13,RANDBETWEEN(1,12)),INDEX(Lookup!$N$2:$N$13,RANDBETWEEN(1,12))))</f>
        <v>Hannah</v>
      </c>
      <c r="C310" s="16" t="str" cm="1">
        <f t="array" ref="C310" ca="1">INDEX(Lookup!$K$2:$K$31,RANDBETWEEN(1,30))</f>
        <v>Murphy</v>
      </c>
      <c r="D310" s="16" t="str" cm="1">
        <f t="array" ref="D310" ca="1">INDEX(Lookup!$H$2:$H$4,RANDBETWEEN(1,3))</f>
        <v>Female</v>
      </c>
      <c r="E310" s="16">
        <f t="shared" ca="1" si="56"/>
        <v>58</v>
      </c>
      <c r="F310" s="16" t="str" cm="1">
        <f t="array" ref="F310" ca="1">INDEX(Lookup!$A$2:$A$10,RANDBETWEEN(1,9))</f>
        <v>Legal</v>
      </c>
      <c r="G310" s="16" t="str" cm="1">
        <f t="array" ref="G310" ca="1">_xlfn.LET(_xlpm.Roles,_xlfn._xlws.FILTER(Lookup!$P$2:$P$28,Lookup!$O$2:$O$28=F310),INDEX(_xlpm.Roles,RANDBETWEEN(1,ROWS(_xlpm.Roles))))</f>
        <v>Compliance Officer</v>
      </c>
      <c r="H310" s="16" t="str" cm="1">
        <f t="array" ref="H310" ca="1">INDEX(Lookup!$B$2:$B$7,RANDBETWEEN(1,6))</f>
        <v>Galway</v>
      </c>
      <c r="I310" s="22">
        <f t="shared" ca="1" si="57"/>
        <v>44988</v>
      </c>
      <c r="J310" s="22">
        <f t="shared" ca="1" si="58"/>
        <v>46388</v>
      </c>
      <c r="K310" s="16" t="str">
        <f t="shared" ca="1" si="59"/>
        <v>Resigned</v>
      </c>
      <c r="L310" s="26">
        <f ca="1">_xlfn.XLOOKUP(G310,Lookup!$P$2:$P$28,Lookup!$Q$2:$Q$28)*(1+MIN(X310*3%,30%))</f>
        <v>65400</v>
      </c>
      <c r="M310" s="24">
        <f t="shared" ca="1" si="69"/>
        <v>1</v>
      </c>
      <c r="N310" s="24">
        <f t="shared" ca="1" si="60"/>
        <v>70</v>
      </c>
      <c r="O310" s="24">
        <f t="shared" ca="1" si="61"/>
        <v>11</v>
      </c>
      <c r="P310" s="24">
        <f t="shared" ca="1" si="62"/>
        <v>41</v>
      </c>
      <c r="Q310" s="16" t="str">
        <f t="shared" ca="1" si="63"/>
        <v>Promoted</v>
      </c>
      <c r="R310" s="16" t="str" cm="1">
        <f t="array" ref="R310" ca="1">INDEX(Lookup!$E$2:$E$6,RANDBETWEEN(1,5))</f>
        <v>Dipolma</v>
      </c>
      <c r="S310" s="16" t="str" cm="1">
        <f t="array" ref="S310" ca="1">INDEX(Lookup!$J$2:$J$11,RANDBETWEEN(1,10))</f>
        <v>Grace O'Connor</v>
      </c>
      <c r="T310" s="16" t="str">
        <f t="shared" ca="1" si="64"/>
        <v>hannah.murphy@hranalytics.com</v>
      </c>
      <c r="U310" s="16" t="str">
        <f t="shared" ca="1" si="65"/>
        <v>0863197141</v>
      </c>
      <c r="V310" s="16" t="str" cm="1">
        <f t="array" ref="V310" ca="1">_xlfn.LET(_xlpm.r,RANDBETWEEN(1,100),_xlfn.IFS(_xlpm.r&lt;=70,"Full-Time",_xlpm.r&lt;=85,"Part-Time",_xlpm.r&lt;=95,"Contract",TRUE,"Intern"))</f>
        <v>Part-Time</v>
      </c>
      <c r="W310" s="16" cm="1">
        <f t="array" ref="W310" ca="1">IF(K310&lt;&gt;"Active",0,_xlfn.IFS(M310=5,L310*15%,M310=4,L310*10%,M310=3,L310*5%,M310=2,L310*2%,TRUE,0))</f>
        <v>9810</v>
      </c>
      <c r="X310" s="24">
        <f t="shared" ca="1" si="66"/>
        <v>3</v>
      </c>
      <c r="Y310" s="24">
        <f t="shared" ca="1" si="67"/>
        <v>3</v>
      </c>
    </row>
    <row r="311" spans="1:25">
      <c r="A311" s="16" t="str">
        <f t="shared" si="68"/>
        <v>EMP310</v>
      </c>
      <c r="B311" s="16" t="str" cm="1">
        <f t="array" ref="B311" ca="1">IF(D311="Male",INDEX(Lookup!$L$2:$L$13,RANDBETWEEN(1,12)),IF(D311="Female",INDEX(Lookup!$M$2:$M$13,RANDBETWEEN(1,12)),INDEX(Lookup!$N$2:$N$13,RANDBETWEEN(1,12))))</f>
        <v>Amelia</v>
      </c>
      <c r="C311" s="16" t="str" cm="1">
        <f t="array" ref="C311" ca="1">INDEX(Lookup!$K$2:$K$31,RANDBETWEEN(1,30))</f>
        <v>Collins</v>
      </c>
      <c r="D311" s="16" t="str" cm="1">
        <f t="array" ref="D311" ca="1">INDEX(Lookup!$H$2:$H$4,RANDBETWEEN(1,3))</f>
        <v>Female</v>
      </c>
      <c r="E311" s="16">
        <f t="shared" ca="1" si="56"/>
        <v>30</v>
      </c>
      <c r="F311" s="16" t="str" cm="1">
        <f t="array" ref="F311" ca="1">INDEX(Lookup!$A$2:$A$10,RANDBETWEEN(1,9))</f>
        <v>Legal</v>
      </c>
      <c r="G311" s="16" t="str" cm="1">
        <f t="array" ref="G311" ca="1">_xlfn.LET(_xlpm.Roles,_xlfn._xlws.FILTER(Lookup!$P$2:$P$28,Lookup!$O$2:$O$28=F311),INDEX(_xlpm.Roles,RANDBETWEEN(1,ROWS(_xlpm.Roles))))</f>
        <v>Legal Executive</v>
      </c>
      <c r="H311" s="16" t="str" cm="1">
        <f t="array" ref="H311" ca="1">INDEX(Lookup!$B$2:$B$7,RANDBETWEEN(1,6))</f>
        <v>Dublin</v>
      </c>
      <c r="I311" s="22">
        <f t="shared" ca="1" si="57"/>
        <v>43435</v>
      </c>
      <c r="J311" s="22" t="str">
        <f t="shared" ca="1" si="58"/>
        <v/>
      </c>
      <c r="K311" s="16" t="str">
        <f t="shared" ca="1" si="59"/>
        <v>Active</v>
      </c>
      <c r="L311" s="26">
        <f ca="1">_xlfn.XLOOKUP(G311,Lookup!$P$2:$P$28,Lookup!$Q$2:$Q$28)*(1+MIN(X311*3%,30%))</f>
        <v>58240</v>
      </c>
      <c r="M311" s="24">
        <f t="shared" ca="1" si="69"/>
        <v>4</v>
      </c>
      <c r="N311" s="24">
        <f t="shared" ca="1" si="60"/>
        <v>17</v>
      </c>
      <c r="O311" s="24">
        <f t="shared" ca="1" si="61"/>
        <v>5</v>
      </c>
      <c r="P311" s="24">
        <f t="shared" ca="1" si="62"/>
        <v>8</v>
      </c>
      <c r="Q311" s="16" t="str">
        <f t="shared" ca="1" si="63"/>
        <v>Promoted</v>
      </c>
      <c r="R311" s="16" t="str" cm="1">
        <f t="array" ref="R311" ca="1">INDEX(Lookup!$E$2:$E$6,RANDBETWEEN(1,5))</f>
        <v>Bachelor's</v>
      </c>
      <c r="S311" s="16" t="str" cm="1">
        <f t="array" ref="S311" ca="1">INDEX(Lookup!$J$2:$J$11,RANDBETWEEN(1,10))</f>
        <v>Sarah Johnson</v>
      </c>
      <c r="T311" s="16" t="str">
        <f t="shared" ca="1" si="64"/>
        <v>amelia.collins@hranalytics.com</v>
      </c>
      <c r="U311" s="16" t="str">
        <f t="shared" ca="1" si="65"/>
        <v>0841515154</v>
      </c>
      <c r="V311" s="16" t="str" cm="1">
        <f t="array" ref="V311" ca="1">_xlfn.LET(_xlpm.r,RANDBETWEEN(1,100),_xlfn.IFS(_xlpm.r&lt;=70,"Full-Time",_xlpm.r&lt;=85,"Part-Time",_xlpm.r&lt;=95,"Contract",TRUE,"Intern"))</f>
        <v>Full-Time</v>
      </c>
      <c r="W311" s="16" cm="1">
        <f t="array" ref="W311" ca="1">IF(K311&lt;&gt;"Active",0,_xlfn.IFS(M311=5,L311*15%,M311=4,L311*10%,M311=3,L311*5%,M311=2,L311*2%,TRUE,0))</f>
        <v>0</v>
      </c>
      <c r="X311" s="24">
        <f t="shared" ca="1" si="66"/>
        <v>7</v>
      </c>
      <c r="Y311" s="24">
        <f t="shared" ca="1" si="67"/>
        <v>3</v>
      </c>
    </row>
    <row r="312" spans="1:25">
      <c r="A312" s="16" t="str">
        <f t="shared" si="68"/>
        <v>EMP311</v>
      </c>
      <c r="B312" s="16" t="str" cm="1">
        <f t="array" ref="B312" ca="1">IF(D312="Male",INDEX(Lookup!$L$2:$L$13,RANDBETWEEN(1,12)),IF(D312="Female",INDEX(Lookup!$M$2:$M$13,RANDBETWEEN(1,12)),INDEX(Lookup!$N$2:$N$13,RANDBETWEEN(1,12))))</f>
        <v>Isabella</v>
      </c>
      <c r="C312" s="16" t="str" cm="1">
        <f t="array" ref="C312" ca="1">INDEX(Lookup!$K$2:$K$31,RANDBETWEEN(1,30))</f>
        <v>Nelson</v>
      </c>
      <c r="D312" s="16" t="str" cm="1">
        <f t="array" ref="D312" ca="1">INDEX(Lookup!$H$2:$H$4,RANDBETWEEN(1,3))</f>
        <v>Female</v>
      </c>
      <c r="E312" s="16">
        <f t="shared" ca="1" si="56"/>
        <v>22</v>
      </c>
      <c r="F312" s="16" t="str" cm="1">
        <f t="array" ref="F312" ca="1">INDEX(Lookup!$A$2:$A$10,RANDBETWEEN(1,9))</f>
        <v>Customer Support</v>
      </c>
      <c r="G312" s="16" t="str" cm="1">
        <f t="array" ref="G312" ca="1">_xlfn.LET(_xlpm.Roles,_xlfn._xlws.FILTER(Lookup!$P$2:$P$28,Lookup!$O$2:$O$28=F312),INDEX(_xlpm.Roles,RANDBETWEEN(1,ROWS(_xlpm.Roles))))</f>
        <v>Customer Success Specialist</v>
      </c>
      <c r="H312" s="16" t="str" cm="1">
        <f t="array" ref="H312" ca="1">INDEX(Lookup!$B$2:$B$7,RANDBETWEEN(1,6))</f>
        <v>Belfast</v>
      </c>
      <c r="I312" s="22">
        <f t="shared" ca="1" si="57"/>
        <v>44881</v>
      </c>
      <c r="J312" s="22" t="str">
        <f t="shared" ca="1" si="58"/>
        <v/>
      </c>
      <c r="K312" s="16" t="str">
        <f t="shared" ca="1" si="59"/>
        <v>Active</v>
      </c>
      <c r="L312" s="26">
        <f ca="1">_xlfn.XLOOKUP(G312,Lookup!$P$2:$P$28,Lookup!$Q$2:$Q$28)*(1+MIN(X312*3%,30%))</f>
        <v>48300</v>
      </c>
      <c r="M312" s="24">
        <f t="shared" ca="1" si="69"/>
        <v>5</v>
      </c>
      <c r="N312" s="24">
        <f t="shared" ca="1" si="60"/>
        <v>1</v>
      </c>
      <c r="O312" s="24">
        <f t="shared" ca="1" si="61"/>
        <v>20</v>
      </c>
      <c r="P312" s="24">
        <f t="shared" ca="1" si="62"/>
        <v>56</v>
      </c>
      <c r="Q312" s="16" t="str">
        <f t="shared" ca="1" si="63"/>
        <v>Not Promoted</v>
      </c>
      <c r="R312" s="16" t="str" cm="1">
        <f t="array" ref="R312" ca="1">INDEX(Lookup!$E$2:$E$6,RANDBETWEEN(1,5))</f>
        <v>Bachelor's</v>
      </c>
      <c r="S312" s="16" t="str" cm="1">
        <f t="array" ref="S312" ca="1">INDEX(Lookup!$J$2:$J$11,RANDBETWEEN(1,10))</f>
        <v>Sarah Johnson</v>
      </c>
      <c r="T312" s="16" t="str">
        <f t="shared" ca="1" si="64"/>
        <v>isabella.nelson@hranalytics.com</v>
      </c>
      <c r="U312" s="16" t="str">
        <f t="shared" ca="1" si="65"/>
        <v>0859735053</v>
      </c>
      <c r="V312" s="16" t="str" cm="1">
        <f t="array" ref="V312" ca="1">_xlfn.LET(_xlpm.r,RANDBETWEEN(1,100),_xlfn.IFS(_xlpm.r&lt;=70,"Full-Time",_xlpm.r&lt;=85,"Part-Time",_xlpm.r&lt;=95,"Contract",TRUE,"Intern"))</f>
        <v>Contract</v>
      </c>
      <c r="W312" s="16" cm="1">
        <f t="array" ref="W312" ca="1">IF(K312&lt;&gt;"Active",0,_xlfn.IFS(M312=5,L312*15%,M312=4,L312*10%,M312=3,L312*5%,M312=2,L312*2%,TRUE,0))</f>
        <v>0</v>
      </c>
      <c r="X312" s="24">
        <f t="shared" ca="1" si="66"/>
        <v>3</v>
      </c>
      <c r="Y312" s="24">
        <f t="shared" ca="1" si="67"/>
        <v>3</v>
      </c>
    </row>
    <row r="313" spans="1:25">
      <c r="A313" s="16" t="str">
        <f t="shared" si="68"/>
        <v>EMP312</v>
      </c>
      <c r="B313" s="16" t="str" cm="1">
        <f t="array" ref="B313" ca="1">IF(D313="Male",INDEX(Lookup!$L$2:$L$13,RANDBETWEEN(1,12)),IF(D313="Female",INDEX(Lookup!$M$2:$M$13,RANDBETWEEN(1,12)),INDEX(Lookup!$N$2:$N$13,RANDBETWEEN(1,12))))</f>
        <v>Skyler</v>
      </c>
      <c r="C313" s="16" t="str" cm="1">
        <f t="array" ref="C313" ca="1">INDEX(Lookup!$K$2:$K$31,RANDBETWEEN(1,30))</f>
        <v>Moore</v>
      </c>
      <c r="D313" s="16" t="str" cm="1">
        <f t="array" ref="D313" ca="1">INDEX(Lookup!$H$2:$H$4,RANDBETWEEN(1,3))</f>
        <v>Other</v>
      </c>
      <c r="E313" s="16">
        <f t="shared" ca="1" si="56"/>
        <v>45</v>
      </c>
      <c r="F313" s="16" t="str" cm="1">
        <f t="array" ref="F313" ca="1">INDEX(Lookup!$A$2:$A$10,RANDBETWEEN(1,9))</f>
        <v>Procurement</v>
      </c>
      <c r="G313" s="16" t="str" cm="1">
        <f t="array" ref="G313" ca="1">_xlfn.LET(_xlpm.Roles,_xlfn._xlws.FILTER(Lookup!$P$2:$P$28,Lookup!$O$2:$O$28=F313),INDEX(_xlpm.Roles,RANDBETWEEN(1,ROWS(_xlpm.Roles))))</f>
        <v>Procurement Analyst</v>
      </c>
      <c r="H313" s="16" t="str" cm="1">
        <f t="array" ref="H313" ca="1">INDEX(Lookup!$B$2:$B$7,RANDBETWEEN(1,6))</f>
        <v>Galway</v>
      </c>
      <c r="I313" s="22">
        <f t="shared" ca="1" si="57"/>
        <v>45492</v>
      </c>
      <c r="J313" s="22">
        <f t="shared" ca="1" si="58"/>
        <v>47138</v>
      </c>
      <c r="K313" s="16" t="str">
        <f t="shared" ca="1" si="59"/>
        <v>Resigned</v>
      </c>
      <c r="L313" s="26">
        <f ca="1">_xlfn.XLOOKUP(G313,Lookup!$P$2:$P$28,Lookup!$Q$2:$Q$28)*(1+MIN(X313*3%,30%))</f>
        <v>62000</v>
      </c>
      <c r="M313" s="24">
        <f t="shared" ca="1" si="69"/>
        <v>3</v>
      </c>
      <c r="N313" s="24">
        <f t="shared" ca="1" si="60"/>
        <v>78</v>
      </c>
      <c r="O313" s="24">
        <f t="shared" ca="1" si="61"/>
        <v>9</v>
      </c>
      <c r="P313" s="24">
        <f t="shared" ca="1" si="62"/>
        <v>29</v>
      </c>
      <c r="Q313" s="16" t="str">
        <f t="shared" ca="1" si="63"/>
        <v>Promoted</v>
      </c>
      <c r="R313" s="16" t="str" cm="1">
        <f t="array" ref="R313" ca="1">INDEX(Lookup!$E$2:$E$6,RANDBETWEEN(1,5))</f>
        <v>Dipolma</v>
      </c>
      <c r="S313" s="16" t="str" cm="1">
        <f t="array" ref="S313" ca="1">INDEX(Lookup!$J$2:$J$11,RANDBETWEEN(1,10))</f>
        <v>Sophia Martin</v>
      </c>
      <c r="T313" s="16" t="str">
        <f t="shared" ca="1" si="64"/>
        <v>skyler.moore@hranalytics.com</v>
      </c>
      <c r="U313" s="16" t="str">
        <f t="shared" ca="1" si="65"/>
        <v>0849465637</v>
      </c>
      <c r="V313" s="16" t="str" cm="1">
        <f t="array" ref="V313" ca="1">_xlfn.LET(_xlpm.r,RANDBETWEEN(1,100),_xlfn.IFS(_xlpm.r&lt;=70,"Full-Time",_xlpm.r&lt;=85,"Part-Time",_xlpm.r&lt;=95,"Contract",TRUE,"Intern"))</f>
        <v>Full-Time</v>
      </c>
      <c r="W313" s="16" cm="1">
        <f t="array" ref="W313" ca="1">IF(K313&lt;&gt;"Active",0,_xlfn.IFS(M313=5,L313*15%,M313=4,L313*10%,M313=3,L313*5%,M313=2,L313*2%,TRUE,0))</f>
        <v>9300</v>
      </c>
      <c r="X313" s="24">
        <f t="shared" ca="1" si="66"/>
        <v>2</v>
      </c>
      <c r="Y313" s="24">
        <f t="shared" ca="1" si="67"/>
        <v>3</v>
      </c>
    </row>
    <row r="314" spans="1:25">
      <c r="A314" s="16" t="str">
        <f t="shared" si="68"/>
        <v>EMP313</v>
      </c>
      <c r="B314" s="16" t="str" cm="1">
        <f t="array" ref="B314" ca="1">IF(D314="Male",INDEX(Lookup!$L$2:$L$13,RANDBETWEEN(1,12)),IF(D314="Female",INDEX(Lookup!$M$2:$M$13,RANDBETWEEN(1,12)),INDEX(Lookup!$N$2:$N$13,RANDBETWEEN(1,12))))</f>
        <v>Quinn</v>
      </c>
      <c r="C314" s="16" t="str" cm="1">
        <f t="array" ref="C314" ca="1">INDEX(Lookup!$K$2:$K$31,RANDBETWEEN(1,30))</f>
        <v>Edwards</v>
      </c>
      <c r="D314" s="16" t="str" cm="1">
        <f t="array" ref="D314" ca="1">INDEX(Lookup!$H$2:$H$4,RANDBETWEEN(1,3))</f>
        <v>Other</v>
      </c>
      <c r="E314" s="16">
        <f t="shared" ca="1" si="56"/>
        <v>55</v>
      </c>
      <c r="F314" s="16" t="str" cm="1">
        <f t="array" ref="F314" ca="1">INDEX(Lookup!$A$2:$A$10,RANDBETWEEN(1,9))</f>
        <v>Finance</v>
      </c>
      <c r="G314" s="16" t="str" cm="1">
        <f t="array" ref="G314" ca="1">_xlfn.LET(_xlpm.Roles,_xlfn._xlws.FILTER(Lookup!$P$2:$P$28,Lookup!$O$2:$O$28=F314),INDEX(_xlpm.Roles,RANDBETWEEN(1,ROWS(_xlpm.Roles))))</f>
        <v>Accountant</v>
      </c>
      <c r="H314" s="16" t="str" cm="1">
        <f t="array" ref="H314" ca="1">INDEX(Lookup!$B$2:$B$7,RANDBETWEEN(1,6))</f>
        <v>Waterford</v>
      </c>
      <c r="I314" s="22">
        <f t="shared" ca="1" si="57"/>
        <v>43597</v>
      </c>
      <c r="J314" s="22" t="str">
        <f t="shared" ca="1" si="58"/>
        <v/>
      </c>
      <c r="K314" s="16" t="str">
        <f t="shared" ca="1" si="59"/>
        <v>Active</v>
      </c>
      <c r="L314" s="26">
        <f ca="1">_xlfn.XLOOKUP(G314,Lookup!$P$2:$P$28,Lookup!$Q$2:$Q$28)*(1+MIN(X314*3%,30%))</f>
        <v>56000</v>
      </c>
      <c r="M314" s="24">
        <f t="shared" ca="1" si="69"/>
        <v>2</v>
      </c>
      <c r="N314" s="24">
        <f t="shared" ca="1" si="60"/>
        <v>66</v>
      </c>
      <c r="O314" s="24">
        <f t="shared" ca="1" si="61"/>
        <v>14</v>
      </c>
      <c r="P314" s="24">
        <f t="shared" ca="1" si="62"/>
        <v>60</v>
      </c>
      <c r="Q314" s="16" t="str">
        <f t="shared" ca="1" si="63"/>
        <v>Promoted</v>
      </c>
      <c r="R314" s="16" t="str" cm="1">
        <f t="array" ref="R314" ca="1">INDEX(Lookup!$E$2:$E$6,RANDBETWEEN(1,5))</f>
        <v>Dipolma</v>
      </c>
      <c r="S314" s="16" t="str" cm="1">
        <f t="array" ref="S314" ca="1">INDEX(Lookup!$J$2:$J$11,RANDBETWEEN(1,10))</f>
        <v>David Murphy</v>
      </c>
      <c r="T314" s="16" t="str">
        <f t="shared" ca="1" si="64"/>
        <v>quinn.edwards@hranalytics.com</v>
      </c>
      <c r="U314" s="16" t="str">
        <f t="shared" ca="1" si="65"/>
        <v>0891624218</v>
      </c>
      <c r="V314" s="16" t="str" cm="1">
        <f t="array" ref="V314" ca="1">_xlfn.LET(_xlpm.r,RANDBETWEEN(1,100),_xlfn.IFS(_xlpm.r&lt;=70,"Full-Time",_xlpm.r&lt;=85,"Part-Time",_xlpm.r&lt;=95,"Contract",TRUE,"Intern"))</f>
        <v>Full-Time</v>
      </c>
      <c r="W314" s="16" cm="1">
        <f t="array" ref="W314" ca="1">IF(K314&lt;&gt;"Active",0,_xlfn.IFS(M314=5,L314*15%,M314=4,L314*10%,M314=3,L314*5%,M314=2,L314*2%,TRUE,0))</f>
        <v>1120</v>
      </c>
      <c r="X314" s="24">
        <f t="shared" ca="1" si="66"/>
        <v>7</v>
      </c>
      <c r="Y314" s="24">
        <f t="shared" ca="1" si="67"/>
        <v>1</v>
      </c>
    </row>
    <row r="315" spans="1:25">
      <c r="A315" s="16" t="str">
        <f t="shared" si="68"/>
        <v>EMP314</v>
      </c>
      <c r="B315" s="16" t="str" cm="1">
        <f t="array" ref="B315" ca="1">IF(D315="Male",INDEX(Lookup!$L$2:$L$13,RANDBETWEEN(1,12)),IF(D315="Female",INDEX(Lookup!$M$2:$M$13,RANDBETWEEN(1,12)),INDEX(Lookup!$N$2:$N$13,RANDBETWEEN(1,12))))</f>
        <v>John</v>
      </c>
      <c r="C315" s="16" t="str" cm="1">
        <f t="array" ref="C315" ca="1">INDEX(Lookup!$K$2:$K$31,RANDBETWEEN(1,30))</f>
        <v>Adams</v>
      </c>
      <c r="D315" s="16" t="str" cm="1">
        <f t="array" ref="D315" ca="1">INDEX(Lookup!$H$2:$H$4,RANDBETWEEN(1,3))</f>
        <v>Male</v>
      </c>
      <c r="E315" s="16">
        <f t="shared" ca="1" si="56"/>
        <v>21</v>
      </c>
      <c r="F315" s="16" t="str" cm="1">
        <f t="array" ref="F315" ca="1">INDEX(Lookup!$A$2:$A$10,RANDBETWEEN(1,9))</f>
        <v>Procurement</v>
      </c>
      <c r="G315" s="16" t="str" cm="1">
        <f t="array" ref="G315" ca="1">_xlfn.LET(_xlpm.Roles,_xlfn._xlws.FILTER(Lookup!$P$2:$P$28,Lookup!$O$2:$O$28=F315),INDEX(_xlpm.Roles,RANDBETWEEN(1,ROWS(_xlpm.Roles))))</f>
        <v>Procurement Officer</v>
      </c>
      <c r="H315" s="16" t="str" cm="1">
        <f t="array" ref="H315" ca="1">INDEX(Lookup!$B$2:$B$7,RANDBETWEEN(1,6))</f>
        <v>Cork</v>
      </c>
      <c r="I315" s="22">
        <f t="shared" ca="1" si="57"/>
        <v>45543</v>
      </c>
      <c r="J315" s="22" t="str">
        <f t="shared" ca="1" si="58"/>
        <v/>
      </c>
      <c r="K315" s="16" t="str">
        <f t="shared" ca="1" si="59"/>
        <v>Active</v>
      </c>
      <c r="L315" s="26">
        <f ca="1">_xlfn.XLOOKUP(G315,Lookup!$P$2:$P$28,Lookup!$Q$2:$Q$28)*(1+MIN(X315*3%,30%))</f>
        <v>47700</v>
      </c>
      <c r="M315" s="24">
        <f t="shared" ca="1" si="69"/>
        <v>2</v>
      </c>
      <c r="N315" s="24">
        <f t="shared" ca="1" si="60"/>
        <v>60</v>
      </c>
      <c r="O315" s="24">
        <f t="shared" ca="1" si="61"/>
        <v>16</v>
      </c>
      <c r="P315" s="24">
        <f t="shared" ca="1" si="62"/>
        <v>39</v>
      </c>
      <c r="Q315" s="16" t="str">
        <f t="shared" ca="1" si="63"/>
        <v>Promoted</v>
      </c>
      <c r="R315" s="16" t="str" cm="1">
        <f t="array" ref="R315" ca="1">INDEX(Lookup!$E$2:$E$6,RANDBETWEEN(1,5))</f>
        <v>PhD</v>
      </c>
      <c r="S315" s="16" t="str" cm="1">
        <f t="array" ref="S315" ca="1">INDEX(Lookup!$J$2:$J$11,RANDBETWEEN(1,10))</f>
        <v>Olivia Smith</v>
      </c>
      <c r="T315" s="16" t="str">
        <f t="shared" ca="1" si="64"/>
        <v>john.adams@hranalytics.com</v>
      </c>
      <c r="U315" s="16" t="str">
        <f t="shared" ca="1" si="65"/>
        <v>0849878910</v>
      </c>
      <c r="V315" s="16" t="str" cm="1">
        <f t="array" ref="V315" ca="1">_xlfn.LET(_xlpm.r,RANDBETWEEN(1,100),_xlfn.IFS(_xlpm.r&lt;=70,"Full-Time",_xlpm.r&lt;=85,"Part-Time",_xlpm.r&lt;=95,"Contract",TRUE,"Intern"))</f>
        <v>Full-Time</v>
      </c>
      <c r="W315" s="16" cm="1">
        <f t="array" ref="W315" ca="1">IF(K315&lt;&gt;"Active",0,_xlfn.IFS(M315=5,L315*15%,M315=4,L315*10%,M315=3,L315*5%,M315=2,L315*2%,TRUE,0))</f>
        <v>4770</v>
      </c>
      <c r="X315" s="24">
        <f t="shared" ca="1" si="66"/>
        <v>1</v>
      </c>
      <c r="Y315" s="24">
        <f t="shared" ca="1" si="67"/>
        <v>1</v>
      </c>
    </row>
    <row r="316" spans="1:25">
      <c r="A316" s="16" t="str">
        <f t="shared" si="68"/>
        <v>EMP315</v>
      </c>
      <c r="B316" s="16" t="str" cm="1">
        <f t="array" ref="B316" ca="1">IF(D316="Male",INDEX(Lookup!$L$2:$L$13,RANDBETWEEN(1,12)),IF(D316="Female",INDEX(Lookup!$M$2:$M$13,RANDBETWEEN(1,12)),INDEX(Lookup!$N$2:$N$13,RANDBETWEEN(1,12))))</f>
        <v>Taylor</v>
      </c>
      <c r="C316" s="16" t="str" cm="1">
        <f t="array" ref="C316" ca="1">INDEX(Lookup!$K$2:$K$31,RANDBETWEEN(1,30))</f>
        <v>Parker</v>
      </c>
      <c r="D316" s="16" t="str" cm="1">
        <f t="array" ref="D316" ca="1">INDEX(Lookup!$H$2:$H$4,RANDBETWEEN(1,3))</f>
        <v>Other</v>
      </c>
      <c r="E316" s="16">
        <f t="shared" ca="1" si="56"/>
        <v>41</v>
      </c>
      <c r="F316" s="16" t="str" cm="1">
        <f t="array" ref="F316" ca="1">INDEX(Lookup!$A$2:$A$10,RANDBETWEEN(1,9))</f>
        <v>Finance</v>
      </c>
      <c r="G316" s="16" t="str" cm="1">
        <f t="array" ref="G316" ca="1">_xlfn.LET(_xlpm.Roles,_xlfn._xlws.FILTER(Lookup!$P$2:$P$28,Lookup!$O$2:$O$28=F316),INDEX(_xlpm.Roles,RANDBETWEEN(1,ROWS(_xlpm.Roles))))</f>
        <v>Financial Analyst</v>
      </c>
      <c r="H316" s="16" t="str" cm="1">
        <f t="array" ref="H316" ca="1">INDEX(Lookup!$B$2:$B$7,RANDBETWEEN(1,6))</f>
        <v>Waterford</v>
      </c>
      <c r="I316" s="22">
        <f t="shared" ca="1" si="57"/>
        <v>45423</v>
      </c>
      <c r="J316" s="22" t="str">
        <f t="shared" ca="1" si="58"/>
        <v/>
      </c>
      <c r="K316" s="16" t="str">
        <f t="shared" ca="1" si="59"/>
        <v>Active</v>
      </c>
      <c r="L316" s="26">
        <f ca="1">_xlfn.XLOOKUP(G316,Lookup!$P$2:$P$28,Lookup!$Q$2:$Q$28)*(1+MIN(X316*3%,30%))</f>
        <v>63220</v>
      </c>
      <c r="M316" s="24">
        <f t="shared" ca="1" si="69"/>
        <v>4</v>
      </c>
      <c r="N316" s="24">
        <f t="shared" ca="1" si="60"/>
        <v>5</v>
      </c>
      <c r="O316" s="24">
        <f t="shared" ca="1" si="61"/>
        <v>11</v>
      </c>
      <c r="P316" s="24">
        <f t="shared" ca="1" si="62"/>
        <v>24</v>
      </c>
      <c r="Q316" s="16" t="str">
        <f t="shared" ca="1" si="63"/>
        <v>Promoted</v>
      </c>
      <c r="R316" s="16" t="str" cm="1">
        <f t="array" ref="R316" ca="1">INDEX(Lookup!$E$2:$E$6,RANDBETWEEN(1,5))</f>
        <v>Master's</v>
      </c>
      <c r="S316" s="16" t="str" cm="1">
        <f t="array" ref="S316" ca="1">INDEX(Lookup!$J$2:$J$11,RANDBETWEEN(1,10))</f>
        <v>Sophia Martin</v>
      </c>
      <c r="T316" s="16" t="str">
        <f t="shared" ca="1" si="64"/>
        <v>taylor.parker@hranalytics.com</v>
      </c>
      <c r="U316" s="16" t="str">
        <f t="shared" ca="1" si="65"/>
        <v>0893772431</v>
      </c>
      <c r="V316" s="16" t="str" cm="1">
        <f t="array" ref="V316" ca="1">_xlfn.LET(_xlpm.r,RANDBETWEEN(1,100),_xlfn.IFS(_xlpm.r&lt;=70,"Full-Time",_xlpm.r&lt;=85,"Part-Time",_xlpm.r&lt;=95,"Contract",TRUE,"Intern"))</f>
        <v>Part-Time</v>
      </c>
      <c r="W316" s="16" cm="1">
        <f t="array" ref="W316" ca="1">IF(K316&lt;&gt;"Active",0,_xlfn.IFS(M316=5,L316*15%,M316=4,L316*10%,M316=3,L316*5%,M316=2,L316*2%,TRUE,0))</f>
        <v>6322</v>
      </c>
      <c r="X316" s="24">
        <f t="shared" ca="1" si="66"/>
        <v>2</v>
      </c>
      <c r="Y316" s="24">
        <f t="shared" ca="1" si="67"/>
        <v>2</v>
      </c>
    </row>
    <row r="317" spans="1:25">
      <c r="A317" s="16" t="str">
        <f t="shared" si="68"/>
        <v>EMP316</v>
      </c>
      <c r="B317" s="16" t="str" cm="1">
        <f t="array" ref="B317" ca="1">IF(D317="Male",INDEX(Lookup!$L$2:$L$13,RANDBETWEEN(1,12)),IF(D317="Female",INDEX(Lookup!$M$2:$M$13,RANDBETWEEN(1,12)),INDEX(Lookup!$N$2:$N$13,RANDBETWEEN(1,12))))</f>
        <v>Ella</v>
      </c>
      <c r="C317" s="16" t="str" cm="1">
        <f t="array" ref="C317" ca="1">INDEX(Lookup!$K$2:$K$31,RANDBETWEEN(1,30))</f>
        <v>Allen</v>
      </c>
      <c r="D317" s="16" t="str" cm="1">
        <f t="array" ref="D317" ca="1">INDEX(Lookup!$H$2:$H$4,RANDBETWEEN(1,3))</f>
        <v>Female</v>
      </c>
      <c r="E317" s="16">
        <f t="shared" ca="1" si="56"/>
        <v>49</v>
      </c>
      <c r="F317" s="16" t="str" cm="1">
        <f t="array" ref="F317" ca="1">INDEX(Lookup!$A$2:$A$10,RANDBETWEEN(1,9))</f>
        <v>HR</v>
      </c>
      <c r="G317" s="16" t="str" cm="1">
        <f t="array" ref="G317" ca="1">_xlfn.LET(_xlpm.Roles,_xlfn._xlws.FILTER(Lookup!$P$2:$P$28,Lookup!$O$2:$O$28=F317),INDEX(_xlpm.Roles,RANDBETWEEN(1,ROWS(_xlpm.Roles))))</f>
        <v>HR Assistant</v>
      </c>
      <c r="H317" s="16" t="str" cm="1">
        <f t="array" ref="H317" ca="1">INDEX(Lookup!$B$2:$B$7,RANDBETWEEN(1,6))</f>
        <v>Belfast</v>
      </c>
      <c r="I317" s="22">
        <f t="shared" ca="1" si="57"/>
        <v>43895</v>
      </c>
      <c r="J317" s="22" t="str">
        <f t="shared" ca="1" si="58"/>
        <v/>
      </c>
      <c r="K317" s="16" t="str">
        <f t="shared" ca="1" si="59"/>
        <v>Active</v>
      </c>
      <c r="L317" s="26">
        <f ca="1">_xlfn.XLOOKUP(G317,Lookup!$P$2:$P$28,Lookup!$Q$2:$Q$28)*(1+MIN(X317*3%,30%))</f>
        <v>42160</v>
      </c>
      <c r="M317" s="24">
        <f t="shared" ca="1" si="69"/>
        <v>1</v>
      </c>
      <c r="N317" s="24">
        <f t="shared" ca="1" si="60"/>
        <v>50</v>
      </c>
      <c r="O317" s="24">
        <f t="shared" ca="1" si="61"/>
        <v>13</v>
      </c>
      <c r="P317" s="24">
        <f t="shared" ca="1" si="62"/>
        <v>16</v>
      </c>
      <c r="Q317" s="16" t="str">
        <f t="shared" ca="1" si="63"/>
        <v>Promoted</v>
      </c>
      <c r="R317" s="16" t="str" cm="1">
        <f t="array" ref="R317" ca="1">INDEX(Lookup!$E$2:$E$6,RANDBETWEEN(1,5))</f>
        <v>PhD</v>
      </c>
      <c r="S317" s="16" t="str" cm="1">
        <f t="array" ref="S317" ca="1">INDEX(Lookup!$J$2:$J$11,RANDBETWEEN(1,10))</f>
        <v>Sophia Martin</v>
      </c>
      <c r="T317" s="16" t="str">
        <f t="shared" ca="1" si="64"/>
        <v>ella.allen@hranalytics.com</v>
      </c>
      <c r="U317" s="16" t="str">
        <f t="shared" ca="1" si="65"/>
        <v>0836471487</v>
      </c>
      <c r="V317" s="16" t="str" cm="1">
        <f t="array" ref="V317" ca="1">_xlfn.LET(_xlpm.r,RANDBETWEEN(1,100),_xlfn.IFS(_xlpm.r&lt;=70,"Full-Time",_xlpm.r&lt;=85,"Part-Time",_xlpm.r&lt;=95,"Contract",TRUE,"Intern"))</f>
        <v>Intern</v>
      </c>
      <c r="W317" s="16" cm="1">
        <f t="array" ref="W317" ca="1">IF(K317&lt;&gt;"Active",0,_xlfn.IFS(M317=5,L317*15%,M317=4,L317*10%,M317=3,L317*5%,M317=2,L317*2%,TRUE,0))</f>
        <v>4216</v>
      </c>
      <c r="X317" s="24">
        <f t="shared" ca="1" si="66"/>
        <v>6</v>
      </c>
      <c r="Y317" s="24">
        <f t="shared" ca="1" si="67"/>
        <v>2</v>
      </c>
    </row>
    <row r="318" spans="1:25">
      <c r="A318" s="16" t="str">
        <f t="shared" si="68"/>
        <v>EMP317</v>
      </c>
      <c r="B318" s="16" t="str" cm="1">
        <f t="array" ref="B318" ca="1">IF(D318="Male",INDEX(Lookup!$L$2:$L$13,RANDBETWEEN(1,12)),IF(D318="Female",INDEX(Lookup!$M$2:$M$13,RANDBETWEEN(1,12)),INDEX(Lookup!$N$2:$N$13,RANDBETWEEN(1,12))))</f>
        <v>Ava</v>
      </c>
      <c r="C318" s="16" t="str" cm="1">
        <f t="array" ref="C318" ca="1">INDEX(Lookup!$K$2:$K$31,RANDBETWEEN(1,30))</f>
        <v>Cooper</v>
      </c>
      <c r="D318" s="16" t="str" cm="1">
        <f t="array" ref="D318" ca="1">INDEX(Lookup!$H$2:$H$4,RANDBETWEEN(1,3))</f>
        <v>Female</v>
      </c>
      <c r="E318" s="16">
        <f t="shared" ca="1" si="56"/>
        <v>39</v>
      </c>
      <c r="F318" s="16" t="str" cm="1">
        <f t="array" ref="F318" ca="1">INDEX(Lookup!$A$2:$A$10,RANDBETWEEN(1,9))</f>
        <v>Operations</v>
      </c>
      <c r="G318" s="16" t="str" cm="1">
        <f t="array" ref="G318" ca="1">_xlfn.LET(_xlpm.Roles,_xlfn._xlws.FILTER(Lookup!$P$2:$P$28,Lookup!$O$2:$O$28=F318),INDEX(_xlpm.Roles,RANDBETWEEN(1,ROWS(_xlpm.Roles))))</f>
        <v>Operations Executive</v>
      </c>
      <c r="H318" s="16" t="str" cm="1">
        <f t="array" ref="H318" ca="1">INDEX(Lookup!$B$2:$B$7,RANDBETWEEN(1,6))</f>
        <v>Galway</v>
      </c>
      <c r="I318" s="22">
        <f t="shared" ca="1" si="57"/>
        <v>44062</v>
      </c>
      <c r="J318" s="22" t="str">
        <f t="shared" ca="1" si="58"/>
        <v/>
      </c>
      <c r="K318" s="16" t="str">
        <f t="shared" ca="1" si="59"/>
        <v>Active</v>
      </c>
      <c r="L318" s="26">
        <f ca="1">_xlfn.XLOOKUP(G318,Lookup!$P$2:$P$28,Lookup!$Q$2:$Q$28)*(1+MIN(X318*3%,30%))</f>
        <v>43260</v>
      </c>
      <c r="M318" s="24">
        <f t="shared" ca="1" si="69"/>
        <v>1</v>
      </c>
      <c r="N318" s="24">
        <f t="shared" ca="1" si="60"/>
        <v>73</v>
      </c>
      <c r="O318" s="24">
        <f t="shared" ca="1" si="61"/>
        <v>12</v>
      </c>
      <c r="P318" s="24">
        <f t="shared" ca="1" si="62"/>
        <v>8</v>
      </c>
      <c r="Q318" s="16" t="str">
        <f t="shared" ca="1" si="63"/>
        <v>Not Promoted</v>
      </c>
      <c r="R318" s="16" t="str" cm="1">
        <f t="array" ref="R318" ca="1">INDEX(Lookup!$E$2:$E$6,RANDBETWEEN(1,5))</f>
        <v>Bachelor's</v>
      </c>
      <c r="S318" s="16" t="str" cm="1">
        <f t="array" ref="S318" ca="1">INDEX(Lookup!$J$2:$J$11,RANDBETWEEN(1,10))</f>
        <v>Olivia Smith</v>
      </c>
      <c r="T318" s="16" t="str">
        <f t="shared" ca="1" si="64"/>
        <v>ava.cooper@hranalytics.com</v>
      </c>
      <c r="U318" s="16" t="str">
        <f t="shared" ca="1" si="65"/>
        <v>0892400127</v>
      </c>
      <c r="V318" s="16" t="str" cm="1">
        <f t="array" ref="V318" ca="1">_xlfn.LET(_xlpm.r,RANDBETWEEN(1,100),_xlfn.IFS(_xlpm.r&lt;=70,"Full-Time",_xlpm.r&lt;=85,"Part-Time",_xlpm.r&lt;=95,"Contract",TRUE,"Intern"))</f>
        <v>Part-Time</v>
      </c>
      <c r="W318" s="16" cm="1">
        <f t="array" ref="W318" ca="1">IF(K318&lt;&gt;"Active",0,_xlfn.IFS(M318=5,L318*15%,M318=4,L318*10%,M318=3,L318*5%,M318=2,L318*2%,TRUE,0))</f>
        <v>865.2</v>
      </c>
      <c r="X318" s="24">
        <f t="shared" ca="1" si="66"/>
        <v>6</v>
      </c>
      <c r="Y318" s="24">
        <f t="shared" ca="1" si="67"/>
        <v>1</v>
      </c>
    </row>
    <row r="319" spans="1:25">
      <c r="A319" s="16" t="str">
        <f t="shared" si="68"/>
        <v>EMP318</v>
      </c>
      <c r="B319" s="16" t="str" cm="1">
        <f t="array" ref="B319" ca="1">IF(D319="Male",INDEX(Lookup!$L$2:$L$13,RANDBETWEEN(1,12)),IF(D319="Female",INDEX(Lookup!$M$2:$M$13,RANDBETWEEN(1,12)),INDEX(Lookup!$N$2:$N$13,RANDBETWEEN(1,12))))</f>
        <v>Amelia</v>
      </c>
      <c r="C319" s="16" t="str" cm="1">
        <f t="array" ref="C319" ca="1">INDEX(Lookup!$K$2:$K$31,RANDBETWEEN(1,30))</f>
        <v>Murphy</v>
      </c>
      <c r="D319" s="16" t="str" cm="1">
        <f t="array" ref="D319" ca="1">INDEX(Lookup!$H$2:$H$4,RANDBETWEEN(1,3))</f>
        <v>Female</v>
      </c>
      <c r="E319" s="16">
        <f t="shared" ca="1" si="56"/>
        <v>48</v>
      </c>
      <c r="F319" s="16" t="str" cm="1">
        <f t="array" ref="F319" ca="1">INDEX(Lookup!$A$2:$A$10,RANDBETWEEN(1,9))</f>
        <v>Procurement</v>
      </c>
      <c r="G319" s="16" t="str" cm="1">
        <f t="array" ref="G319" ca="1">_xlfn.LET(_xlpm.Roles,_xlfn._xlws.FILTER(Lookup!$P$2:$P$28,Lookup!$O$2:$O$28=F319),INDEX(_xlpm.Roles,RANDBETWEEN(1,ROWS(_xlpm.Roles))))</f>
        <v>Purchasing Executive</v>
      </c>
      <c r="H319" s="16" t="str" cm="1">
        <f t="array" ref="H319" ca="1">INDEX(Lookup!$B$2:$B$7,RANDBETWEEN(1,6))</f>
        <v>Limerick</v>
      </c>
      <c r="I319" s="22">
        <f t="shared" ca="1" si="57"/>
        <v>43915</v>
      </c>
      <c r="J319" s="22" t="str">
        <f t="shared" ca="1" si="58"/>
        <v/>
      </c>
      <c r="K319" s="16" t="str">
        <f t="shared" ca="1" si="59"/>
        <v>Active</v>
      </c>
      <c r="L319" s="26">
        <f ca="1">_xlfn.XLOOKUP(G319,Lookup!$P$2:$P$28,Lookup!$Q$2:$Q$28)*(1+MIN(X319*3%,30%))</f>
        <v>47040</v>
      </c>
      <c r="M319" s="24">
        <f t="shared" ca="1" si="69"/>
        <v>5</v>
      </c>
      <c r="N319" s="24">
        <f t="shared" ca="1" si="60"/>
        <v>68</v>
      </c>
      <c r="O319" s="24">
        <f t="shared" ca="1" si="61"/>
        <v>17</v>
      </c>
      <c r="P319" s="24">
        <f t="shared" ca="1" si="62"/>
        <v>8</v>
      </c>
      <c r="Q319" s="16" t="str">
        <f t="shared" ca="1" si="63"/>
        <v>Promoted</v>
      </c>
      <c r="R319" s="16" t="str" cm="1">
        <f t="array" ref="R319" ca="1">INDEX(Lookup!$E$2:$E$6,RANDBETWEEN(1,5))</f>
        <v>Master's</v>
      </c>
      <c r="S319" s="16" t="str" cm="1">
        <f t="array" ref="S319" ca="1">INDEX(Lookup!$J$2:$J$11,RANDBETWEEN(1,10))</f>
        <v>James Taylor</v>
      </c>
      <c r="T319" s="16" t="str">
        <f t="shared" ca="1" si="64"/>
        <v>amelia.murphy@hranalytics.com</v>
      </c>
      <c r="U319" s="16" t="str">
        <f t="shared" ca="1" si="65"/>
        <v>0871083834</v>
      </c>
      <c r="V319" s="16" t="str" cm="1">
        <f t="array" ref="V319" ca="1">_xlfn.LET(_xlpm.r,RANDBETWEEN(1,100),_xlfn.IFS(_xlpm.r&lt;=70,"Full-Time",_xlpm.r&lt;=85,"Part-Time",_xlpm.r&lt;=95,"Contract",TRUE,"Intern"))</f>
        <v>Part-Time</v>
      </c>
      <c r="W319" s="16" cm="1">
        <f t="array" ref="W319" ca="1">IF(K319&lt;&gt;"Active",0,_xlfn.IFS(M319=5,L319*15%,M319=4,L319*10%,M319=3,L319*5%,M319=2,L319*2%,TRUE,0))</f>
        <v>0</v>
      </c>
      <c r="X319" s="24">
        <f t="shared" ca="1" si="66"/>
        <v>6</v>
      </c>
      <c r="Y319" s="24">
        <f t="shared" ca="1" si="67"/>
        <v>1</v>
      </c>
    </row>
    <row r="320" spans="1:25">
      <c r="A320" s="16" t="str">
        <f t="shared" si="68"/>
        <v>EMP319</v>
      </c>
      <c r="B320" s="16" t="str" cm="1">
        <f t="array" ref="B320" ca="1">IF(D320="Male",INDEX(Lookup!$L$2:$L$13,RANDBETWEEN(1,12)),IF(D320="Female",INDEX(Lookup!$M$2:$M$13,RANDBETWEEN(1,12)),INDEX(Lookup!$N$2:$N$13,RANDBETWEEN(1,12))))</f>
        <v>Robin</v>
      </c>
      <c r="C320" s="16" t="str" cm="1">
        <f t="array" ref="C320" ca="1">INDEX(Lookup!$K$2:$K$31,RANDBETWEEN(1,30))</f>
        <v>Edwards</v>
      </c>
      <c r="D320" s="16" t="str" cm="1">
        <f t="array" ref="D320" ca="1">INDEX(Lookup!$H$2:$H$4,RANDBETWEEN(1,3))</f>
        <v>Other</v>
      </c>
      <c r="E320" s="16">
        <f t="shared" ca="1" si="56"/>
        <v>25</v>
      </c>
      <c r="F320" s="16" t="str" cm="1">
        <f t="array" ref="F320" ca="1">INDEX(Lookup!$A$2:$A$10,RANDBETWEEN(1,9))</f>
        <v>Finance</v>
      </c>
      <c r="G320" s="16" t="str" cm="1">
        <f t="array" ref="G320" ca="1">_xlfn.LET(_xlpm.Roles,_xlfn._xlws.FILTER(Lookup!$P$2:$P$28,Lookup!$O$2:$O$28=F320),INDEX(_xlpm.Roles,RANDBETWEEN(1,ROWS(_xlpm.Roles))))</f>
        <v>Payroll Officer</v>
      </c>
      <c r="H320" s="16" t="str" cm="1">
        <f t="array" ref="H320" ca="1">INDEX(Lookup!$B$2:$B$7,RANDBETWEEN(1,6))</f>
        <v>Dublin</v>
      </c>
      <c r="I320" s="22">
        <f t="shared" ca="1" si="57"/>
        <v>43807</v>
      </c>
      <c r="J320" s="22" t="str">
        <f t="shared" ca="1" si="58"/>
        <v/>
      </c>
      <c r="K320" s="16" t="str">
        <f t="shared" ca="1" si="59"/>
        <v>Active</v>
      </c>
      <c r="L320" s="26">
        <f ca="1">_xlfn.XLOOKUP(G320,Lookup!$P$2:$P$28,Lookup!$Q$2:$Q$28)*(1+MIN(X320*3%,30%))</f>
        <v>55800</v>
      </c>
      <c r="M320" s="24">
        <f t="shared" ca="1" si="69"/>
        <v>4</v>
      </c>
      <c r="N320" s="24">
        <f t="shared" ca="1" si="60"/>
        <v>44</v>
      </c>
      <c r="O320" s="24">
        <f t="shared" ca="1" si="61"/>
        <v>18</v>
      </c>
      <c r="P320" s="24">
        <f t="shared" ca="1" si="62"/>
        <v>34</v>
      </c>
      <c r="Q320" s="16" t="str">
        <f t="shared" ca="1" si="63"/>
        <v>Not Promoted</v>
      </c>
      <c r="R320" s="16" t="str" cm="1">
        <f t="array" ref="R320" ca="1">INDEX(Lookup!$E$2:$E$6,RANDBETWEEN(1,5))</f>
        <v>High School</v>
      </c>
      <c r="S320" s="16" t="str" cm="1">
        <f t="array" ref="S320" ca="1">INDEX(Lookup!$J$2:$J$11,RANDBETWEEN(1,10))</f>
        <v>James Taylor</v>
      </c>
      <c r="T320" s="16" t="str">
        <f t="shared" ca="1" si="64"/>
        <v>robin.edwards@hranalytics.com</v>
      </c>
      <c r="U320" s="16" t="str">
        <f t="shared" ca="1" si="65"/>
        <v>0848800974</v>
      </c>
      <c r="V320" s="16" t="str" cm="1">
        <f t="array" ref="V320" ca="1">_xlfn.LET(_xlpm.r,RANDBETWEEN(1,100),_xlfn.IFS(_xlpm.r&lt;=70,"Full-Time",_xlpm.r&lt;=85,"Part-Time",_xlpm.r&lt;=95,"Contract",TRUE,"Intern"))</f>
        <v>Full-Time</v>
      </c>
      <c r="W320" s="16" cm="1">
        <f t="array" ref="W320" ca="1">IF(K320&lt;&gt;"Active",0,_xlfn.IFS(M320=5,L320*15%,M320=4,L320*10%,M320=3,L320*5%,M320=2,L320*2%,TRUE,0))</f>
        <v>0</v>
      </c>
      <c r="X320" s="24">
        <f t="shared" ca="1" si="66"/>
        <v>6</v>
      </c>
      <c r="Y320" s="24">
        <f t="shared" ca="1" si="67"/>
        <v>3</v>
      </c>
    </row>
    <row r="321" spans="1:25">
      <c r="A321" s="16" t="str">
        <f t="shared" si="68"/>
        <v>EMP320</v>
      </c>
      <c r="B321" s="16" t="str" cm="1">
        <f t="array" ref="B321" ca="1">IF(D321="Male",INDEX(Lookup!$L$2:$L$13,RANDBETWEEN(1,12)),IF(D321="Female",INDEX(Lookup!$M$2:$M$13,RANDBETWEEN(1,12)),INDEX(Lookup!$N$2:$N$13,RANDBETWEEN(1,12))))</f>
        <v>Olivia</v>
      </c>
      <c r="C321" s="16" t="str" cm="1">
        <f t="array" ref="C321" ca="1">INDEX(Lookup!$K$2:$K$31,RANDBETWEEN(1,30))</f>
        <v>Campbell</v>
      </c>
      <c r="D321" s="16" t="str" cm="1">
        <f t="array" ref="D321" ca="1">INDEX(Lookup!$H$2:$H$4,RANDBETWEEN(1,3))</f>
        <v>Female</v>
      </c>
      <c r="E321" s="16">
        <f t="shared" ca="1" si="56"/>
        <v>41</v>
      </c>
      <c r="F321" s="16" t="str" cm="1">
        <f t="array" ref="F321" ca="1">INDEX(Lookup!$A$2:$A$10,RANDBETWEEN(1,9))</f>
        <v>Procurement</v>
      </c>
      <c r="G321" s="16" t="str" cm="1">
        <f t="array" ref="G321" ca="1">_xlfn.LET(_xlpm.Roles,_xlfn._xlws.FILTER(Lookup!$P$2:$P$28,Lookup!$O$2:$O$28=F321),INDEX(_xlpm.Roles,RANDBETWEEN(1,ROWS(_xlpm.Roles))))</f>
        <v>Purchasing Executive</v>
      </c>
      <c r="H321" s="16" t="str" cm="1">
        <f t="array" ref="H321" ca="1">INDEX(Lookup!$B$2:$B$7,RANDBETWEEN(1,6))</f>
        <v>Limerick</v>
      </c>
      <c r="I321" s="22">
        <f t="shared" ca="1" si="57"/>
        <v>44249</v>
      </c>
      <c r="J321" s="22" t="str">
        <f t="shared" ca="1" si="58"/>
        <v/>
      </c>
      <c r="K321" s="16" t="str">
        <f t="shared" ca="1" si="59"/>
        <v>Active</v>
      </c>
      <c r="L321" s="26">
        <f ca="1">_xlfn.XLOOKUP(G321,Lookup!$P$2:$P$28,Lookup!$Q$2:$Q$28)*(1+MIN(X321*3%,30%))</f>
        <v>43260</v>
      </c>
      <c r="M321" s="24">
        <f t="shared" ca="1" si="69"/>
        <v>5</v>
      </c>
      <c r="N321" s="24">
        <f t="shared" ca="1" si="60"/>
        <v>66</v>
      </c>
      <c r="O321" s="24">
        <f t="shared" ca="1" si="61"/>
        <v>18</v>
      </c>
      <c r="P321" s="24">
        <f t="shared" ca="1" si="62"/>
        <v>10</v>
      </c>
      <c r="Q321" s="16" t="str">
        <f t="shared" ca="1" si="63"/>
        <v>Not Promoted</v>
      </c>
      <c r="R321" s="16" t="str" cm="1">
        <f t="array" ref="R321" ca="1">INDEX(Lookup!$E$2:$E$6,RANDBETWEEN(1,5))</f>
        <v>Dipolma</v>
      </c>
      <c r="S321" s="16" t="str" cm="1">
        <f t="array" ref="S321" ca="1">INDEX(Lookup!$J$2:$J$11,RANDBETWEEN(1,10))</f>
        <v>Sophia Martin</v>
      </c>
      <c r="T321" s="16" t="str">
        <f t="shared" ca="1" si="64"/>
        <v>olivia.campbell@hranalytics.com</v>
      </c>
      <c r="U321" s="16" t="str">
        <f t="shared" ca="1" si="65"/>
        <v>0857395067</v>
      </c>
      <c r="V321" s="16" t="str" cm="1">
        <f t="array" ref="V321" ca="1">_xlfn.LET(_xlpm.r,RANDBETWEEN(1,100),_xlfn.IFS(_xlpm.r&lt;=70,"Full-Time",_xlpm.r&lt;=85,"Part-Time",_xlpm.r&lt;=95,"Contract",TRUE,"Intern"))</f>
        <v>Full-Time</v>
      </c>
      <c r="W321" s="16" cm="1">
        <f t="array" ref="W321" ca="1">IF(K321&lt;&gt;"Active",0,_xlfn.IFS(M321=5,L321*15%,M321=4,L321*10%,M321=3,L321*5%,M321=2,L321*2%,TRUE,0))</f>
        <v>0</v>
      </c>
      <c r="X321" s="24">
        <f t="shared" ca="1" si="66"/>
        <v>5</v>
      </c>
      <c r="Y321" s="24">
        <f t="shared" ca="1" si="67"/>
        <v>3</v>
      </c>
    </row>
    <row r="322" spans="1:25">
      <c r="A322" s="16" t="str">
        <f t="shared" si="68"/>
        <v>EMP321</v>
      </c>
      <c r="B322" s="16" t="str" cm="1">
        <f t="array" ref="B322" ca="1">IF(D322="Male",INDEX(Lookup!$L$2:$L$13,RANDBETWEEN(1,12)),IF(D322="Female",INDEX(Lookup!$M$2:$M$13,RANDBETWEEN(1,12)),INDEX(Lookup!$N$2:$N$13,RANDBETWEEN(1,12))))</f>
        <v>Jordan</v>
      </c>
      <c r="C322" s="16" t="str" cm="1">
        <f t="array" ref="C322" ca="1">INDEX(Lookup!$K$2:$K$31,RANDBETWEEN(1,30))</f>
        <v>Collins</v>
      </c>
      <c r="D322" s="16" t="str" cm="1">
        <f t="array" ref="D322" ca="1">INDEX(Lookup!$H$2:$H$4,RANDBETWEEN(1,3))</f>
        <v>Other</v>
      </c>
      <c r="E322" s="16">
        <f t="shared" ref="E322:E385" ca="1" si="70">RANDBETWEEN(21,60)</f>
        <v>56</v>
      </c>
      <c r="F322" s="16" t="str" cm="1">
        <f t="array" ref="F322" ca="1">INDEX(Lookup!$A$2:$A$10,RANDBETWEEN(1,9))</f>
        <v>Customer Support</v>
      </c>
      <c r="G322" s="16" t="str" cm="1">
        <f t="array" ref="G322" ca="1">_xlfn.LET(_xlpm.Roles,_xlfn._xlws.FILTER(Lookup!$P$2:$P$28,Lookup!$O$2:$O$28=F322),INDEX(_xlpm.Roles,RANDBETWEEN(1,ROWS(_xlpm.Roles))))</f>
        <v>Technical Support Specialist</v>
      </c>
      <c r="H322" s="16" t="str" cm="1">
        <f t="array" ref="H322" ca="1">INDEX(Lookup!$B$2:$B$7,RANDBETWEEN(1,6))</f>
        <v>Galway</v>
      </c>
      <c r="I322" s="22">
        <f t="shared" ref="I322:I385" ca="1" si="71">DATE(RANDBETWEEN(2018,2025),RANDBETWEEN(1,12),RANDBETWEEN(1,28))</f>
        <v>44052</v>
      </c>
      <c r="J322" s="22" t="str">
        <f t="shared" ref="J322:J385" ca="1" si="72">IF(K322="Resigned",I322+RANDBETWEEN(180,2000),"")</f>
        <v/>
      </c>
      <c r="K322" s="16" t="str">
        <f t="shared" ref="K322:K385" ca="1" si="73">IF(RANDBETWEEN(1,10)&lt;=8,"Active","Resigned")</f>
        <v>Active</v>
      </c>
      <c r="L322" s="26">
        <f ca="1">_xlfn.XLOOKUP(G322,Lookup!$P$2:$P$28,Lookup!$Q$2:$Q$28)*(1+MIN(X322*3%,30%))</f>
        <v>50400</v>
      </c>
      <c r="M322" s="24">
        <f t="shared" ca="1" si="69"/>
        <v>5</v>
      </c>
      <c r="N322" s="24">
        <f t="shared" ref="N322:N385" ca="1" si="74">RANDBETWEEN(0,80)</f>
        <v>37</v>
      </c>
      <c r="O322" s="24">
        <f t="shared" ref="O322:O385" ca="1" si="75">RANDBETWEEN(0,20)</f>
        <v>1</v>
      </c>
      <c r="P322" s="24">
        <f t="shared" ref="P322:P385" ca="1" si="76">RANDBETWEEN(0,60)</f>
        <v>39</v>
      </c>
      <c r="Q322" s="16" t="str">
        <f t="shared" ref="Q322:Q385" ca="1" si="77">IF(AND(L322&gt;=4,X322&gt;=2,K322="Active"),"Promoted","Not Promoted")</f>
        <v>Not Promoted</v>
      </c>
      <c r="R322" s="16" t="str" cm="1">
        <f t="array" ref="R322" ca="1">INDEX(Lookup!$E$2:$E$6,RANDBETWEEN(1,5))</f>
        <v>High School</v>
      </c>
      <c r="S322" s="16" t="str" cm="1">
        <f t="array" ref="S322" ca="1">INDEX(Lookup!$J$2:$J$11,RANDBETWEEN(1,10))</f>
        <v>Michael Brown</v>
      </c>
      <c r="T322" s="16" t="str">
        <f t="shared" ref="T322:T385" ca="1" si="78">LOWER(B322&amp;"."&amp;C322&amp;"@hranalytics.com")</f>
        <v>jordan.collins@hranalytics.com</v>
      </c>
      <c r="U322" s="16" t="str">
        <f t="shared" ref="U322:U385" ca="1" si="79">"08"&amp;RANDBETWEEN(3,9)&amp;TEXT(RANDBETWEEN(1000000,9999999),"0000000")</f>
        <v>0836147781</v>
      </c>
      <c r="V322" s="16" t="str" cm="1">
        <f t="array" ref="V322" ca="1">_xlfn.LET(_xlpm.r,RANDBETWEEN(1,100),_xlfn.IFS(_xlpm.r&lt;=70,"Full-Time",_xlpm.r&lt;=85,"Part-Time",_xlpm.r&lt;=95,"Contract",TRUE,"Intern"))</f>
        <v>Part-Time</v>
      </c>
      <c r="W322" s="16" cm="1">
        <f t="array" ref="W322" ca="1">IF(K322&lt;&gt;"Active",0,_xlfn.IFS(M322=5,L322*15%,M322=4,L322*10%,M322=3,L322*5%,M322=2,L322*2%,TRUE,0))</f>
        <v>0</v>
      </c>
      <c r="X322" s="24">
        <f t="shared" ref="X322:X385" ca="1" si="80">DATEDIF(I322,TODAY(),"Y")</f>
        <v>6</v>
      </c>
      <c r="Y322" s="24">
        <f t="shared" ref="Y322:Y385" ca="1" si="81">RANDBETWEEN(1,3)</f>
        <v>2</v>
      </c>
    </row>
    <row r="323" spans="1:25">
      <c r="A323" s="16" t="str">
        <f t="shared" ref="A323:A386" si="82">"EMP"&amp;TEXT(ROW()-1,"000")</f>
        <v>EMP322</v>
      </c>
      <c r="B323" s="16" t="str" cm="1">
        <f t="array" ref="B323" ca="1">IF(D323="Male",INDEX(Lookup!$L$2:$L$13,RANDBETWEEN(1,12)),IF(D323="Female",INDEX(Lookup!$M$2:$M$13,RANDBETWEEN(1,12)),INDEX(Lookup!$N$2:$N$13,RANDBETWEEN(1,12))))</f>
        <v>Morgan</v>
      </c>
      <c r="C323" s="16" t="str" cm="1">
        <f t="array" ref="C323" ca="1">INDEX(Lookup!$K$2:$K$31,RANDBETWEEN(1,30))</f>
        <v>Evans</v>
      </c>
      <c r="D323" s="16" t="str" cm="1">
        <f t="array" ref="D323" ca="1">INDEX(Lookup!$H$2:$H$4,RANDBETWEEN(1,3))</f>
        <v>Other</v>
      </c>
      <c r="E323" s="16">
        <f t="shared" ca="1" si="70"/>
        <v>52</v>
      </c>
      <c r="F323" s="16" t="str" cm="1">
        <f t="array" ref="F323" ca="1">INDEX(Lookup!$A$2:$A$10,RANDBETWEEN(1,9))</f>
        <v>IT</v>
      </c>
      <c r="G323" s="16" t="str" cm="1">
        <f t="array" ref="G323" ca="1">_xlfn.LET(_xlpm.Roles,_xlfn._xlws.FILTER(Lookup!$P$2:$P$28,Lookup!$O$2:$O$28=F323),INDEX(_xlpm.Roles,RANDBETWEEN(1,ROWS(_xlpm.Roles))))</f>
        <v>IT Support Specialist</v>
      </c>
      <c r="H323" s="16" t="str" cm="1">
        <f t="array" ref="H323" ca="1">INDEX(Lookup!$B$2:$B$7,RANDBETWEEN(1,6))</f>
        <v>Cork</v>
      </c>
      <c r="I323" s="22">
        <f t="shared" ca="1" si="71"/>
        <v>43308</v>
      </c>
      <c r="J323" s="22" t="str">
        <f t="shared" ca="1" si="72"/>
        <v/>
      </c>
      <c r="K323" s="16" t="str">
        <f t="shared" ca="1" si="73"/>
        <v>Active</v>
      </c>
      <c r="L323" s="26">
        <f ca="1">_xlfn.XLOOKUP(G323,Lookup!$P$2:$P$28,Lookup!$Q$2:$Q$28)*(1+MIN(X323*3%,30%))</f>
        <v>56640</v>
      </c>
      <c r="M323" s="24">
        <f t="shared" ref="M323:M386" ca="1" si="83">RANDBETWEEN(1,5)</f>
        <v>4</v>
      </c>
      <c r="N323" s="24">
        <f t="shared" ca="1" si="74"/>
        <v>64</v>
      </c>
      <c r="O323" s="24">
        <f t="shared" ca="1" si="75"/>
        <v>19</v>
      </c>
      <c r="P323" s="24">
        <f t="shared" ca="1" si="76"/>
        <v>5</v>
      </c>
      <c r="Q323" s="16" t="str">
        <f t="shared" ca="1" si="77"/>
        <v>Promoted</v>
      </c>
      <c r="R323" s="16" t="str" cm="1">
        <f t="array" ref="R323" ca="1">INDEX(Lookup!$E$2:$E$6,RANDBETWEEN(1,5))</f>
        <v>Dipolma</v>
      </c>
      <c r="S323" s="16" t="str" cm="1">
        <f t="array" ref="S323" ca="1">INDEX(Lookup!$J$2:$J$11,RANDBETWEEN(1,10))</f>
        <v>Sarah Johnson</v>
      </c>
      <c r="T323" s="16" t="str">
        <f t="shared" ca="1" si="78"/>
        <v>morgan.evans@hranalytics.com</v>
      </c>
      <c r="U323" s="16" t="str">
        <f t="shared" ca="1" si="79"/>
        <v>0896241969</v>
      </c>
      <c r="V323" s="16" t="str" cm="1">
        <f t="array" ref="V323" ca="1">_xlfn.LET(_xlpm.r,RANDBETWEEN(1,100),_xlfn.IFS(_xlpm.r&lt;=70,"Full-Time",_xlpm.r&lt;=85,"Part-Time",_xlpm.r&lt;=95,"Contract",TRUE,"Intern"))</f>
        <v>Full-Time</v>
      </c>
      <c r="W323" s="16" cm="1">
        <f t="array" ref="W323" ca="1">IF(K323&lt;&gt;"Active",0,_xlfn.IFS(M323=5,L323*15%,M323=4,L323*10%,M323=3,L323*5%,M323=2,L323*2%,TRUE,0))</f>
        <v>2832</v>
      </c>
      <c r="X323" s="24">
        <f t="shared" ca="1" si="80"/>
        <v>8</v>
      </c>
      <c r="Y323" s="24">
        <f t="shared" ca="1" si="81"/>
        <v>2</v>
      </c>
    </row>
    <row r="324" spans="1:25">
      <c r="A324" s="16" t="str">
        <f t="shared" si="82"/>
        <v>EMP323</v>
      </c>
      <c r="B324" s="16" t="str" cm="1">
        <f t="array" ref="B324" ca="1">IF(D324="Male",INDEX(Lookup!$L$2:$L$13,RANDBETWEEN(1,12)),IF(D324="Female",INDEX(Lookup!$M$2:$M$13,RANDBETWEEN(1,12)),INDEX(Lookup!$N$2:$N$13,RANDBETWEEN(1,12))))</f>
        <v>Grace</v>
      </c>
      <c r="C324" s="16" t="str" cm="1">
        <f t="array" ref="C324" ca="1">INDEX(Lookup!$K$2:$K$31,RANDBETWEEN(1,30))</f>
        <v>Lewis</v>
      </c>
      <c r="D324" s="16" t="str" cm="1">
        <f t="array" ref="D324" ca="1">INDEX(Lookup!$H$2:$H$4,RANDBETWEEN(1,3))</f>
        <v>Female</v>
      </c>
      <c r="E324" s="16">
        <f t="shared" ca="1" si="70"/>
        <v>32</v>
      </c>
      <c r="F324" s="16" t="str" cm="1">
        <f t="array" ref="F324" ca="1">INDEX(Lookup!$A$2:$A$10,RANDBETWEEN(1,9))</f>
        <v>IT</v>
      </c>
      <c r="G324" s="16" t="str" cm="1">
        <f t="array" ref="G324" ca="1">_xlfn.LET(_xlpm.Roles,_xlfn._xlws.FILTER(Lookup!$P$2:$P$28,Lookup!$O$2:$O$28=F324),INDEX(_xlpm.Roles,RANDBETWEEN(1,ROWS(_xlpm.Roles))))</f>
        <v>Business Analyst</v>
      </c>
      <c r="H324" s="16" t="str" cm="1">
        <f t="array" ref="H324" ca="1">INDEX(Lookup!$B$2:$B$7,RANDBETWEEN(1,6))</f>
        <v>Limerick</v>
      </c>
      <c r="I324" s="22">
        <f t="shared" ca="1" si="71"/>
        <v>43216</v>
      </c>
      <c r="J324" s="22" t="str">
        <f t="shared" ca="1" si="72"/>
        <v/>
      </c>
      <c r="K324" s="16" t="str">
        <f t="shared" ca="1" si="73"/>
        <v>Active</v>
      </c>
      <c r="L324" s="26">
        <f ca="1">_xlfn.XLOOKUP(G324,Lookup!$P$2:$P$28,Lookup!$Q$2:$Q$28)*(1+MIN(X324*3%,30%))</f>
        <v>61800</v>
      </c>
      <c r="M324" s="24">
        <f t="shared" ca="1" si="83"/>
        <v>4</v>
      </c>
      <c r="N324" s="24">
        <f t="shared" ca="1" si="74"/>
        <v>55</v>
      </c>
      <c r="O324" s="24">
        <f t="shared" ca="1" si="75"/>
        <v>20</v>
      </c>
      <c r="P324" s="24">
        <f t="shared" ca="1" si="76"/>
        <v>52</v>
      </c>
      <c r="Q324" s="16" t="str">
        <f t="shared" ca="1" si="77"/>
        <v>Not Promoted</v>
      </c>
      <c r="R324" s="16" t="str" cm="1">
        <f t="array" ref="R324" ca="1">INDEX(Lookup!$E$2:$E$6,RANDBETWEEN(1,5))</f>
        <v>Master's</v>
      </c>
      <c r="S324" s="16" t="str" cm="1">
        <f t="array" ref="S324" ca="1">INDEX(Lookup!$J$2:$J$11,RANDBETWEEN(1,10))</f>
        <v>James Taylor</v>
      </c>
      <c r="T324" s="16" t="str">
        <f t="shared" ca="1" si="78"/>
        <v>grace.lewis@hranalytics.com</v>
      </c>
      <c r="U324" s="16" t="str">
        <f t="shared" ca="1" si="79"/>
        <v>0849819650</v>
      </c>
      <c r="V324" s="16" t="str" cm="1">
        <f t="array" ref="V324" ca="1">_xlfn.LET(_xlpm.r,RANDBETWEEN(1,100),_xlfn.IFS(_xlpm.r&lt;=70,"Full-Time",_xlpm.r&lt;=85,"Part-Time",_xlpm.r&lt;=95,"Contract",TRUE,"Intern"))</f>
        <v>Full-Time</v>
      </c>
      <c r="W324" s="16" cm="1">
        <f t="array" ref="W324" ca="1">IF(K324&lt;&gt;"Active",0,_xlfn.IFS(M324=5,L324*15%,M324=4,L324*10%,M324=3,L324*5%,M324=2,L324*2%,TRUE,0))</f>
        <v>6180</v>
      </c>
      <c r="X324" s="24">
        <f t="shared" ca="1" si="80"/>
        <v>8</v>
      </c>
      <c r="Y324" s="24">
        <f t="shared" ca="1" si="81"/>
        <v>3</v>
      </c>
    </row>
    <row r="325" spans="1:25">
      <c r="A325" s="16" t="str">
        <f t="shared" si="82"/>
        <v>EMP324</v>
      </c>
      <c r="B325" s="16" t="str" cm="1">
        <f t="array" ref="B325" ca="1">IF(D325="Male",INDEX(Lookup!$L$2:$L$13,RANDBETWEEN(1,12)),IF(D325="Female",INDEX(Lookup!$M$2:$M$13,RANDBETWEEN(1,12)),INDEX(Lookup!$N$2:$N$13,RANDBETWEEN(1,12))))</f>
        <v>David</v>
      </c>
      <c r="C325" s="16" t="str" cm="1">
        <f t="array" ref="C325" ca="1">INDEX(Lookup!$K$2:$K$31,RANDBETWEEN(1,30))</f>
        <v>Cooper</v>
      </c>
      <c r="D325" s="16" t="str" cm="1">
        <f t="array" ref="D325" ca="1">INDEX(Lookup!$H$2:$H$4,RANDBETWEEN(1,3))</f>
        <v>Male</v>
      </c>
      <c r="E325" s="16">
        <f t="shared" ca="1" si="70"/>
        <v>56</v>
      </c>
      <c r="F325" s="16" t="str" cm="1">
        <f t="array" ref="F325" ca="1">INDEX(Lookup!$A$2:$A$10,RANDBETWEEN(1,9))</f>
        <v>Procurement</v>
      </c>
      <c r="G325" s="16" t="str" cm="1">
        <f t="array" ref="G325" ca="1">_xlfn.LET(_xlpm.Roles,_xlfn._xlws.FILTER(Lookup!$P$2:$P$28,Lookup!$O$2:$O$28=F325),INDEX(_xlpm.Roles,RANDBETWEEN(1,ROWS(_xlpm.Roles))))</f>
        <v>Procurement Officer</v>
      </c>
      <c r="H325" s="16" t="str" cm="1">
        <f t="array" ref="H325" ca="1">INDEX(Lookup!$B$2:$B$7,RANDBETWEEN(1,6))</f>
        <v>Dublin</v>
      </c>
      <c r="I325" s="22">
        <f t="shared" ca="1" si="71"/>
        <v>44425</v>
      </c>
      <c r="J325" s="22" t="str">
        <f t="shared" ca="1" si="72"/>
        <v/>
      </c>
      <c r="K325" s="16" t="str">
        <f t="shared" ca="1" si="73"/>
        <v>Active</v>
      </c>
      <c r="L325" s="26">
        <f ca="1">_xlfn.XLOOKUP(G325,Lookup!$P$2:$P$28,Lookup!$Q$2:$Q$28)*(1+MIN(X325*3%,30%))</f>
        <v>49050</v>
      </c>
      <c r="M325" s="24">
        <f t="shared" ca="1" si="83"/>
        <v>1</v>
      </c>
      <c r="N325" s="24">
        <f t="shared" ca="1" si="74"/>
        <v>26</v>
      </c>
      <c r="O325" s="24">
        <f t="shared" ca="1" si="75"/>
        <v>7</v>
      </c>
      <c r="P325" s="24">
        <f t="shared" ca="1" si="76"/>
        <v>52</v>
      </c>
      <c r="Q325" s="16" t="str">
        <f t="shared" ca="1" si="77"/>
        <v>Promoted</v>
      </c>
      <c r="R325" s="16" t="str" cm="1">
        <f t="array" ref="R325" ca="1">INDEX(Lookup!$E$2:$E$6,RANDBETWEEN(1,5))</f>
        <v>Bachelor's</v>
      </c>
      <c r="S325" s="16" t="str" cm="1">
        <f t="array" ref="S325" ca="1">INDEX(Lookup!$J$2:$J$11,RANDBETWEEN(1,10))</f>
        <v>Daniel Kelly</v>
      </c>
      <c r="T325" s="16" t="str">
        <f t="shared" ca="1" si="78"/>
        <v>david.cooper@hranalytics.com</v>
      </c>
      <c r="U325" s="16" t="str">
        <f t="shared" ca="1" si="79"/>
        <v>0836693547</v>
      </c>
      <c r="V325" s="16" t="str" cm="1">
        <f t="array" ref="V325" ca="1">_xlfn.LET(_xlpm.r,RANDBETWEEN(1,100),_xlfn.IFS(_xlpm.r&lt;=70,"Full-Time",_xlpm.r&lt;=85,"Part-Time",_xlpm.r&lt;=95,"Contract",TRUE,"Intern"))</f>
        <v>Full-Time</v>
      </c>
      <c r="W325" s="16" cm="1">
        <f t="array" ref="W325" ca="1">IF(K325&lt;&gt;"Active",0,_xlfn.IFS(M325=5,L325*15%,M325=4,L325*10%,M325=3,L325*5%,M325=2,L325*2%,TRUE,0))</f>
        <v>7357.5</v>
      </c>
      <c r="X325" s="24">
        <f t="shared" ca="1" si="80"/>
        <v>5</v>
      </c>
      <c r="Y325" s="24">
        <f t="shared" ca="1" si="81"/>
        <v>1</v>
      </c>
    </row>
    <row r="326" spans="1:25">
      <c r="A326" s="16" t="str">
        <f t="shared" si="82"/>
        <v>EMP325</v>
      </c>
      <c r="B326" s="16" t="str" cm="1">
        <f t="array" ref="B326" ca="1">IF(D326="Male",INDEX(Lookup!$L$2:$L$13,RANDBETWEEN(1,12)),IF(D326="Female",INDEX(Lookup!$M$2:$M$13,RANDBETWEEN(1,12)),INDEX(Lookup!$N$2:$N$13,RANDBETWEEN(1,12))))</f>
        <v>Mia</v>
      </c>
      <c r="C326" s="16" t="str" cm="1">
        <f t="array" ref="C326" ca="1">INDEX(Lookup!$K$2:$K$31,RANDBETWEEN(1,30))</f>
        <v>Taylor</v>
      </c>
      <c r="D326" s="16" t="str" cm="1">
        <f t="array" ref="D326" ca="1">INDEX(Lookup!$H$2:$H$4,RANDBETWEEN(1,3))</f>
        <v>Female</v>
      </c>
      <c r="E326" s="16">
        <f t="shared" ca="1" si="70"/>
        <v>26</v>
      </c>
      <c r="F326" s="16" t="str" cm="1">
        <f t="array" ref="F326" ca="1">INDEX(Lookup!$A$2:$A$10,RANDBETWEEN(1,9))</f>
        <v>Operations</v>
      </c>
      <c r="G326" s="16" t="str" cm="1">
        <f t="array" ref="G326" ca="1">_xlfn.LET(_xlpm.Roles,_xlfn._xlws.FILTER(Lookup!$P$2:$P$28,Lookup!$O$2:$O$28=F326),INDEX(_xlpm.Roles,RANDBETWEEN(1,ROWS(_xlpm.Roles))))</f>
        <v>Operations Manager</v>
      </c>
      <c r="H326" s="16" t="str" cm="1">
        <f t="array" ref="H326" ca="1">INDEX(Lookup!$B$2:$B$7,RANDBETWEEN(1,6))</f>
        <v>Belfast</v>
      </c>
      <c r="I326" s="22">
        <f t="shared" ca="1" si="71"/>
        <v>44921</v>
      </c>
      <c r="J326" s="22" t="str">
        <f t="shared" ca="1" si="72"/>
        <v/>
      </c>
      <c r="K326" s="16" t="str">
        <f t="shared" ca="1" si="73"/>
        <v>Active</v>
      </c>
      <c r="L326" s="26">
        <f ca="1">_xlfn.XLOOKUP(G326,Lookup!$P$2:$P$28,Lookup!$Q$2:$Q$28)*(1+MIN(X326*3%,30%))</f>
        <v>69440</v>
      </c>
      <c r="M326" s="24">
        <f t="shared" ca="1" si="83"/>
        <v>4</v>
      </c>
      <c r="N326" s="24">
        <f t="shared" ca="1" si="74"/>
        <v>72</v>
      </c>
      <c r="O326" s="24">
        <f t="shared" ca="1" si="75"/>
        <v>11</v>
      </c>
      <c r="P326" s="24">
        <f t="shared" ca="1" si="76"/>
        <v>49</v>
      </c>
      <c r="Q326" s="16" t="str">
        <f t="shared" ca="1" si="77"/>
        <v>Promoted</v>
      </c>
      <c r="R326" s="16" t="str" cm="1">
        <f t="array" ref="R326" ca="1">INDEX(Lookup!$E$2:$E$6,RANDBETWEEN(1,5))</f>
        <v>Master's</v>
      </c>
      <c r="S326" s="16" t="str" cm="1">
        <f t="array" ref="S326" ca="1">INDEX(Lookup!$J$2:$J$11,RANDBETWEEN(1,10))</f>
        <v>David Murphy</v>
      </c>
      <c r="T326" s="16" t="str">
        <f t="shared" ca="1" si="78"/>
        <v>mia.taylor@hranalytics.com</v>
      </c>
      <c r="U326" s="16" t="str">
        <f t="shared" ca="1" si="79"/>
        <v>0852799078</v>
      </c>
      <c r="V326" s="16" t="str" cm="1">
        <f t="array" ref="V326" ca="1">_xlfn.LET(_xlpm.r,RANDBETWEEN(1,100),_xlfn.IFS(_xlpm.r&lt;=70,"Full-Time",_xlpm.r&lt;=85,"Part-Time",_xlpm.r&lt;=95,"Contract",TRUE,"Intern"))</f>
        <v>Part-Time</v>
      </c>
      <c r="W326" s="16" cm="1">
        <f t="array" ref="W326" ca="1">IF(K326&lt;&gt;"Active",0,_xlfn.IFS(M326=5,L326*15%,M326=4,L326*10%,M326=3,L326*5%,M326=2,L326*2%,TRUE,0))</f>
        <v>0</v>
      </c>
      <c r="X326" s="24">
        <f t="shared" ca="1" si="80"/>
        <v>3</v>
      </c>
      <c r="Y326" s="24">
        <f t="shared" ca="1" si="81"/>
        <v>3</v>
      </c>
    </row>
    <row r="327" spans="1:25">
      <c r="A327" s="16" t="str">
        <f t="shared" si="82"/>
        <v>EMP326</v>
      </c>
      <c r="B327" s="16" t="str" cm="1">
        <f t="array" ref="B327" ca="1">IF(D327="Male",INDEX(Lookup!$L$2:$L$13,RANDBETWEEN(1,12)),IF(D327="Female",INDEX(Lookup!$M$2:$M$13,RANDBETWEEN(1,12)),INDEX(Lookup!$N$2:$N$13,RANDBETWEEN(1,12))))</f>
        <v>Charlotte</v>
      </c>
      <c r="C327" s="16" t="str" cm="1">
        <f t="array" ref="C327" ca="1">INDEX(Lookup!$K$2:$K$31,RANDBETWEEN(1,30))</f>
        <v>Moore</v>
      </c>
      <c r="D327" s="16" t="str" cm="1">
        <f t="array" ref="D327" ca="1">INDEX(Lookup!$H$2:$H$4,RANDBETWEEN(1,3))</f>
        <v>Female</v>
      </c>
      <c r="E327" s="16">
        <f t="shared" ca="1" si="70"/>
        <v>55</v>
      </c>
      <c r="F327" s="16" t="str" cm="1">
        <f t="array" ref="F327" ca="1">INDEX(Lookup!$A$2:$A$10,RANDBETWEEN(1,9))</f>
        <v>Operations</v>
      </c>
      <c r="G327" s="16" t="str" cm="1">
        <f t="array" ref="G327" ca="1">_xlfn.LET(_xlpm.Roles,_xlfn._xlws.FILTER(Lookup!$P$2:$P$28,Lookup!$O$2:$O$28=F327),INDEX(_xlpm.Roles,RANDBETWEEN(1,ROWS(_xlpm.Roles))))</f>
        <v>Operations Manager</v>
      </c>
      <c r="H327" s="16" t="str" cm="1">
        <f t="array" ref="H327" ca="1">INDEX(Lookup!$B$2:$B$7,RANDBETWEEN(1,6))</f>
        <v>Galway</v>
      </c>
      <c r="I327" s="22">
        <f t="shared" ca="1" si="71"/>
        <v>43543</v>
      </c>
      <c r="J327" s="22" t="str">
        <f t="shared" ca="1" si="72"/>
        <v/>
      </c>
      <c r="K327" s="16" t="str">
        <f t="shared" ca="1" si="73"/>
        <v>Active</v>
      </c>
      <c r="L327" s="26">
        <f ca="1">_xlfn.XLOOKUP(G327,Lookup!$P$2:$P$28,Lookup!$Q$2:$Q$28)*(1+MIN(X327*3%,30%))</f>
        <v>73160</v>
      </c>
      <c r="M327" s="24">
        <f t="shared" ca="1" si="83"/>
        <v>1</v>
      </c>
      <c r="N327" s="24">
        <f t="shared" ca="1" si="74"/>
        <v>31</v>
      </c>
      <c r="O327" s="24">
        <f t="shared" ca="1" si="75"/>
        <v>4</v>
      </c>
      <c r="P327" s="24">
        <f t="shared" ca="1" si="76"/>
        <v>7</v>
      </c>
      <c r="Q327" s="16" t="str">
        <f t="shared" ca="1" si="77"/>
        <v>Promoted</v>
      </c>
      <c r="R327" s="16" t="str" cm="1">
        <f t="array" ref="R327" ca="1">INDEX(Lookup!$E$2:$E$6,RANDBETWEEN(1,5))</f>
        <v>High School</v>
      </c>
      <c r="S327" s="16" t="str" cm="1">
        <f t="array" ref="S327" ca="1">INDEX(Lookup!$J$2:$J$11,RANDBETWEEN(1,10))</f>
        <v>Sophia Martin</v>
      </c>
      <c r="T327" s="16" t="str">
        <f t="shared" ca="1" si="78"/>
        <v>charlotte.moore@hranalytics.com</v>
      </c>
      <c r="U327" s="16" t="str">
        <f t="shared" ca="1" si="79"/>
        <v>0857125867</v>
      </c>
      <c r="V327" s="16" t="str" cm="1">
        <f t="array" ref="V327" ca="1">_xlfn.LET(_xlpm.r,RANDBETWEEN(1,100),_xlfn.IFS(_xlpm.r&lt;=70,"Full-Time",_xlpm.r&lt;=85,"Part-Time",_xlpm.r&lt;=95,"Contract",TRUE,"Intern"))</f>
        <v>Full-Time</v>
      </c>
      <c r="W327" s="16" cm="1">
        <f t="array" ref="W327" ca="1">IF(K327&lt;&gt;"Active",0,_xlfn.IFS(M327=5,L327*15%,M327=4,L327*10%,M327=3,L327*5%,M327=2,L327*2%,TRUE,0))</f>
        <v>10974</v>
      </c>
      <c r="X327" s="24">
        <f t="shared" ca="1" si="80"/>
        <v>7</v>
      </c>
      <c r="Y327" s="24">
        <f t="shared" ca="1" si="81"/>
        <v>3</v>
      </c>
    </row>
    <row r="328" spans="1:25">
      <c r="A328" s="16" t="str">
        <f t="shared" si="82"/>
        <v>EMP327</v>
      </c>
      <c r="B328" s="16" t="str" cm="1">
        <f t="array" ref="B328" ca="1">IF(D328="Male",INDEX(Lookup!$L$2:$L$13,RANDBETWEEN(1,12)),IF(D328="Female",INDEX(Lookup!$M$2:$M$13,RANDBETWEEN(1,12)),INDEX(Lookup!$N$2:$N$13,RANDBETWEEN(1,12))))</f>
        <v>Daniel</v>
      </c>
      <c r="C328" s="16" t="str" cm="1">
        <f t="array" ref="C328" ca="1">INDEX(Lookup!$K$2:$K$31,RANDBETWEEN(1,30))</f>
        <v>White</v>
      </c>
      <c r="D328" s="16" t="str" cm="1">
        <f t="array" ref="D328" ca="1">INDEX(Lookup!$H$2:$H$4,RANDBETWEEN(1,3))</f>
        <v>Male</v>
      </c>
      <c r="E328" s="16">
        <f t="shared" ca="1" si="70"/>
        <v>40</v>
      </c>
      <c r="F328" s="16" t="str" cm="1">
        <f t="array" ref="F328" ca="1">INDEX(Lookup!$A$2:$A$10,RANDBETWEEN(1,9))</f>
        <v>Sales</v>
      </c>
      <c r="G328" s="16" t="str" cm="1">
        <f t="array" ref="G328" ca="1">_xlfn.LET(_xlpm.Roles,_xlfn._xlws.FILTER(Lookup!$P$2:$P$28,Lookup!$O$2:$O$28=F328),INDEX(_xlpm.Roles,RANDBETWEEN(1,ROWS(_xlpm.Roles))))</f>
        <v>Sales Executive</v>
      </c>
      <c r="H328" s="16" t="str" cm="1">
        <f t="array" ref="H328" ca="1">INDEX(Lookup!$B$2:$B$7,RANDBETWEEN(1,6))</f>
        <v>Belfast</v>
      </c>
      <c r="I328" s="22">
        <f t="shared" ca="1" si="71"/>
        <v>44919</v>
      </c>
      <c r="J328" s="22" t="str">
        <f t="shared" ca="1" si="72"/>
        <v/>
      </c>
      <c r="K328" s="16" t="str">
        <f t="shared" ca="1" si="73"/>
        <v>Active</v>
      </c>
      <c r="L328" s="26">
        <f ca="1">_xlfn.XLOOKUP(G328,Lookup!$P$2:$P$28,Lookup!$Q$2:$Q$28)*(1+MIN(X328*3%,30%))</f>
        <v>48400</v>
      </c>
      <c r="M328" s="24">
        <f t="shared" ca="1" si="83"/>
        <v>1</v>
      </c>
      <c r="N328" s="24">
        <f t="shared" ca="1" si="74"/>
        <v>79</v>
      </c>
      <c r="O328" s="24">
        <f t="shared" ca="1" si="75"/>
        <v>18</v>
      </c>
      <c r="P328" s="24">
        <f t="shared" ca="1" si="76"/>
        <v>58</v>
      </c>
      <c r="Q328" s="16" t="str">
        <f t="shared" ca="1" si="77"/>
        <v>Promoted</v>
      </c>
      <c r="R328" s="16" t="str" cm="1">
        <f t="array" ref="R328" ca="1">INDEX(Lookup!$E$2:$E$6,RANDBETWEEN(1,5))</f>
        <v>High School</v>
      </c>
      <c r="S328" s="16" t="str" cm="1">
        <f t="array" ref="S328" ca="1">INDEX(Lookup!$J$2:$J$11,RANDBETWEEN(1,10))</f>
        <v>David Murphy</v>
      </c>
      <c r="T328" s="16" t="str">
        <f t="shared" ca="1" si="78"/>
        <v>daniel.white@hranalytics.com</v>
      </c>
      <c r="U328" s="16" t="str">
        <f t="shared" ca="1" si="79"/>
        <v>0869335977</v>
      </c>
      <c r="V328" s="16" t="str" cm="1">
        <f t="array" ref="V328" ca="1">_xlfn.LET(_xlpm.r,RANDBETWEEN(1,100),_xlfn.IFS(_xlpm.r&lt;=70,"Full-Time",_xlpm.r&lt;=85,"Part-Time",_xlpm.r&lt;=95,"Contract",TRUE,"Intern"))</f>
        <v>Part-Time</v>
      </c>
      <c r="W328" s="16" cm="1">
        <f t="array" ref="W328" ca="1">IF(K328&lt;&gt;"Active",0,_xlfn.IFS(M328=5,L328*15%,M328=4,L328*10%,M328=3,L328*5%,M328=2,L328*2%,TRUE,0))</f>
        <v>4840</v>
      </c>
      <c r="X328" s="24">
        <f t="shared" ca="1" si="80"/>
        <v>3</v>
      </c>
      <c r="Y328" s="24">
        <f t="shared" ca="1" si="81"/>
        <v>2</v>
      </c>
    </row>
    <row r="329" spans="1:25">
      <c r="A329" s="16" t="str">
        <f t="shared" si="82"/>
        <v>EMP328</v>
      </c>
      <c r="B329" s="16" t="str" cm="1">
        <f t="array" ref="B329" ca="1">IF(D329="Male",INDEX(Lookup!$L$2:$L$13,RANDBETWEEN(1,12)),IF(D329="Female",INDEX(Lookup!$M$2:$M$13,RANDBETWEEN(1,12)),INDEX(Lookup!$N$2:$N$13,RANDBETWEEN(1,12))))</f>
        <v>John</v>
      </c>
      <c r="C329" s="16" t="str" cm="1">
        <f t="array" ref="C329" ca="1">INDEX(Lookup!$K$2:$K$31,RANDBETWEEN(1,30))</f>
        <v>Martin</v>
      </c>
      <c r="D329" s="16" t="str" cm="1">
        <f t="array" ref="D329" ca="1">INDEX(Lookup!$H$2:$H$4,RANDBETWEEN(1,3))</f>
        <v>Male</v>
      </c>
      <c r="E329" s="16">
        <f t="shared" ca="1" si="70"/>
        <v>56</v>
      </c>
      <c r="F329" s="16" t="str" cm="1">
        <f t="array" ref="F329" ca="1">INDEX(Lookup!$A$2:$A$10,RANDBETWEEN(1,9))</f>
        <v>Procurement</v>
      </c>
      <c r="G329" s="16" t="str" cm="1">
        <f t="array" ref="G329" ca="1">_xlfn.LET(_xlpm.Roles,_xlfn._xlws.FILTER(Lookup!$P$2:$P$28,Lookup!$O$2:$O$28=F329),INDEX(_xlpm.Roles,RANDBETWEEN(1,ROWS(_xlpm.Roles))))</f>
        <v>Procurement Analyst</v>
      </c>
      <c r="H329" s="16" t="str" cm="1">
        <f t="array" ref="H329" ca="1">INDEX(Lookup!$B$2:$B$7,RANDBETWEEN(1,6))</f>
        <v>Limerick</v>
      </c>
      <c r="I329" s="22">
        <f t="shared" ca="1" si="71"/>
        <v>43179</v>
      </c>
      <c r="J329" s="22" t="str">
        <f t="shared" ca="1" si="72"/>
        <v/>
      </c>
      <c r="K329" s="16" t="str">
        <f t="shared" ca="1" si="73"/>
        <v>Active</v>
      </c>
      <c r="L329" s="26">
        <f ca="1">_xlfn.XLOOKUP(G329,Lookup!$P$2:$P$28,Lookup!$Q$2:$Q$28)*(1+MIN(X329*3%,30%))</f>
        <v>56000</v>
      </c>
      <c r="M329" s="24">
        <f t="shared" ca="1" si="83"/>
        <v>1</v>
      </c>
      <c r="N329" s="24">
        <f t="shared" ca="1" si="74"/>
        <v>34</v>
      </c>
      <c r="O329" s="24">
        <f t="shared" ca="1" si="75"/>
        <v>15</v>
      </c>
      <c r="P329" s="24">
        <f t="shared" ca="1" si="76"/>
        <v>13</v>
      </c>
      <c r="Q329" s="16" t="str">
        <f t="shared" ca="1" si="77"/>
        <v>Promoted</v>
      </c>
      <c r="R329" s="16" t="str" cm="1">
        <f t="array" ref="R329" ca="1">INDEX(Lookup!$E$2:$E$6,RANDBETWEEN(1,5))</f>
        <v>PhD</v>
      </c>
      <c r="S329" s="16" t="str" cm="1">
        <f t="array" ref="S329" ca="1">INDEX(Lookup!$J$2:$J$11,RANDBETWEEN(1,10))</f>
        <v>Michael Brown</v>
      </c>
      <c r="T329" s="16" t="str">
        <f t="shared" ca="1" si="78"/>
        <v>john.martin@hranalytics.com</v>
      </c>
      <c r="U329" s="16" t="str">
        <f t="shared" ca="1" si="79"/>
        <v>0872653257</v>
      </c>
      <c r="V329" s="16" t="str" cm="1">
        <f t="array" ref="V329" ca="1">_xlfn.LET(_xlpm.r,RANDBETWEEN(1,100),_xlfn.IFS(_xlpm.r&lt;=70,"Full-Time",_xlpm.r&lt;=85,"Part-Time",_xlpm.r&lt;=95,"Contract",TRUE,"Intern"))</f>
        <v>Full-Time</v>
      </c>
      <c r="W329" s="16" cm="1">
        <f t="array" ref="W329" ca="1">IF(K329&lt;&gt;"Active",0,_xlfn.IFS(M329=5,L329*15%,M329=4,L329*10%,M329=3,L329*5%,M329=2,L329*2%,TRUE,0))</f>
        <v>1120</v>
      </c>
      <c r="X329" s="24">
        <f t="shared" ca="1" si="80"/>
        <v>8</v>
      </c>
      <c r="Y329" s="24">
        <f t="shared" ca="1" si="81"/>
        <v>1</v>
      </c>
    </row>
    <row r="330" spans="1:25">
      <c r="A330" s="16" t="str">
        <f t="shared" si="82"/>
        <v>EMP329</v>
      </c>
      <c r="B330" s="16" t="str" cm="1">
        <f t="array" ref="B330" ca="1">IF(D330="Male",INDEX(Lookup!$L$2:$L$13,RANDBETWEEN(1,12)),IF(D330="Female",INDEX(Lookup!$M$2:$M$13,RANDBETWEEN(1,12)),INDEX(Lookup!$N$2:$N$13,RANDBETWEEN(1,12))))</f>
        <v>Amelia</v>
      </c>
      <c r="C330" s="16" t="str" cm="1">
        <f t="array" ref="C330" ca="1">INDEX(Lookup!$K$2:$K$31,RANDBETWEEN(1,30))</f>
        <v>Taylor</v>
      </c>
      <c r="D330" s="16" t="str" cm="1">
        <f t="array" ref="D330" ca="1">INDEX(Lookup!$H$2:$H$4,RANDBETWEEN(1,3))</f>
        <v>Female</v>
      </c>
      <c r="E330" s="16">
        <f t="shared" ca="1" si="70"/>
        <v>29</v>
      </c>
      <c r="F330" s="16" t="str" cm="1">
        <f t="array" ref="F330" ca="1">INDEX(Lookup!$A$2:$A$10,RANDBETWEEN(1,9))</f>
        <v>Sales</v>
      </c>
      <c r="G330" s="16" t="str" cm="1">
        <f t="array" ref="G330" ca="1">_xlfn.LET(_xlpm.Roles,_xlfn._xlws.FILTER(Lookup!$P$2:$P$28,Lookup!$O$2:$O$28=F330),INDEX(_xlpm.Roles,RANDBETWEEN(1,ROWS(_xlpm.Roles))))</f>
        <v>Account Manager</v>
      </c>
      <c r="H330" s="16" t="str" cm="1">
        <f t="array" ref="H330" ca="1">INDEX(Lookup!$B$2:$B$7,RANDBETWEEN(1,6))</f>
        <v>Belfast</v>
      </c>
      <c r="I330" s="22">
        <f t="shared" ca="1" si="71"/>
        <v>44766</v>
      </c>
      <c r="J330" s="22" t="str">
        <f t="shared" ca="1" si="72"/>
        <v/>
      </c>
      <c r="K330" s="16" t="str">
        <f t="shared" ca="1" si="73"/>
        <v>Active</v>
      </c>
      <c r="L330" s="26">
        <f ca="1">_xlfn.XLOOKUP(G330,Lookup!$P$2:$P$28,Lookup!$Q$2:$Q$28)*(1+MIN(X330*3%,30%))</f>
        <v>58300</v>
      </c>
      <c r="M330" s="24">
        <f t="shared" ca="1" si="83"/>
        <v>4</v>
      </c>
      <c r="N330" s="24">
        <f t="shared" ca="1" si="74"/>
        <v>62</v>
      </c>
      <c r="O330" s="24">
        <f t="shared" ca="1" si="75"/>
        <v>19</v>
      </c>
      <c r="P330" s="24">
        <f t="shared" ca="1" si="76"/>
        <v>30</v>
      </c>
      <c r="Q330" s="16" t="str">
        <f t="shared" ca="1" si="77"/>
        <v>Promoted</v>
      </c>
      <c r="R330" s="16" t="str" cm="1">
        <f t="array" ref="R330" ca="1">INDEX(Lookup!$E$2:$E$6,RANDBETWEEN(1,5))</f>
        <v>PhD</v>
      </c>
      <c r="S330" s="16" t="str" cm="1">
        <f t="array" ref="S330" ca="1">INDEX(Lookup!$J$2:$J$11,RANDBETWEEN(1,10))</f>
        <v>Grace O'Connor</v>
      </c>
      <c r="T330" s="16" t="str">
        <f t="shared" ca="1" si="78"/>
        <v>amelia.taylor@hranalytics.com</v>
      </c>
      <c r="U330" s="16" t="str">
        <f t="shared" ca="1" si="79"/>
        <v>0877095786</v>
      </c>
      <c r="V330" s="16" t="str" cm="1">
        <f t="array" ref="V330" ca="1">_xlfn.LET(_xlpm.r,RANDBETWEEN(1,100),_xlfn.IFS(_xlpm.r&lt;=70,"Full-Time",_xlpm.r&lt;=85,"Part-Time",_xlpm.r&lt;=95,"Contract",TRUE,"Intern"))</f>
        <v>Full-Time</v>
      </c>
      <c r="W330" s="16" cm="1">
        <f t="array" ref="W330" ca="1">IF(K330&lt;&gt;"Active",0,_xlfn.IFS(M330=5,L330*15%,M330=4,L330*10%,M330=3,L330*5%,M330=2,L330*2%,TRUE,0))</f>
        <v>2915</v>
      </c>
      <c r="X330" s="24">
        <f t="shared" ca="1" si="80"/>
        <v>4</v>
      </c>
      <c r="Y330" s="24">
        <f t="shared" ca="1" si="81"/>
        <v>1</v>
      </c>
    </row>
    <row r="331" spans="1:25">
      <c r="A331" s="16" t="str">
        <f t="shared" si="82"/>
        <v>EMP330</v>
      </c>
      <c r="B331" s="16" t="str" cm="1">
        <f t="array" ref="B331" ca="1">IF(D331="Male",INDEX(Lookup!$L$2:$L$13,RANDBETWEEN(1,12)),IF(D331="Female",INDEX(Lookup!$M$2:$M$13,RANDBETWEEN(1,12)),INDEX(Lookup!$N$2:$N$13,RANDBETWEEN(1,12))))</f>
        <v>Isabella</v>
      </c>
      <c r="C331" s="16" t="str" cm="1">
        <f t="array" ref="C331" ca="1">INDEX(Lookup!$K$2:$K$31,RANDBETWEEN(1,30))</f>
        <v>Hill</v>
      </c>
      <c r="D331" s="16" t="str" cm="1">
        <f t="array" ref="D331" ca="1">INDEX(Lookup!$H$2:$H$4,RANDBETWEEN(1,3))</f>
        <v>Female</v>
      </c>
      <c r="E331" s="16">
        <f t="shared" ca="1" si="70"/>
        <v>22</v>
      </c>
      <c r="F331" s="16" t="str" cm="1">
        <f t="array" ref="F331" ca="1">INDEX(Lookup!$A$2:$A$10,RANDBETWEEN(1,9))</f>
        <v>HR</v>
      </c>
      <c r="G331" s="16" t="str" cm="1">
        <f t="array" ref="G331" ca="1">_xlfn.LET(_xlpm.Roles,_xlfn._xlws.FILTER(Lookup!$P$2:$P$28,Lookup!$O$2:$O$28=F331),INDEX(_xlpm.Roles,RANDBETWEEN(1,ROWS(_xlpm.Roles))))</f>
        <v>HR Assistant</v>
      </c>
      <c r="H331" s="16" t="str" cm="1">
        <f t="array" ref="H331" ca="1">INDEX(Lookup!$B$2:$B$7,RANDBETWEEN(1,6))</f>
        <v>Waterford</v>
      </c>
      <c r="I331" s="22">
        <f t="shared" ca="1" si="71"/>
        <v>44934</v>
      </c>
      <c r="J331" s="22">
        <f t="shared" ca="1" si="72"/>
        <v>45707</v>
      </c>
      <c r="K331" s="16" t="str">
        <f t="shared" ca="1" si="73"/>
        <v>Resigned</v>
      </c>
      <c r="L331" s="26">
        <f ca="1">_xlfn.XLOOKUP(G331,Lookup!$P$2:$P$28,Lookup!$Q$2:$Q$28)*(1+MIN(X331*3%,30%))</f>
        <v>36040</v>
      </c>
      <c r="M331" s="24">
        <f t="shared" ca="1" si="83"/>
        <v>1</v>
      </c>
      <c r="N331" s="24">
        <f t="shared" ca="1" si="74"/>
        <v>56</v>
      </c>
      <c r="O331" s="24">
        <f t="shared" ca="1" si="75"/>
        <v>9</v>
      </c>
      <c r="P331" s="24">
        <f t="shared" ca="1" si="76"/>
        <v>58</v>
      </c>
      <c r="Q331" s="16" t="str">
        <f t="shared" ca="1" si="77"/>
        <v>Not Promoted</v>
      </c>
      <c r="R331" s="16" t="str" cm="1">
        <f t="array" ref="R331" ca="1">INDEX(Lookup!$E$2:$E$6,RANDBETWEEN(1,5))</f>
        <v>Dipolma</v>
      </c>
      <c r="S331" s="16" t="str" cm="1">
        <f t="array" ref="S331" ca="1">INDEX(Lookup!$J$2:$J$11,RANDBETWEEN(1,10))</f>
        <v>Daniel Kelly</v>
      </c>
      <c r="T331" s="16" t="str">
        <f t="shared" ca="1" si="78"/>
        <v>isabella.hill@hranalytics.com</v>
      </c>
      <c r="U331" s="16" t="str">
        <f t="shared" ca="1" si="79"/>
        <v>0854667912</v>
      </c>
      <c r="V331" s="16" t="str" cm="1">
        <f t="array" ref="V331" ca="1">_xlfn.LET(_xlpm.r,RANDBETWEEN(1,100),_xlfn.IFS(_xlpm.r&lt;=70,"Full-Time",_xlpm.r&lt;=85,"Part-Time",_xlpm.r&lt;=95,"Contract",TRUE,"Intern"))</f>
        <v>Full-Time</v>
      </c>
      <c r="W331" s="16" cm="1">
        <f t="array" ref="W331" ca="1">IF(K331&lt;&gt;"Active",0,_xlfn.IFS(M331=5,L331*15%,M331=4,L331*10%,M331=3,L331*5%,M331=2,L331*2%,TRUE,0))</f>
        <v>0</v>
      </c>
      <c r="X331" s="24">
        <f t="shared" ca="1" si="80"/>
        <v>3</v>
      </c>
      <c r="Y331" s="24">
        <f t="shared" ca="1" si="81"/>
        <v>2</v>
      </c>
    </row>
    <row r="332" spans="1:25">
      <c r="A332" s="16" t="str">
        <f t="shared" si="82"/>
        <v>EMP331</v>
      </c>
      <c r="B332" s="16" t="str" cm="1">
        <f t="array" ref="B332" ca="1">IF(D332="Male",INDEX(Lookup!$L$2:$L$13,RANDBETWEEN(1,12)),IF(D332="Female",INDEX(Lookup!$M$2:$M$13,RANDBETWEEN(1,12)),INDEX(Lookup!$N$2:$N$13,RANDBETWEEN(1,12))))</f>
        <v>Olivia</v>
      </c>
      <c r="C332" s="16" t="str" cm="1">
        <f t="array" ref="C332" ca="1">INDEX(Lookup!$K$2:$K$31,RANDBETWEEN(1,30))</f>
        <v>Young</v>
      </c>
      <c r="D332" s="16" t="str" cm="1">
        <f t="array" ref="D332" ca="1">INDEX(Lookup!$H$2:$H$4,RANDBETWEEN(1,3))</f>
        <v>Female</v>
      </c>
      <c r="E332" s="16">
        <f t="shared" ca="1" si="70"/>
        <v>54</v>
      </c>
      <c r="F332" s="16" t="str" cm="1">
        <f t="array" ref="F332" ca="1">INDEX(Lookup!$A$2:$A$10,RANDBETWEEN(1,9))</f>
        <v>Procurement</v>
      </c>
      <c r="G332" s="16" t="str" cm="1">
        <f t="array" ref="G332" ca="1">_xlfn.LET(_xlpm.Roles,_xlfn._xlws.FILTER(Lookup!$P$2:$P$28,Lookup!$O$2:$O$28=F332),INDEX(_xlpm.Roles,RANDBETWEEN(1,ROWS(_xlpm.Roles))))</f>
        <v>Procurement Analyst</v>
      </c>
      <c r="H332" s="16" t="str" cm="1">
        <f t="array" ref="H332" ca="1">INDEX(Lookup!$B$2:$B$7,RANDBETWEEN(1,6))</f>
        <v>Dublin</v>
      </c>
      <c r="I332" s="22">
        <f t="shared" ca="1" si="71"/>
        <v>46006</v>
      </c>
      <c r="J332" s="22" t="str">
        <f t="shared" ca="1" si="72"/>
        <v/>
      </c>
      <c r="K332" s="16" t="str">
        <f t="shared" ca="1" si="73"/>
        <v>Active</v>
      </c>
      <c r="L332" s="26">
        <f ca="1">_xlfn.XLOOKUP(G332,Lookup!$P$2:$P$28,Lookup!$Q$2:$Q$28)*(1+MIN(X332*3%,30%))</f>
        <v>51500</v>
      </c>
      <c r="M332" s="24">
        <f t="shared" ca="1" si="83"/>
        <v>5</v>
      </c>
      <c r="N332" s="24">
        <f t="shared" ca="1" si="74"/>
        <v>0</v>
      </c>
      <c r="O332" s="24">
        <f t="shared" ca="1" si="75"/>
        <v>5</v>
      </c>
      <c r="P332" s="24">
        <f t="shared" ca="1" si="76"/>
        <v>20</v>
      </c>
      <c r="Q332" s="16" t="str">
        <f t="shared" ca="1" si="77"/>
        <v>Not Promoted</v>
      </c>
      <c r="R332" s="16" t="str" cm="1">
        <f t="array" ref="R332" ca="1">INDEX(Lookup!$E$2:$E$6,RANDBETWEEN(1,5))</f>
        <v>Bachelor's</v>
      </c>
      <c r="S332" s="16" t="str" cm="1">
        <f t="array" ref="S332" ca="1">INDEX(Lookup!$J$2:$J$11,RANDBETWEEN(1,10))</f>
        <v>James Taylor</v>
      </c>
      <c r="T332" s="16" t="str">
        <f t="shared" ca="1" si="78"/>
        <v>olivia.young@hranalytics.com</v>
      </c>
      <c r="U332" s="16" t="str">
        <f t="shared" ca="1" si="79"/>
        <v>0886233708</v>
      </c>
      <c r="V332" s="16" t="str" cm="1">
        <f t="array" ref="V332" ca="1">_xlfn.LET(_xlpm.r,RANDBETWEEN(1,100),_xlfn.IFS(_xlpm.r&lt;=70,"Full-Time",_xlpm.r&lt;=85,"Part-Time",_xlpm.r&lt;=95,"Contract",TRUE,"Intern"))</f>
        <v>Full-Time</v>
      </c>
      <c r="W332" s="16" cm="1">
        <f t="array" ref="W332" ca="1">IF(K332&lt;&gt;"Active",0,_xlfn.IFS(M332=5,L332*15%,M332=4,L332*10%,M332=3,L332*5%,M332=2,L332*2%,TRUE,0))</f>
        <v>0</v>
      </c>
      <c r="X332" s="24">
        <f t="shared" ca="1" si="80"/>
        <v>0</v>
      </c>
      <c r="Y332" s="24">
        <f t="shared" ca="1" si="81"/>
        <v>2</v>
      </c>
    </row>
    <row r="333" spans="1:25">
      <c r="A333" s="16" t="str">
        <f t="shared" si="82"/>
        <v>EMP332</v>
      </c>
      <c r="B333" s="16" t="str" cm="1">
        <f t="array" ref="B333" ca="1">IF(D333="Male",INDEX(Lookup!$L$2:$L$13,RANDBETWEEN(1,12)),IF(D333="Female",INDEX(Lookup!$M$2:$M$13,RANDBETWEEN(1,12)),INDEX(Lookup!$N$2:$N$13,RANDBETWEEN(1,12))))</f>
        <v>Noah</v>
      </c>
      <c r="C333" s="16" t="str" cm="1">
        <f t="array" ref="C333" ca="1">INDEX(Lookup!$K$2:$K$31,RANDBETWEEN(1,30))</f>
        <v>Baker</v>
      </c>
      <c r="D333" s="16" t="str" cm="1">
        <f t="array" ref="D333" ca="1">INDEX(Lookup!$H$2:$H$4,RANDBETWEEN(1,3))</f>
        <v>Male</v>
      </c>
      <c r="E333" s="16">
        <f t="shared" ca="1" si="70"/>
        <v>35</v>
      </c>
      <c r="F333" s="16" t="str" cm="1">
        <f t="array" ref="F333" ca="1">INDEX(Lookup!$A$2:$A$10,RANDBETWEEN(1,9))</f>
        <v>Marketing</v>
      </c>
      <c r="G333" s="16" t="str" cm="1">
        <f t="array" ref="G333" ca="1">_xlfn.LET(_xlpm.Roles,_xlfn._xlws.FILTER(Lookup!$P$2:$P$28,Lookup!$O$2:$O$28=F333),INDEX(_xlpm.Roles,RANDBETWEEN(1,ROWS(_xlpm.Roles))))</f>
        <v>Brand Executive</v>
      </c>
      <c r="H333" s="16" t="str" cm="1">
        <f t="array" ref="H333" ca="1">INDEX(Lookup!$B$2:$B$7,RANDBETWEEN(1,6))</f>
        <v>Belfast</v>
      </c>
      <c r="I333" s="22">
        <f t="shared" ca="1" si="71"/>
        <v>44033</v>
      </c>
      <c r="J333" s="22" t="str">
        <f t="shared" ca="1" si="72"/>
        <v/>
      </c>
      <c r="K333" s="16" t="str">
        <f t="shared" ca="1" si="73"/>
        <v>Active</v>
      </c>
      <c r="L333" s="26">
        <f ca="1">_xlfn.XLOOKUP(G333,Lookup!$P$2:$P$28,Lookup!$Q$2:$Q$28)*(1+MIN(X333*3%,30%))</f>
        <v>51520</v>
      </c>
      <c r="M333" s="24">
        <f t="shared" ca="1" si="83"/>
        <v>5</v>
      </c>
      <c r="N333" s="24">
        <f t="shared" ca="1" si="74"/>
        <v>1</v>
      </c>
      <c r="O333" s="24">
        <f t="shared" ca="1" si="75"/>
        <v>15</v>
      </c>
      <c r="P333" s="24">
        <f t="shared" ca="1" si="76"/>
        <v>18</v>
      </c>
      <c r="Q333" s="16" t="str">
        <f t="shared" ca="1" si="77"/>
        <v>Promoted</v>
      </c>
      <c r="R333" s="16" t="str" cm="1">
        <f t="array" ref="R333" ca="1">INDEX(Lookup!$E$2:$E$6,RANDBETWEEN(1,5))</f>
        <v>Master's</v>
      </c>
      <c r="S333" s="16" t="str" cm="1">
        <f t="array" ref="S333" ca="1">INDEX(Lookup!$J$2:$J$11,RANDBETWEEN(1,10))</f>
        <v>Sarah Johnson</v>
      </c>
      <c r="T333" s="16" t="str">
        <f t="shared" ca="1" si="78"/>
        <v>noah.baker@hranalytics.com</v>
      </c>
      <c r="U333" s="16" t="str">
        <f t="shared" ca="1" si="79"/>
        <v>0879883666</v>
      </c>
      <c r="V333" s="16" t="str" cm="1">
        <f t="array" ref="V333" ca="1">_xlfn.LET(_xlpm.r,RANDBETWEEN(1,100),_xlfn.IFS(_xlpm.r&lt;=70,"Full-Time",_xlpm.r&lt;=85,"Part-Time",_xlpm.r&lt;=95,"Contract",TRUE,"Intern"))</f>
        <v>Full-Time</v>
      </c>
      <c r="W333" s="16" cm="1">
        <f t="array" ref="W333" ca="1">IF(K333&lt;&gt;"Active",0,_xlfn.IFS(M333=5,L333*15%,M333=4,L333*10%,M333=3,L333*5%,M333=2,L333*2%,TRUE,0))</f>
        <v>1030.4000000000001</v>
      </c>
      <c r="X333" s="24">
        <f t="shared" ca="1" si="80"/>
        <v>6</v>
      </c>
      <c r="Y333" s="24">
        <f t="shared" ca="1" si="81"/>
        <v>3</v>
      </c>
    </row>
    <row r="334" spans="1:25">
      <c r="A334" s="16" t="str">
        <f t="shared" si="82"/>
        <v>EMP333</v>
      </c>
      <c r="B334" s="16" t="str" cm="1">
        <f t="array" ref="B334" ca="1">IF(D334="Male",INDEX(Lookup!$L$2:$L$13,RANDBETWEEN(1,12)),IF(D334="Female",INDEX(Lookup!$M$2:$M$13,RANDBETWEEN(1,12)),INDEX(Lookup!$N$2:$N$13,RANDBETWEEN(1,12))))</f>
        <v>Taylor</v>
      </c>
      <c r="C334" s="16" t="str" cm="1">
        <f t="array" ref="C334" ca="1">INDEX(Lookup!$K$2:$K$31,RANDBETWEEN(1,30))</f>
        <v>Hall</v>
      </c>
      <c r="D334" s="16" t="str" cm="1">
        <f t="array" ref="D334" ca="1">INDEX(Lookup!$H$2:$H$4,RANDBETWEEN(1,3))</f>
        <v>Other</v>
      </c>
      <c r="E334" s="16">
        <f t="shared" ca="1" si="70"/>
        <v>49</v>
      </c>
      <c r="F334" s="16" t="str" cm="1">
        <f t="array" ref="F334" ca="1">INDEX(Lookup!$A$2:$A$10,RANDBETWEEN(1,9))</f>
        <v>Sales</v>
      </c>
      <c r="G334" s="16" t="str" cm="1">
        <f t="array" ref="G334" ca="1">_xlfn.LET(_xlpm.Roles,_xlfn._xlws.FILTER(Lookup!$P$2:$P$28,Lookup!$O$2:$O$28=F334),INDEX(_xlpm.Roles,RANDBETWEEN(1,ROWS(_xlpm.Roles))))</f>
        <v>Sales Executive</v>
      </c>
      <c r="H334" s="16" t="str" cm="1">
        <f t="array" ref="H334" ca="1">INDEX(Lookup!$B$2:$B$7,RANDBETWEEN(1,6))</f>
        <v>Waterford</v>
      </c>
      <c r="I334" s="22">
        <f t="shared" ca="1" si="71"/>
        <v>44636</v>
      </c>
      <c r="J334" s="22" t="str">
        <f t="shared" ca="1" si="72"/>
        <v/>
      </c>
      <c r="K334" s="16" t="str">
        <f t="shared" ca="1" si="73"/>
        <v>Active</v>
      </c>
      <c r="L334" s="26">
        <f ca="1">_xlfn.XLOOKUP(G334,Lookup!$P$2:$P$28,Lookup!$Q$2:$Q$28)*(1+MIN(X334*3%,30%))</f>
        <v>48400</v>
      </c>
      <c r="M334" s="24">
        <f t="shared" ca="1" si="83"/>
        <v>5</v>
      </c>
      <c r="N334" s="24">
        <f t="shared" ca="1" si="74"/>
        <v>17</v>
      </c>
      <c r="O334" s="24">
        <f t="shared" ca="1" si="75"/>
        <v>6</v>
      </c>
      <c r="P334" s="24">
        <f t="shared" ca="1" si="76"/>
        <v>4</v>
      </c>
      <c r="Q334" s="16" t="str">
        <f t="shared" ca="1" si="77"/>
        <v>Promoted</v>
      </c>
      <c r="R334" s="16" t="str" cm="1">
        <f t="array" ref="R334" ca="1">INDEX(Lookup!$E$2:$E$6,RANDBETWEEN(1,5))</f>
        <v>Dipolma</v>
      </c>
      <c r="S334" s="16" t="str" cm="1">
        <f t="array" ref="S334" ca="1">INDEX(Lookup!$J$2:$J$11,RANDBETWEEN(1,10))</f>
        <v>Olivia Smith</v>
      </c>
      <c r="T334" s="16" t="str">
        <f t="shared" ca="1" si="78"/>
        <v>taylor.hall@hranalytics.com</v>
      </c>
      <c r="U334" s="16" t="str">
        <f t="shared" ca="1" si="79"/>
        <v>0862543929</v>
      </c>
      <c r="V334" s="16" t="str" cm="1">
        <f t="array" ref="V334" ca="1">_xlfn.LET(_xlpm.r,RANDBETWEEN(1,100),_xlfn.IFS(_xlpm.r&lt;=70,"Full-Time",_xlpm.r&lt;=85,"Part-Time",_xlpm.r&lt;=95,"Contract",TRUE,"Intern"))</f>
        <v>Full-Time</v>
      </c>
      <c r="W334" s="16" cm="1">
        <f t="array" ref="W334" ca="1">IF(K334&lt;&gt;"Active",0,_xlfn.IFS(M334=5,L334*15%,M334=4,L334*10%,M334=3,L334*5%,M334=2,L334*2%,TRUE,0))</f>
        <v>968</v>
      </c>
      <c r="X334" s="24">
        <f t="shared" ca="1" si="80"/>
        <v>4</v>
      </c>
      <c r="Y334" s="24">
        <f t="shared" ca="1" si="81"/>
        <v>3</v>
      </c>
    </row>
    <row r="335" spans="1:25">
      <c r="A335" s="16" t="str">
        <f t="shared" si="82"/>
        <v>EMP334</v>
      </c>
      <c r="B335" s="16" t="str" cm="1">
        <f t="array" ref="B335" ca="1">IF(D335="Male",INDEX(Lookup!$L$2:$L$13,RANDBETWEEN(1,12)),IF(D335="Female",INDEX(Lookup!$M$2:$M$13,RANDBETWEEN(1,12)),INDEX(Lookup!$N$2:$N$13,RANDBETWEEN(1,12))))</f>
        <v>Daniel</v>
      </c>
      <c r="C335" s="16" t="str" cm="1">
        <f t="array" ref="C335" ca="1">INDEX(Lookup!$K$2:$K$31,RANDBETWEEN(1,30))</f>
        <v>Martin</v>
      </c>
      <c r="D335" s="16" t="str" cm="1">
        <f t="array" ref="D335" ca="1">INDEX(Lookup!$H$2:$H$4,RANDBETWEEN(1,3))</f>
        <v>Male</v>
      </c>
      <c r="E335" s="16">
        <f t="shared" ca="1" si="70"/>
        <v>48</v>
      </c>
      <c r="F335" s="16" t="str" cm="1">
        <f t="array" ref="F335" ca="1">INDEX(Lookup!$A$2:$A$10,RANDBETWEEN(1,9))</f>
        <v>Finance</v>
      </c>
      <c r="G335" s="16" t="str" cm="1">
        <f t="array" ref="G335" ca="1">_xlfn.LET(_xlpm.Roles,_xlfn._xlws.FILTER(Lookup!$P$2:$P$28,Lookup!$O$2:$O$28=F335),INDEX(_xlpm.Roles,RANDBETWEEN(1,ROWS(_xlpm.Roles))))</f>
        <v>Financial Analyst</v>
      </c>
      <c r="H335" s="16" t="str" cm="1">
        <f t="array" ref="H335" ca="1">INDEX(Lookup!$B$2:$B$7,RANDBETWEEN(1,6))</f>
        <v>Limerick</v>
      </c>
      <c r="I335" s="22">
        <f t="shared" ca="1" si="71"/>
        <v>45605</v>
      </c>
      <c r="J335" s="22">
        <f t="shared" ca="1" si="72"/>
        <v>47368</v>
      </c>
      <c r="K335" s="16" t="str">
        <f t="shared" ca="1" si="73"/>
        <v>Resigned</v>
      </c>
      <c r="L335" s="26">
        <f ca="1">_xlfn.XLOOKUP(G335,Lookup!$P$2:$P$28,Lookup!$Q$2:$Q$28)*(1+MIN(X335*3%,30%))</f>
        <v>59740</v>
      </c>
      <c r="M335" s="24">
        <f t="shared" ca="1" si="83"/>
        <v>1</v>
      </c>
      <c r="N335" s="24">
        <f t="shared" ca="1" si="74"/>
        <v>9</v>
      </c>
      <c r="O335" s="24">
        <f t="shared" ca="1" si="75"/>
        <v>4</v>
      </c>
      <c r="P335" s="24">
        <f t="shared" ca="1" si="76"/>
        <v>56</v>
      </c>
      <c r="Q335" s="16" t="str">
        <f t="shared" ca="1" si="77"/>
        <v>Not Promoted</v>
      </c>
      <c r="R335" s="16" t="str" cm="1">
        <f t="array" ref="R335" ca="1">INDEX(Lookup!$E$2:$E$6,RANDBETWEEN(1,5))</f>
        <v>Bachelor's</v>
      </c>
      <c r="S335" s="16" t="str" cm="1">
        <f t="array" ref="S335" ca="1">INDEX(Lookup!$J$2:$J$11,RANDBETWEEN(1,10))</f>
        <v>Sophia Martin</v>
      </c>
      <c r="T335" s="16" t="str">
        <f t="shared" ca="1" si="78"/>
        <v>daniel.martin@hranalytics.com</v>
      </c>
      <c r="U335" s="16" t="str">
        <f t="shared" ca="1" si="79"/>
        <v>0865607893</v>
      </c>
      <c r="V335" s="16" t="str" cm="1">
        <f t="array" ref="V335" ca="1">_xlfn.LET(_xlpm.r,RANDBETWEEN(1,100),_xlfn.IFS(_xlpm.r&lt;=70,"Full-Time",_xlpm.r&lt;=85,"Part-Time",_xlpm.r&lt;=95,"Contract",TRUE,"Intern"))</f>
        <v>Full-Time</v>
      </c>
      <c r="W335" s="16" cm="1">
        <f t="array" ref="W335" ca="1">IF(K335&lt;&gt;"Active",0,_xlfn.IFS(M335=5,L335*15%,M335=4,L335*10%,M335=3,L335*5%,M335=2,L335*2%,TRUE,0))</f>
        <v>1194.8</v>
      </c>
      <c r="X335" s="24">
        <f t="shared" ca="1" si="80"/>
        <v>1</v>
      </c>
      <c r="Y335" s="24">
        <f t="shared" ca="1" si="81"/>
        <v>1</v>
      </c>
    </row>
    <row r="336" spans="1:25">
      <c r="A336" s="16" t="str">
        <f t="shared" si="82"/>
        <v>EMP335</v>
      </c>
      <c r="B336" s="16" t="str" cm="1">
        <f t="array" ref="B336" ca="1">IF(D336="Male",INDEX(Lookup!$L$2:$L$13,RANDBETWEEN(1,12)),IF(D336="Female",INDEX(Lookup!$M$2:$M$13,RANDBETWEEN(1,12)),INDEX(Lookup!$N$2:$N$13,RANDBETWEEN(1,12))))</f>
        <v>Michael</v>
      </c>
      <c r="C336" s="16" t="str" cm="1">
        <f t="array" ref="C336" ca="1">INDEX(Lookup!$K$2:$K$31,RANDBETWEEN(1,30))</f>
        <v>King</v>
      </c>
      <c r="D336" s="16" t="str" cm="1">
        <f t="array" ref="D336" ca="1">INDEX(Lookup!$H$2:$H$4,RANDBETWEEN(1,3))</f>
        <v>Male</v>
      </c>
      <c r="E336" s="16">
        <f t="shared" ca="1" si="70"/>
        <v>23</v>
      </c>
      <c r="F336" s="16" t="str" cm="1">
        <f t="array" ref="F336" ca="1">INDEX(Lookup!$A$2:$A$10,RANDBETWEEN(1,9))</f>
        <v>Operations</v>
      </c>
      <c r="G336" s="16" t="str" cm="1">
        <f t="array" ref="G336" ca="1">_xlfn.LET(_xlpm.Roles,_xlfn._xlws.FILTER(Lookup!$P$2:$P$28,Lookup!$O$2:$O$28=F336),INDEX(_xlpm.Roles,RANDBETWEEN(1,ROWS(_xlpm.Roles))))</f>
        <v>Operations Coordinator</v>
      </c>
      <c r="H336" s="16" t="str" cm="1">
        <f t="array" ref="H336" ca="1">INDEX(Lookup!$B$2:$B$7,RANDBETWEEN(1,6))</f>
        <v>Belfast</v>
      </c>
      <c r="I336" s="22">
        <f t="shared" ca="1" si="71"/>
        <v>44198</v>
      </c>
      <c r="J336" s="22" t="str">
        <f t="shared" ca="1" si="72"/>
        <v/>
      </c>
      <c r="K336" s="16" t="str">
        <f t="shared" ca="1" si="73"/>
        <v>Active</v>
      </c>
      <c r="L336" s="26">
        <f ca="1">_xlfn.XLOOKUP(G336,Lookup!$P$2:$P$28,Lookup!$Q$2:$Q$28)*(1+MIN(X336*3%,30%))</f>
        <v>46350</v>
      </c>
      <c r="M336" s="24">
        <f t="shared" ca="1" si="83"/>
        <v>5</v>
      </c>
      <c r="N336" s="24">
        <f t="shared" ca="1" si="74"/>
        <v>75</v>
      </c>
      <c r="O336" s="24">
        <f t="shared" ca="1" si="75"/>
        <v>0</v>
      </c>
      <c r="P336" s="24">
        <f t="shared" ca="1" si="76"/>
        <v>14</v>
      </c>
      <c r="Q336" s="16" t="str">
        <f t="shared" ca="1" si="77"/>
        <v>Not Promoted</v>
      </c>
      <c r="R336" s="16" t="str" cm="1">
        <f t="array" ref="R336" ca="1">INDEX(Lookup!$E$2:$E$6,RANDBETWEEN(1,5))</f>
        <v>Dipolma</v>
      </c>
      <c r="S336" s="16" t="str" cm="1">
        <f t="array" ref="S336" ca="1">INDEX(Lookup!$J$2:$J$11,RANDBETWEEN(1,10))</f>
        <v>Liam Byrne</v>
      </c>
      <c r="T336" s="16" t="str">
        <f t="shared" ca="1" si="78"/>
        <v>michael.king@hranalytics.com</v>
      </c>
      <c r="U336" s="16" t="str">
        <f t="shared" ca="1" si="79"/>
        <v>0898085086</v>
      </c>
      <c r="V336" s="16" t="str" cm="1">
        <f t="array" ref="V336" ca="1">_xlfn.LET(_xlpm.r,RANDBETWEEN(1,100),_xlfn.IFS(_xlpm.r&lt;=70,"Full-Time",_xlpm.r&lt;=85,"Part-Time",_xlpm.r&lt;=95,"Contract",TRUE,"Intern"))</f>
        <v>Full-Time</v>
      </c>
      <c r="W336" s="16" cm="1">
        <f t="array" ref="W336" ca="1">IF(K336&lt;&gt;"Active",0,_xlfn.IFS(M336=5,L336*15%,M336=4,L336*10%,M336=3,L336*5%,M336=2,L336*2%,TRUE,0))</f>
        <v>4635</v>
      </c>
      <c r="X336" s="24">
        <f t="shared" ca="1" si="80"/>
        <v>5</v>
      </c>
      <c r="Y336" s="24">
        <f t="shared" ca="1" si="81"/>
        <v>1</v>
      </c>
    </row>
    <row r="337" spans="1:25">
      <c r="A337" s="16" t="str">
        <f t="shared" si="82"/>
        <v>EMP336</v>
      </c>
      <c r="B337" s="16" t="str" cm="1">
        <f t="array" ref="B337" ca="1">IF(D337="Male",INDEX(Lookup!$L$2:$L$13,RANDBETWEEN(1,12)),IF(D337="Female",INDEX(Lookup!$M$2:$M$13,RANDBETWEEN(1,12)),INDEX(Lookup!$N$2:$N$13,RANDBETWEEN(1,12))))</f>
        <v>Alex</v>
      </c>
      <c r="C337" s="16" t="str" cm="1">
        <f t="array" ref="C337" ca="1">INDEX(Lookup!$K$2:$K$31,RANDBETWEEN(1,30))</f>
        <v>Parker</v>
      </c>
      <c r="D337" s="16" t="str" cm="1">
        <f t="array" ref="D337" ca="1">INDEX(Lookup!$H$2:$H$4,RANDBETWEEN(1,3))</f>
        <v>Other</v>
      </c>
      <c r="E337" s="16">
        <f t="shared" ca="1" si="70"/>
        <v>49</v>
      </c>
      <c r="F337" s="16" t="str" cm="1">
        <f t="array" ref="F337" ca="1">INDEX(Lookup!$A$2:$A$10,RANDBETWEEN(1,9))</f>
        <v>Operations</v>
      </c>
      <c r="G337" s="16" t="str" cm="1">
        <f t="array" ref="G337" ca="1">_xlfn.LET(_xlpm.Roles,_xlfn._xlws.FILTER(Lookup!$P$2:$P$28,Lookup!$O$2:$O$28=F337),INDEX(_xlpm.Roles,RANDBETWEEN(1,ROWS(_xlpm.Roles))))</f>
        <v>Operations Coordinator</v>
      </c>
      <c r="H337" s="16" t="str" cm="1">
        <f t="array" ref="H337" ca="1">INDEX(Lookup!$B$2:$B$7,RANDBETWEEN(1,6))</f>
        <v>Waterford</v>
      </c>
      <c r="I337" s="22">
        <f t="shared" ca="1" si="71"/>
        <v>45845</v>
      </c>
      <c r="J337" s="22" t="str">
        <f t="shared" ca="1" si="72"/>
        <v/>
      </c>
      <c r="K337" s="16" t="str">
        <f t="shared" ca="1" si="73"/>
        <v>Active</v>
      </c>
      <c r="L337" s="26">
        <f ca="1">_xlfn.XLOOKUP(G337,Lookup!$P$2:$P$28,Lookup!$Q$2:$Q$28)*(1+MIN(X337*3%,30%))</f>
        <v>53100</v>
      </c>
      <c r="M337" s="24">
        <f t="shared" ca="1" si="83"/>
        <v>1</v>
      </c>
      <c r="N337" s="24">
        <f t="shared" ca="1" si="74"/>
        <v>79</v>
      </c>
      <c r="O337" s="24">
        <f t="shared" ca="1" si="75"/>
        <v>12</v>
      </c>
      <c r="P337" s="24">
        <f t="shared" ca="1" si="76"/>
        <v>35</v>
      </c>
      <c r="Q337" s="16" t="str">
        <f t="shared" ca="1" si="77"/>
        <v>Promoted</v>
      </c>
      <c r="R337" s="16" t="str" cm="1">
        <f t="array" ref="R337" ca="1">INDEX(Lookup!$E$2:$E$6,RANDBETWEEN(1,5))</f>
        <v>Dipolma</v>
      </c>
      <c r="S337" s="16" t="str" cm="1">
        <f t="array" ref="S337" ca="1">INDEX(Lookup!$J$2:$J$11,RANDBETWEEN(1,10))</f>
        <v>Michael Brown</v>
      </c>
      <c r="T337" s="16" t="str">
        <f t="shared" ca="1" si="78"/>
        <v>alex.parker@hranalytics.com</v>
      </c>
      <c r="U337" s="16" t="str">
        <f t="shared" ca="1" si="79"/>
        <v>0866734597</v>
      </c>
      <c r="V337" s="16" t="str" cm="1">
        <f t="array" ref="V337" ca="1">_xlfn.LET(_xlpm.r,RANDBETWEEN(1,100),_xlfn.IFS(_xlpm.r&lt;=70,"Full-Time",_xlpm.r&lt;=85,"Part-Time",_xlpm.r&lt;=95,"Contract",TRUE,"Intern"))</f>
        <v>Part-Time</v>
      </c>
      <c r="W337" s="16" cm="1">
        <f t="array" ref="W337" ca="1">IF(K337&lt;&gt;"Active",0,_xlfn.IFS(M337=5,L337*15%,M337=4,L337*10%,M337=3,L337*5%,M337=2,L337*2%,TRUE,0))</f>
        <v>7965</v>
      </c>
      <c r="X337" s="24">
        <f t="shared" ca="1" si="80"/>
        <v>1</v>
      </c>
      <c r="Y337" s="24">
        <f t="shared" ca="1" si="81"/>
        <v>3</v>
      </c>
    </row>
    <row r="338" spans="1:25">
      <c r="A338" s="16" t="str">
        <f t="shared" si="82"/>
        <v>EMP337</v>
      </c>
      <c r="B338" s="16" t="str" cm="1">
        <f t="array" ref="B338" ca="1">IF(D338="Male",INDEX(Lookup!$L$2:$L$13,RANDBETWEEN(1,12)),IF(D338="Female",INDEX(Lookup!$M$2:$M$13,RANDBETWEEN(1,12)),INDEX(Lookup!$N$2:$N$13,RANDBETWEEN(1,12))))</f>
        <v>Emma</v>
      </c>
      <c r="C338" s="16" t="str" cm="1">
        <f t="array" ref="C338" ca="1">INDEX(Lookup!$K$2:$K$31,RANDBETWEEN(1,30))</f>
        <v>Edwards</v>
      </c>
      <c r="D338" s="16" t="str" cm="1">
        <f t="array" ref="D338" ca="1">INDEX(Lookup!$H$2:$H$4,RANDBETWEEN(1,3))</f>
        <v>Female</v>
      </c>
      <c r="E338" s="16">
        <f t="shared" ca="1" si="70"/>
        <v>42</v>
      </c>
      <c r="F338" s="16" t="str" cm="1">
        <f t="array" ref="F338" ca="1">INDEX(Lookup!$A$2:$A$10,RANDBETWEEN(1,9))</f>
        <v>Finance</v>
      </c>
      <c r="G338" s="16" t="str" cm="1">
        <f t="array" ref="G338" ca="1">_xlfn.LET(_xlpm.Roles,_xlfn._xlws.FILTER(Lookup!$P$2:$P$28,Lookup!$O$2:$O$28=F338),INDEX(_xlpm.Roles,RANDBETWEEN(1,ROWS(_xlpm.Roles))))</f>
        <v>Financial Analyst</v>
      </c>
      <c r="H338" s="16" t="str" cm="1">
        <f t="array" ref="H338" ca="1">INDEX(Lookup!$B$2:$B$7,RANDBETWEEN(1,6))</f>
        <v>Cork</v>
      </c>
      <c r="I338" s="22">
        <f t="shared" ca="1" si="71"/>
        <v>45142</v>
      </c>
      <c r="J338" s="22" t="str">
        <f t="shared" ca="1" si="72"/>
        <v/>
      </c>
      <c r="K338" s="16" t="str">
        <f t="shared" ca="1" si="73"/>
        <v>Active</v>
      </c>
      <c r="L338" s="26">
        <f ca="1">_xlfn.XLOOKUP(G338,Lookup!$P$2:$P$28,Lookup!$Q$2:$Q$28)*(1+MIN(X338*3%,30%))</f>
        <v>68440</v>
      </c>
      <c r="M338" s="24">
        <f t="shared" ca="1" si="83"/>
        <v>1</v>
      </c>
      <c r="N338" s="24">
        <f t="shared" ca="1" si="74"/>
        <v>76</v>
      </c>
      <c r="O338" s="24">
        <f t="shared" ca="1" si="75"/>
        <v>11</v>
      </c>
      <c r="P338" s="24">
        <f t="shared" ca="1" si="76"/>
        <v>2</v>
      </c>
      <c r="Q338" s="16" t="str">
        <f t="shared" ca="1" si="77"/>
        <v>Promoted</v>
      </c>
      <c r="R338" s="16" t="str" cm="1">
        <f t="array" ref="R338" ca="1">INDEX(Lookup!$E$2:$E$6,RANDBETWEEN(1,5))</f>
        <v>High School</v>
      </c>
      <c r="S338" s="16" t="str" cm="1">
        <f t="array" ref="S338" ca="1">INDEX(Lookup!$J$2:$J$11,RANDBETWEEN(1,10))</f>
        <v>Olivia Smith</v>
      </c>
      <c r="T338" s="16" t="str">
        <f t="shared" ca="1" si="78"/>
        <v>emma.edwards@hranalytics.com</v>
      </c>
      <c r="U338" s="16" t="str">
        <f t="shared" ca="1" si="79"/>
        <v>0882081394</v>
      </c>
      <c r="V338" s="16" t="str" cm="1">
        <f t="array" ref="V338" ca="1">_xlfn.LET(_xlpm.r,RANDBETWEEN(1,100),_xlfn.IFS(_xlpm.r&lt;=70,"Full-Time",_xlpm.r&lt;=85,"Part-Time",_xlpm.r&lt;=95,"Contract",TRUE,"Intern"))</f>
        <v>Contract</v>
      </c>
      <c r="W338" s="16" cm="1">
        <f t="array" ref="W338" ca="1">IF(K338&lt;&gt;"Active",0,_xlfn.IFS(M338=5,L338*15%,M338=4,L338*10%,M338=3,L338*5%,M338=2,L338*2%,TRUE,0))</f>
        <v>0</v>
      </c>
      <c r="X338" s="24">
        <f t="shared" ca="1" si="80"/>
        <v>3</v>
      </c>
      <c r="Y338" s="24">
        <f t="shared" ca="1" si="81"/>
        <v>2</v>
      </c>
    </row>
    <row r="339" spans="1:25">
      <c r="A339" s="16" t="str">
        <f t="shared" si="82"/>
        <v>EMP338</v>
      </c>
      <c r="B339" s="16" t="str" cm="1">
        <f t="array" ref="B339" ca="1">IF(D339="Male",INDEX(Lookup!$L$2:$L$13,RANDBETWEEN(1,12)),IF(D339="Female",INDEX(Lookup!$M$2:$M$13,RANDBETWEEN(1,12)),INDEX(Lookup!$N$2:$N$13,RANDBETWEEN(1,12))))</f>
        <v>Jack</v>
      </c>
      <c r="C339" s="16" t="str" cm="1">
        <f t="array" ref="C339" ca="1">INDEX(Lookup!$K$2:$K$31,RANDBETWEEN(1,30))</f>
        <v>White</v>
      </c>
      <c r="D339" s="16" t="str" cm="1">
        <f t="array" ref="D339" ca="1">INDEX(Lookup!$H$2:$H$4,RANDBETWEEN(1,3))</f>
        <v>Male</v>
      </c>
      <c r="E339" s="16">
        <f t="shared" ca="1" si="70"/>
        <v>56</v>
      </c>
      <c r="F339" s="16" t="str" cm="1">
        <f t="array" ref="F339" ca="1">INDEX(Lookup!$A$2:$A$10,RANDBETWEEN(1,9))</f>
        <v>Finance</v>
      </c>
      <c r="G339" s="16" t="str" cm="1">
        <f t="array" ref="G339" ca="1">_xlfn.LET(_xlpm.Roles,_xlfn._xlws.FILTER(Lookup!$P$2:$P$28,Lookup!$O$2:$O$28=F339),INDEX(_xlpm.Roles,RANDBETWEEN(1,ROWS(_xlpm.Roles))))</f>
        <v>Payroll Officer</v>
      </c>
      <c r="H339" s="16" t="str" cm="1">
        <f t="array" ref="H339" ca="1">INDEX(Lookup!$B$2:$B$7,RANDBETWEEN(1,6))</f>
        <v>Limerick</v>
      </c>
      <c r="I339" s="22">
        <f t="shared" ca="1" si="71"/>
        <v>44501</v>
      </c>
      <c r="J339" s="22" t="str">
        <f t="shared" ca="1" si="72"/>
        <v/>
      </c>
      <c r="K339" s="16" t="str">
        <f t="shared" ca="1" si="73"/>
        <v>Active</v>
      </c>
      <c r="L339" s="26">
        <f ca="1">_xlfn.XLOOKUP(G339,Lookup!$P$2:$P$28,Lookup!$Q$2:$Q$28)*(1+MIN(X339*3%,30%))</f>
        <v>51750</v>
      </c>
      <c r="M339" s="24">
        <f t="shared" ca="1" si="83"/>
        <v>2</v>
      </c>
      <c r="N339" s="24">
        <f t="shared" ca="1" si="74"/>
        <v>80</v>
      </c>
      <c r="O339" s="24">
        <f t="shared" ca="1" si="75"/>
        <v>11</v>
      </c>
      <c r="P339" s="24">
        <f t="shared" ca="1" si="76"/>
        <v>39</v>
      </c>
      <c r="Q339" s="16" t="str">
        <f t="shared" ca="1" si="77"/>
        <v>Promoted</v>
      </c>
      <c r="R339" s="16" t="str" cm="1">
        <f t="array" ref="R339" ca="1">INDEX(Lookup!$E$2:$E$6,RANDBETWEEN(1,5))</f>
        <v>Bachelor's</v>
      </c>
      <c r="S339" s="16" t="str" cm="1">
        <f t="array" ref="S339" ca="1">INDEX(Lookup!$J$2:$J$11,RANDBETWEEN(1,10))</f>
        <v>Grace O'Connor</v>
      </c>
      <c r="T339" s="16" t="str">
        <f t="shared" ca="1" si="78"/>
        <v>jack.white@hranalytics.com</v>
      </c>
      <c r="U339" s="16" t="str">
        <f t="shared" ca="1" si="79"/>
        <v>0895066935</v>
      </c>
      <c r="V339" s="16" t="str" cm="1">
        <f t="array" ref="V339" ca="1">_xlfn.LET(_xlpm.r,RANDBETWEEN(1,100),_xlfn.IFS(_xlpm.r&lt;=70,"Full-Time",_xlpm.r&lt;=85,"Part-Time",_xlpm.r&lt;=95,"Contract",TRUE,"Intern"))</f>
        <v>Contract</v>
      </c>
      <c r="W339" s="16" cm="1">
        <f t="array" ref="W339" ca="1">IF(K339&lt;&gt;"Active",0,_xlfn.IFS(M339=5,L339*15%,M339=4,L339*10%,M339=3,L339*5%,M339=2,L339*2%,TRUE,0))</f>
        <v>7762.5</v>
      </c>
      <c r="X339" s="24">
        <f t="shared" ca="1" si="80"/>
        <v>4</v>
      </c>
      <c r="Y339" s="24">
        <f t="shared" ca="1" si="81"/>
        <v>2</v>
      </c>
    </row>
    <row r="340" spans="1:25">
      <c r="A340" s="16" t="str">
        <f t="shared" si="82"/>
        <v>EMP339</v>
      </c>
      <c r="B340" s="16" t="str" cm="1">
        <f t="array" ref="B340" ca="1">IF(D340="Male",INDEX(Lookup!$L$2:$L$13,RANDBETWEEN(1,12)),IF(D340="Female",INDEX(Lookup!$M$2:$M$13,RANDBETWEEN(1,12)),INDEX(Lookup!$N$2:$N$13,RANDBETWEEN(1,12))))</f>
        <v>Emily</v>
      </c>
      <c r="C340" s="16" t="str" cm="1">
        <f t="array" ref="C340" ca="1">INDEX(Lookup!$K$2:$K$31,RANDBETWEEN(1,30))</f>
        <v>White</v>
      </c>
      <c r="D340" s="16" t="str" cm="1">
        <f t="array" ref="D340" ca="1">INDEX(Lookup!$H$2:$H$4,RANDBETWEEN(1,3))</f>
        <v>Female</v>
      </c>
      <c r="E340" s="16">
        <f t="shared" ca="1" si="70"/>
        <v>21</v>
      </c>
      <c r="F340" s="16" t="str" cm="1">
        <f t="array" ref="F340" ca="1">INDEX(Lookup!$A$2:$A$10,RANDBETWEEN(1,9))</f>
        <v>Procurement</v>
      </c>
      <c r="G340" s="16" t="str" cm="1">
        <f t="array" ref="G340" ca="1">_xlfn.LET(_xlpm.Roles,_xlfn._xlws.FILTER(Lookup!$P$2:$P$28,Lookup!$O$2:$O$28=F340),INDEX(_xlpm.Roles,RANDBETWEEN(1,ROWS(_xlpm.Roles))))</f>
        <v>Procurement Analyst</v>
      </c>
      <c r="H340" s="16" t="str" cm="1">
        <f t="array" ref="H340" ca="1">INDEX(Lookup!$B$2:$B$7,RANDBETWEEN(1,6))</f>
        <v>Galway</v>
      </c>
      <c r="I340" s="22">
        <f t="shared" ca="1" si="71"/>
        <v>43296</v>
      </c>
      <c r="J340" s="22" t="str">
        <f t="shared" ca="1" si="72"/>
        <v/>
      </c>
      <c r="K340" s="16" t="str">
        <f t="shared" ca="1" si="73"/>
        <v>Active</v>
      </c>
      <c r="L340" s="26">
        <f ca="1">_xlfn.XLOOKUP(G340,Lookup!$P$2:$P$28,Lookup!$Q$2:$Q$28)*(1+MIN(X340*3%,30%))</f>
        <v>59000</v>
      </c>
      <c r="M340" s="24">
        <f t="shared" ca="1" si="83"/>
        <v>3</v>
      </c>
      <c r="N340" s="24">
        <f t="shared" ca="1" si="74"/>
        <v>51</v>
      </c>
      <c r="O340" s="24">
        <f t="shared" ca="1" si="75"/>
        <v>17</v>
      </c>
      <c r="P340" s="24">
        <f t="shared" ca="1" si="76"/>
        <v>57</v>
      </c>
      <c r="Q340" s="16" t="str">
        <f t="shared" ca="1" si="77"/>
        <v>Promoted</v>
      </c>
      <c r="R340" s="16" t="str" cm="1">
        <f t="array" ref="R340" ca="1">INDEX(Lookup!$E$2:$E$6,RANDBETWEEN(1,5))</f>
        <v>PhD</v>
      </c>
      <c r="S340" s="16" t="str" cm="1">
        <f t="array" ref="S340" ca="1">INDEX(Lookup!$J$2:$J$11,RANDBETWEEN(1,10))</f>
        <v>Emma Wilson</v>
      </c>
      <c r="T340" s="16" t="str">
        <f t="shared" ca="1" si="78"/>
        <v>emily.white@hranalytics.com</v>
      </c>
      <c r="U340" s="16" t="str">
        <f t="shared" ca="1" si="79"/>
        <v>0833237056</v>
      </c>
      <c r="V340" s="16" t="str" cm="1">
        <f t="array" ref="V340" ca="1">_xlfn.LET(_xlpm.r,RANDBETWEEN(1,100),_xlfn.IFS(_xlpm.r&lt;=70,"Full-Time",_xlpm.r&lt;=85,"Part-Time",_xlpm.r&lt;=95,"Contract",TRUE,"Intern"))</f>
        <v>Part-Time</v>
      </c>
      <c r="W340" s="16" cm="1">
        <f t="array" ref="W340" ca="1">IF(K340&lt;&gt;"Active",0,_xlfn.IFS(M340=5,L340*15%,M340=4,L340*10%,M340=3,L340*5%,M340=2,L340*2%,TRUE,0))</f>
        <v>8850</v>
      </c>
      <c r="X340" s="24">
        <f t="shared" ca="1" si="80"/>
        <v>8</v>
      </c>
      <c r="Y340" s="24">
        <f t="shared" ca="1" si="81"/>
        <v>2</v>
      </c>
    </row>
    <row r="341" spans="1:25">
      <c r="A341" s="16" t="str">
        <f t="shared" si="82"/>
        <v>EMP340</v>
      </c>
      <c r="B341" s="16" t="str" cm="1">
        <f t="array" ref="B341" ca="1">IF(D341="Male",INDEX(Lookup!$L$2:$L$13,RANDBETWEEN(1,12)),IF(D341="Female",INDEX(Lookup!$M$2:$M$13,RANDBETWEEN(1,12)),INDEX(Lookup!$N$2:$N$13,RANDBETWEEN(1,12))))</f>
        <v>Jordan</v>
      </c>
      <c r="C341" s="16" t="str" cm="1">
        <f t="array" ref="C341" ca="1">INDEX(Lookup!$K$2:$K$31,RANDBETWEEN(1,30))</f>
        <v>Parker</v>
      </c>
      <c r="D341" s="16" t="str" cm="1">
        <f t="array" ref="D341" ca="1">INDEX(Lookup!$H$2:$H$4,RANDBETWEEN(1,3))</f>
        <v>Other</v>
      </c>
      <c r="E341" s="16">
        <f t="shared" ca="1" si="70"/>
        <v>51</v>
      </c>
      <c r="F341" s="16" t="str" cm="1">
        <f t="array" ref="F341" ca="1">INDEX(Lookup!$A$2:$A$10,RANDBETWEEN(1,9))</f>
        <v>Legal</v>
      </c>
      <c r="G341" s="16" t="str" cm="1">
        <f t="array" ref="G341" ca="1">_xlfn.LET(_xlpm.Roles,_xlfn._xlws.FILTER(Lookup!$P$2:$P$28,Lookup!$O$2:$O$28=F341),INDEX(_xlpm.Roles,RANDBETWEEN(1,ROWS(_xlpm.Roles))))</f>
        <v>Compliance Officer</v>
      </c>
      <c r="H341" s="16" t="str" cm="1">
        <f t="array" ref="H341" ca="1">INDEX(Lookup!$B$2:$B$7,RANDBETWEEN(1,6))</f>
        <v>Belfast</v>
      </c>
      <c r="I341" s="22">
        <f t="shared" ca="1" si="71"/>
        <v>45392</v>
      </c>
      <c r="J341" s="22" t="str">
        <f t="shared" ca="1" si="72"/>
        <v/>
      </c>
      <c r="K341" s="16" t="str">
        <f t="shared" ca="1" si="73"/>
        <v>Active</v>
      </c>
      <c r="L341" s="26">
        <f ca="1">_xlfn.XLOOKUP(G341,Lookup!$P$2:$P$28,Lookup!$Q$2:$Q$28)*(1+MIN(X341*3%,30%))</f>
        <v>61800</v>
      </c>
      <c r="M341" s="24">
        <f t="shared" ca="1" si="83"/>
        <v>2</v>
      </c>
      <c r="N341" s="24">
        <f t="shared" ca="1" si="74"/>
        <v>32</v>
      </c>
      <c r="O341" s="24">
        <f t="shared" ca="1" si="75"/>
        <v>12</v>
      </c>
      <c r="P341" s="24">
        <f t="shared" ca="1" si="76"/>
        <v>45</v>
      </c>
      <c r="Q341" s="16" t="str">
        <f t="shared" ca="1" si="77"/>
        <v>Not Promoted</v>
      </c>
      <c r="R341" s="16" t="str" cm="1">
        <f t="array" ref="R341" ca="1">INDEX(Lookup!$E$2:$E$6,RANDBETWEEN(1,5))</f>
        <v>Dipolma</v>
      </c>
      <c r="S341" s="16" t="str" cm="1">
        <f t="array" ref="S341" ca="1">INDEX(Lookup!$J$2:$J$11,RANDBETWEEN(1,10))</f>
        <v>Emma Wilson</v>
      </c>
      <c r="T341" s="16" t="str">
        <f t="shared" ca="1" si="78"/>
        <v>jordan.parker@hranalytics.com</v>
      </c>
      <c r="U341" s="16" t="str">
        <f t="shared" ca="1" si="79"/>
        <v>0885709661</v>
      </c>
      <c r="V341" s="16" t="str" cm="1">
        <f t="array" ref="V341" ca="1">_xlfn.LET(_xlpm.r,RANDBETWEEN(1,100),_xlfn.IFS(_xlpm.r&lt;=70,"Full-Time",_xlpm.r&lt;=85,"Part-Time",_xlpm.r&lt;=95,"Contract",TRUE,"Intern"))</f>
        <v>Full-Time</v>
      </c>
      <c r="W341" s="16" cm="1">
        <f t="array" ref="W341" ca="1">IF(K341&lt;&gt;"Active",0,_xlfn.IFS(M341=5,L341*15%,M341=4,L341*10%,M341=3,L341*5%,M341=2,L341*2%,TRUE,0))</f>
        <v>0</v>
      </c>
      <c r="X341" s="24">
        <f t="shared" ca="1" si="80"/>
        <v>2</v>
      </c>
      <c r="Y341" s="24">
        <f t="shared" ca="1" si="81"/>
        <v>3</v>
      </c>
    </row>
    <row r="342" spans="1:25">
      <c r="A342" s="16" t="str">
        <f t="shared" si="82"/>
        <v>EMP341</v>
      </c>
      <c r="B342" s="16" t="str" cm="1">
        <f t="array" ref="B342" ca="1">IF(D342="Male",INDEX(Lookup!$L$2:$L$13,RANDBETWEEN(1,12)),IF(D342="Female",INDEX(Lookup!$M$2:$M$13,RANDBETWEEN(1,12)),INDEX(Lookup!$N$2:$N$13,RANDBETWEEN(1,12))))</f>
        <v>Mia</v>
      </c>
      <c r="C342" s="16" t="str" cm="1">
        <f t="array" ref="C342" ca="1">INDEX(Lookup!$K$2:$K$31,RANDBETWEEN(1,30))</f>
        <v>Kelly</v>
      </c>
      <c r="D342" s="16" t="str" cm="1">
        <f t="array" ref="D342" ca="1">INDEX(Lookup!$H$2:$H$4,RANDBETWEEN(1,3))</f>
        <v>Female</v>
      </c>
      <c r="E342" s="16">
        <f t="shared" ca="1" si="70"/>
        <v>22</v>
      </c>
      <c r="F342" s="16" t="str" cm="1">
        <f t="array" ref="F342" ca="1">INDEX(Lookup!$A$2:$A$10,RANDBETWEEN(1,9))</f>
        <v>Procurement</v>
      </c>
      <c r="G342" s="16" t="str" cm="1">
        <f t="array" ref="G342" ca="1">_xlfn.LET(_xlpm.Roles,_xlfn._xlws.FILTER(Lookup!$P$2:$P$28,Lookup!$O$2:$O$28=F342),INDEX(_xlpm.Roles,RANDBETWEEN(1,ROWS(_xlpm.Roles))))</f>
        <v>Purchasing Executive</v>
      </c>
      <c r="H342" s="16" t="str" cm="1">
        <f t="array" ref="H342" ca="1">INDEX(Lookup!$B$2:$B$7,RANDBETWEEN(1,6))</f>
        <v>Cork</v>
      </c>
      <c r="I342" s="22">
        <f t="shared" ca="1" si="71"/>
        <v>46003</v>
      </c>
      <c r="J342" s="22" t="str">
        <f t="shared" ca="1" si="72"/>
        <v/>
      </c>
      <c r="K342" s="16" t="str">
        <f t="shared" ca="1" si="73"/>
        <v>Active</v>
      </c>
      <c r="L342" s="26">
        <f ca="1">_xlfn.XLOOKUP(G342,Lookup!$P$2:$P$28,Lookup!$Q$2:$Q$28)*(1+MIN(X342*3%,30%))</f>
        <v>43260</v>
      </c>
      <c r="M342" s="24">
        <f t="shared" ca="1" si="83"/>
        <v>5</v>
      </c>
      <c r="N342" s="24">
        <f t="shared" ca="1" si="74"/>
        <v>70</v>
      </c>
      <c r="O342" s="24">
        <f t="shared" ca="1" si="75"/>
        <v>20</v>
      </c>
      <c r="P342" s="24">
        <f t="shared" ca="1" si="76"/>
        <v>50</v>
      </c>
      <c r="Q342" s="16" t="str">
        <f t="shared" ca="1" si="77"/>
        <v>Not Promoted</v>
      </c>
      <c r="R342" s="16" t="str" cm="1">
        <f t="array" ref="R342" ca="1">INDEX(Lookup!$E$2:$E$6,RANDBETWEEN(1,5))</f>
        <v>PhD</v>
      </c>
      <c r="S342" s="16" t="str" cm="1">
        <f t="array" ref="S342" ca="1">INDEX(Lookup!$J$2:$J$11,RANDBETWEEN(1,10))</f>
        <v>Sarah Johnson</v>
      </c>
      <c r="T342" s="16" t="str">
        <f t="shared" ca="1" si="78"/>
        <v>mia.kelly@hranalytics.com</v>
      </c>
      <c r="U342" s="16" t="str">
        <f t="shared" ca="1" si="79"/>
        <v>0883954367</v>
      </c>
      <c r="V342" s="16" t="str" cm="1">
        <f t="array" ref="V342" ca="1">_xlfn.LET(_xlpm.r,RANDBETWEEN(1,100),_xlfn.IFS(_xlpm.r&lt;=70,"Full-Time",_xlpm.r&lt;=85,"Part-Time",_xlpm.r&lt;=95,"Contract",TRUE,"Intern"))</f>
        <v>Intern</v>
      </c>
      <c r="W342" s="16" cm="1">
        <f t="array" ref="W342" ca="1">IF(K342&lt;&gt;"Active",0,_xlfn.IFS(M342=5,L342*15%,M342=4,L342*10%,M342=3,L342*5%,M342=2,L342*2%,TRUE,0))</f>
        <v>0</v>
      </c>
      <c r="X342" s="24">
        <f t="shared" ca="1" si="80"/>
        <v>0</v>
      </c>
      <c r="Y342" s="24">
        <f t="shared" ca="1" si="81"/>
        <v>3</v>
      </c>
    </row>
    <row r="343" spans="1:25">
      <c r="A343" s="16" t="str">
        <f t="shared" si="82"/>
        <v>EMP342</v>
      </c>
      <c r="B343" s="16" t="str" cm="1">
        <f t="array" ref="B343" ca="1">IF(D343="Male",INDEX(Lookup!$L$2:$L$13,RANDBETWEEN(1,12)),IF(D343="Female",INDEX(Lookup!$M$2:$M$13,RANDBETWEEN(1,12)),INDEX(Lookup!$N$2:$N$13,RANDBETWEEN(1,12))))</f>
        <v>Isabella</v>
      </c>
      <c r="C343" s="16" t="str" cm="1">
        <f t="array" ref="C343" ca="1">INDEX(Lookup!$K$2:$K$31,RANDBETWEEN(1,30))</f>
        <v>Turner</v>
      </c>
      <c r="D343" s="16" t="str" cm="1">
        <f t="array" ref="D343" ca="1">INDEX(Lookup!$H$2:$H$4,RANDBETWEEN(1,3))</f>
        <v>Female</v>
      </c>
      <c r="E343" s="16">
        <f t="shared" ca="1" si="70"/>
        <v>21</v>
      </c>
      <c r="F343" s="16" t="str" cm="1">
        <f t="array" ref="F343" ca="1">INDEX(Lookup!$A$2:$A$10,RANDBETWEEN(1,9))</f>
        <v>Marketing</v>
      </c>
      <c r="G343" s="16" t="str" cm="1">
        <f t="array" ref="G343" ca="1">_xlfn.LET(_xlpm.Roles,_xlfn._xlws.FILTER(Lookup!$P$2:$P$28,Lookup!$O$2:$O$28=F343),INDEX(_xlpm.Roles,RANDBETWEEN(1,ROWS(_xlpm.Roles))))</f>
        <v>Digital Marketing Specialist</v>
      </c>
      <c r="H343" s="16" t="str" cm="1">
        <f t="array" ref="H343" ca="1">INDEX(Lookup!$B$2:$B$7,RANDBETWEEN(1,6))</f>
        <v>Belfast</v>
      </c>
      <c r="I343" s="22">
        <f t="shared" ca="1" si="71"/>
        <v>45306</v>
      </c>
      <c r="J343" s="22">
        <f t="shared" ca="1" si="72"/>
        <v>45834</v>
      </c>
      <c r="K343" s="16" t="str">
        <f t="shared" ca="1" si="73"/>
        <v>Resigned</v>
      </c>
      <c r="L343" s="26">
        <f ca="1">_xlfn.XLOOKUP(G343,Lookup!$P$2:$P$28,Lookup!$Q$2:$Q$28)*(1+MIN(X343*3%,30%))</f>
        <v>57500</v>
      </c>
      <c r="M343" s="24">
        <f t="shared" ca="1" si="83"/>
        <v>2</v>
      </c>
      <c r="N343" s="24">
        <f t="shared" ca="1" si="74"/>
        <v>14</v>
      </c>
      <c r="O343" s="24">
        <f t="shared" ca="1" si="75"/>
        <v>1</v>
      </c>
      <c r="P343" s="24">
        <f t="shared" ca="1" si="76"/>
        <v>14</v>
      </c>
      <c r="Q343" s="16" t="str">
        <f t="shared" ca="1" si="77"/>
        <v>Not Promoted</v>
      </c>
      <c r="R343" s="16" t="str" cm="1">
        <f t="array" ref="R343" ca="1">INDEX(Lookup!$E$2:$E$6,RANDBETWEEN(1,5))</f>
        <v>Master's</v>
      </c>
      <c r="S343" s="16" t="str" cm="1">
        <f t="array" ref="S343" ca="1">INDEX(Lookup!$J$2:$J$11,RANDBETWEEN(1,10))</f>
        <v>Liam Byrne</v>
      </c>
      <c r="T343" s="16" t="str">
        <f t="shared" ca="1" si="78"/>
        <v>isabella.turner@hranalytics.com</v>
      </c>
      <c r="U343" s="16" t="str">
        <f t="shared" ca="1" si="79"/>
        <v>0898069327</v>
      </c>
      <c r="V343" s="16" t="str" cm="1">
        <f t="array" ref="V343" ca="1">_xlfn.LET(_xlpm.r,RANDBETWEEN(1,100),_xlfn.IFS(_xlpm.r&lt;=70,"Full-Time",_xlpm.r&lt;=85,"Part-Time",_xlpm.r&lt;=95,"Contract",TRUE,"Intern"))</f>
        <v>Full-Time</v>
      </c>
      <c r="W343" s="16" cm="1">
        <f t="array" ref="W343" ca="1">IF(K343&lt;&gt;"Active",0,_xlfn.IFS(M343=5,L343*15%,M343=4,L343*10%,M343=3,L343*5%,M343=2,L343*2%,TRUE,0))</f>
        <v>0</v>
      </c>
      <c r="X343" s="24">
        <f t="shared" ca="1" si="80"/>
        <v>2</v>
      </c>
      <c r="Y343" s="24">
        <f t="shared" ca="1" si="81"/>
        <v>3</v>
      </c>
    </row>
    <row r="344" spans="1:25">
      <c r="A344" s="16" t="str">
        <f t="shared" si="82"/>
        <v>EMP343</v>
      </c>
      <c r="B344" s="16" t="str" cm="1">
        <f t="array" ref="B344" ca="1">IF(D344="Male",INDEX(Lookup!$L$2:$L$13,RANDBETWEEN(1,12)),IF(D344="Female",INDEX(Lookup!$M$2:$M$13,RANDBETWEEN(1,12)),INDEX(Lookup!$N$2:$N$13,RANDBETWEEN(1,12))))</f>
        <v>Morgan</v>
      </c>
      <c r="C344" s="16" t="str" cm="1">
        <f t="array" ref="C344" ca="1">INDEX(Lookup!$K$2:$K$31,RANDBETWEEN(1,30))</f>
        <v>Thomas</v>
      </c>
      <c r="D344" s="16" t="str" cm="1">
        <f t="array" ref="D344" ca="1">INDEX(Lookup!$H$2:$H$4,RANDBETWEEN(1,3))</f>
        <v>Other</v>
      </c>
      <c r="E344" s="16">
        <f t="shared" ca="1" si="70"/>
        <v>45</v>
      </c>
      <c r="F344" s="16" t="str" cm="1">
        <f t="array" ref="F344" ca="1">INDEX(Lookup!$A$2:$A$10,RANDBETWEEN(1,9))</f>
        <v>Finance</v>
      </c>
      <c r="G344" s="16" t="str" cm="1">
        <f t="array" ref="G344" ca="1">_xlfn.LET(_xlpm.Roles,_xlfn._xlws.FILTER(Lookup!$P$2:$P$28,Lookup!$O$2:$O$28=F344),INDEX(_xlpm.Roles,RANDBETWEEN(1,ROWS(_xlpm.Roles))))</f>
        <v>Accountant</v>
      </c>
      <c r="H344" s="16" t="str" cm="1">
        <f t="array" ref="H344" ca="1">INDEX(Lookup!$B$2:$B$7,RANDBETWEEN(1,6))</f>
        <v>Belfast</v>
      </c>
      <c r="I344" s="22">
        <f t="shared" ca="1" si="71"/>
        <v>45922</v>
      </c>
      <c r="J344" s="22" t="str">
        <f t="shared" ca="1" si="72"/>
        <v/>
      </c>
      <c r="K344" s="16" t="str">
        <f t="shared" ca="1" si="73"/>
        <v>Active</v>
      </c>
      <c r="L344" s="26">
        <f ca="1">_xlfn.XLOOKUP(G344,Lookup!$P$2:$P$28,Lookup!$Q$2:$Q$28)*(1+MIN(X344*3%,30%))</f>
        <v>54500</v>
      </c>
      <c r="M344" s="24">
        <f t="shared" ca="1" si="83"/>
        <v>5</v>
      </c>
      <c r="N344" s="24">
        <f t="shared" ca="1" si="74"/>
        <v>76</v>
      </c>
      <c r="O344" s="24">
        <f t="shared" ca="1" si="75"/>
        <v>11</v>
      </c>
      <c r="P344" s="24">
        <f t="shared" ca="1" si="76"/>
        <v>34</v>
      </c>
      <c r="Q344" s="16" t="str">
        <f t="shared" ca="1" si="77"/>
        <v>Promoted</v>
      </c>
      <c r="R344" s="16" t="str" cm="1">
        <f t="array" ref="R344" ca="1">INDEX(Lookup!$E$2:$E$6,RANDBETWEEN(1,5))</f>
        <v>Dipolma</v>
      </c>
      <c r="S344" s="16" t="str" cm="1">
        <f t="array" ref="S344" ca="1">INDEX(Lookup!$J$2:$J$11,RANDBETWEEN(1,10))</f>
        <v>Michael Brown</v>
      </c>
      <c r="T344" s="16" t="str">
        <f t="shared" ca="1" si="78"/>
        <v>morgan.thomas@hranalytics.com</v>
      </c>
      <c r="U344" s="16" t="str">
        <f t="shared" ca="1" si="79"/>
        <v>0831972105</v>
      </c>
      <c r="V344" s="16" t="str" cm="1">
        <f t="array" ref="V344" ca="1">_xlfn.LET(_xlpm.r,RANDBETWEEN(1,100),_xlfn.IFS(_xlpm.r&lt;=70,"Full-Time",_xlpm.r&lt;=85,"Part-Time",_xlpm.r&lt;=95,"Contract",TRUE,"Intern"))</f>
        <v>Full-Time</v>
      </c>
      <c r="W344" s="16" cm="1">
        <f t="array" ref="W344" ca="1">IF(K344&lt;&gt;"Active",0,_xlfn.IFS(M344=5,L344*15%,M344=4,L344*10%,M344=3,L344*5%,M344=2,L344*2%,TRUE,0))</f>
        <v>5450</v>
      </c>
      <c r="X344" s="24">
        <f t="shared" ca="1" si="80"/>
        <v>0</v>
      </c>
      <c r="Y344" s="24">
        <f t="shared" ca="1" si="81"/>
        <v>3</v>
      </c>
    </row>
    <row r="345" spans="1:25">
      <c r="A345" s="16" t="str">
        <f t="shared" si="82"/>
        <v>EMP344</v>
      </c>
      <c r="B345" s="16" t="str" cm="1">
        <f t="array" ref="B345" ca="1">IF(D345="Male",INDEX(Lookup!$L$2:$L$13,RANDBETWEEN(1,12)),IF(D345="Female",INDEX(Lookup!$M$2:$M$13,RANDBETWEEN(1,12)),INDEX(Lookup!$N$2:$N$13,RANDBETWEEN(1,12))))</f>
        <v>Olivia</v>
      </c>
      <c r="C345" s="16" t="str" cm="1">
        <f t="array" ref="C345" ca="1">INDEX(Lookup!$K$2:$K$31,RANDBETWEEN(1,30))</f>
        <v>White</v>
      </c>
      <c r="D345" s="16" t="str" cm="1">
        <f t="array" ref="D345" ca="1">INDEX(Lookup!$H$2:$H$4,RANDBETWEEN(1,3))</f>
        <v>Female</v>
      </c>
      <c r="E345" s="16">
        <f t="shared" ca="1" si="70"/>
        <v>27</v>
      </c>
      <c r="F345" s="16" t="str" cm="1">
        <f t="array" ref="F345" ca="1">INDEX(Lookup!$A$2:$A$10,RANDBETWEEN(1,9))</f>
        <v>Sales</v>
      </c>
      <c r="G345" s="16" t="str" cm="1">
        <f t="array" ref="G345" ca="1">_xlfn.LET(_xlpm.Roles,_xlfn._xlws.FILTER(Lookup!$P$2:$P$28,Lookup!$O$2:$O$28=F345),INDEX(_xlpm.Roles,RANDBETWEEN(1,ROWS(_xlpm.Roles))))</f>
        <v>Business Development Executive</v>
      </c>
      <c r="H345" s="16" t="str" cm="1">
        <f t="array" ref="H345" ca="1">INDEX(Lookup!$B$2:$B$7,RANDBETWEEN(1,6))</f>
        <v>Galway</v>
      </c>
      <c r="I345" s="22">
        <f t="shared" ca="1" si="71"/>
        <v>45319</v>
      </c>
      <c r="J345" s="22">
        <f t="shared" ca="1" si="72"/>
        <v>46967</v>
      </c>
      <c r="K345" s="16" t="str">
        <f t="shared" ca="1" si="73"/>
        <v>Resigned</v>
      </c>
      <c r="L345" s="26">
        <f ca="1">_xlfn.XLOOKUP(G345,Lookup!$P$2:$P$28,Lookup!$Q$2:$Q$28)*(1+MIN(X345*3%,30%))</f>
        <v>56640</v>
      </c>
      <c r="M345" s="24">
        <f t="shared" ca="1" si="83"/>
        <v>1</v>
      </c>
      <c r="N345" s="24">
        <f t="shared" ca="1" si="74"/>
        <v>11</v>
      </c>
      <c r="O345" s="24">
        <f t="shared" ca="1" si="75"/>
        <v>11</v>
      </c>
      <c r="P345" s="24">
        <f t="shared" ca="1" si="76"/>
        <v>13</v>
      </c>
      <c r="Q345" s="16" t="str">
        <f t="shared" ca="1" si="77"/>
        <v>Promoted</v>
      </c>
      <c r="R345" s="16" t="str" cm="1">
        <f t="array" ref="R345" ca="1">INDEX(Lookup!$E$2:$E$6,RANDBETWEEN(1,5))</f>
        <v>High School</v>
      </c>
      <c r="S345" s="16" t="str" cm="1">
        <f t="array" ref="S345" ca="1">INDEX(Lookup!$J$2:$J$11,RANDBETWEEN(1,10))</f>
        <v>Sarah Johnson</v>
      </c>
      <c r="T345" s="16" t="str">
        <f t="shared" ca="1" si="78"/>
        <v>olivia.white@hranalytics.com</v>
      </c>
      <c r="U345" s="16" t="str">
        <f t="shared" ca="1" si="79"/>
        <v>0867309224</v>
      </c>
      <c r="V345" s="16" t="str" cm="1">
        <f t="array" ref="V345" ca="1">_xlfn.LET(_xlpm.r,RANDBETWEEN(1,100),_xlfn.IFS(_xlpm.r&lt;=70,"Full-Time",_xlpm.r&lt;=85,"Part-Time",_xlpm.r&lt;=95,"Contract",TRUE,"Intern"))</f>
        <v>Part-Time</v>
      </c>
      <c r="W345" s="16" cm="1">
        <f t="array" ref="W345" ca="1">IF(K345&lt;&gt;"Active",0,_xlfn.IFS(M345=5,L345*15%,M345=4,L345*10%,M345=3,L345*5%,M345=2,L345*2%,TRUE,0))</f>
        <v>1132.8</v>
      </c>
      <c r="X345" s="24">
        <f t="shared" ca="1" si="80"/>
        <v>2</v>
      </c>
      <c r="Y345" s="24">
        <f t="shared" ca="1" si="81"/>
        <v>3</v>
      </c>
    </row>
    <row r="346" spans="1:25">
      <c r="A346" s="16" t="str">
        <f t="shared" si="82"/>
        <v>EMP345</v>
      </c>
      <c r="B346" s="16" t="str" cm="1">
        <f t="array" ref="B346" ca="1">IF(D346="Male",INDEX(Lookup!$L$2:$L$13,RANDBETWEEN(1,12)),IF(D346="Female",INDEX(Lookup!$M$2:$M$13,RANDBETWEEN(1,12)),INDEX(Lookup!$N$2:$N$13,RANDBETWEEN(1,12))))</f>
        <v>Taylor</v>
      </c>
      <c r="C346" s="16" t="str" cm="1">
        <f t="array" ref="C346" ca="1">INDEX(Lookup!$K$2:$K$31,RANDBETWEEN(1,30))</f>
        <v>King</v>
      </c>
      <c r="D346" s="16" t="str" cm="1">
        <f t="array" ref="D346" ca="1">INDEX(Lookup!$H$2:$H$4,RANDBETWEEN(1,3))</f>
        <v>Other</v>
      </c>
      <c r="E346" s="16">
        <f t="shared" ca="1" si="70"/>
        <v>49</v>
      </c>
      <c r="F346" s="16" t="str" cm="1">
        <f t="array" ref="F346" ca="1">INDEX(Lookup!$A$2:$A$10,RANDBETWEEN(1,9))</f>
        <v>Procurement</v>
      </c>
      <c r="G346" s="16" t="str" cm="1">
        <f t="array" ref="G346" ca="1">_xlfn.LET(_xlpm.Roles,_xlfn._xlws.FILTER(Lookup!$P$2:$P$28,Lookup!$O$2:$O$28=F346),INDEX(_xlpm.Roles,RANDBETWEEN(1,ROWS(_xlpm.Roles))))</f>
        <v>Procurement Analyst</v>
      </c>
      <c r="H346" s="16" t="str" cm="1">
        <f t="array" ref="H346" ca="1">INDEX(Lookup!$B$2:$B$7,RANDBETWEEN(1,6))</f>
        <v>Waterford</v>
      </c>
      <c r="I346" s="22">
        <f t="shared" ca="1" si="71"/>
        <v>45050</v>
      </c>
      <c r="J346" s="22" t="str">
        <f t="shared" ca="1" si="72"/>
        <v/>
      </c>
      <c r="K346" s="16" t="str">
        <f t="shared" ca="1" si="73"/>
        <v>Active</v>
      </c>
      <c r="L346" s="26">
        <f ca="1">_xlfn.XLOOKUP(G346,Lookup!$P$2:$P$28,Lookup!$Q$2:$Q$28)*(1+MIN(X346*3%,30%))</f>
        <v>53000</v>
      </c>
      <c r="M346" s="24">
        <f t="shared" ca="1" si="83"/>
        <v>4</v>
      </c>
      <c r="N346" s="24">
        <f t="shared" ca="1" si="74"/>
        <v>71</v>
      </c>
      <c r="O346" s="24">
        <f t="shared" ca="1" si="75"/>
        <v>6</v>
      </c>
      <c r="P346" s="24">
        <f t="shared" ca="1" si="76"/>
        <v>15</v>
      </c>
      <c r="Q346" s="16" t="str">
        <f t="shared" ca="1" si="77"/>
        <v>Promoted</v>
      </c>
      <c r="R346" s="16" t="str" cm="1">
        <f t="array" ref="R346" ca="1">INDEX(Lookup!$E$2:$E$6,RANDBETWEEN(1,5))</f>
        <v>Master's</v>
      </c>
      <c r="S346" s="16" t="str" cm="1">
        <f t="array" ref="S346" ca="1">INDEX(Lookup!$J$2:$J$11,RANDBETWEEN(1,10))</f>
        <v>Sarah Johnson</v>
      </c>
      <c r="T346" s="16" t="str">
        <f t="shared" ca="1" si="78"/>
        <v>taylor.king@hranalytics.com</v>
      </c>
      <c r="U346" s="16" t="str">
        <f t="shared" ca="1" si="79"/>
        <v>0851144685</v>
      </c>
      <c r="V346" s="16" t="str" cm="1">
        <f t="array" ref="V346" ca="1">_xlfn.LET(_xlpm.r,RANDBETWEEN(1,100),_xlfn.IFS(_xlpm.r&lt;=70,"Full-Time",_xlpm.r&lt;=85,"Part-Time",_xlpm.r&lt;=95,"Contract",TRUE,"Intern"))</f>
        <v>Full-Time</v>
      </c>
      <c r="W346" s="16" cm="1">
        <f t="array" ref="W346" ca="1">IF(K346&lt;&gt;"Active",0,_xlfn.IFS(M346=5,L346*15%,M346=4,L346*10%,M346=3,L346*5%,M346=2,L346*2%,TRUE,0))</f>
        <v>7950</v>
      </c>
      <c r="X346" s="24">
        <f t="shared" ca="1" si="80"/>
        <v>3</v>
      </c>
      <c r="Y346" s="24">
        <f t="shared" ca="1" si="81"/>
        <v>3</v>
      </c>
    </row>
    <row r="347" spans="1:25">
      <c r="A347" s="16" t="str">
        <f t="shared" si="82"/>
        <v>EMP346</v>
      </c>
      <c r="B347" s="16" t="str" cm="1">
        <f t="array" ref="B347" ca="1">IF(D347="Male",INDEX(Lookup!$L$2:$L$13,RANDBETWEEN(1,12)),IF(D347="Female",INDEX(Lookup!$M$2:$M$13,RANDBETWEEN(1,12)),INDEX(Lookup!$N$2:$N$13,RANDBETWEEN(1,12))))</f>
        <v>Leo</v>
      </c>
      <c r="C347" s="16" t="str" cm="1">
        <f t="array" ref="C347" ca="1">INDEX(Lookup!$K$2:$K$31,RANDBETWEEN(1,30))</f>
        <v>Moore</v>
      </c>
      <c r="D347" s="16" t="str" cm="1">
        <f t="array" ref="D347" ca="1">INDEX(Lookup!$H$2:$H$4,RANDBETWEEN(1,3))</f>
        <v>Male</v>
      </c>
      <c r="E347" s="16">
        <f t="shared" ca="1" si="70"/>
        <v>46</v>
      </c>
      <c r="F347" s="16" t="str" cm="1">
        <f t="array" ref="F347" ca="1">INDEX(Lookup!$A$2:$A$10,RANDBETWEEN(1,9))</f>
        <v>Marketing</v>
      </c>
      <c r="G347" s="16" t="str" cm="1">
        <f t="array" ref="G347" ca="1">_xlfn.LET(_xlpm.Roles,_xlfn._xlws.FILTER(Lookup!$P$2:$P$28,Lookup!$O$2:$O$28=F347),INDEX(_xlpm.Roles,RANDBETWEEN(1,ROWS(_xlpm.Roles))))</f>
        <v>Marketing Executive</v>
      </c>
      <c r="H347" s="16" t="str" cm="1">
        <f t="array" ref="H347" ca="1">INDEX(Lookup!$B$2:$B$7,RANDBETWEEN(1,6))</f>
        <v>Waterford</v>
      </c>
      <c r="I347" s="22">
        <f t="shared" ca="1" si="71"/>
        <v>45418</v>
      </c>
      <c r="J347" s="22">
        <f t="shared" ca="1" si="72"/>
        <v>46129</v>
      </c>
      <c r="K347" s="16" t="str">
        <f t="shared" ca="1" si="73"/>
        <v>Resigned</v>
      </c>
      <c r="L347" s="26">
        <f ca="1">_xlfn.XLOOKUP(G347,Lookup!$P$2:$P$28,Lookup!$Q$2:$Q$28)*(1+MIN(X347*3%,30%))</f>
        <v>48300</v>
      </c>
      <c r="M347" s="24">
        <f t="shared" ca="1" si="83"/>
        <v>4</v>
      </c>
      <c r="N347" s="24">
        <f t="shared" ca="1" si="74"/>
        <v>36</v>
      </c>
      <c r="O347" s="24">
        <f t="shared" ca="1" si="75"/>
        <v>20</v>
      </c>
      <c r="P347" s="24">
        <f t="shared" ca="1" si="76"/>
        <v>60</v>
      </c>
      <c r="Q347" s="16" t="str">
        <f t="shared" ca="1" si="77"/>
        <v>Not Promoted</v>
      </c>
      <c r="R347" s="16" t="str" cm="1">
        <f t="array" ref="R347" ca="1">INDEX(Lookup!$E$2:$E$6,RANDBETWEEN(1,5))</f>
        <v>PhD</v>
      </c>
      <c r="S347" s="16" t="str" cm="1">
        <f t="array" ref="S347" ca="1">INDEX(Lookup!$J$2:$J$11,RANDBETWEEN(1,10))</f>
        <v>Emma Wilson</v>
      </c>
      <c r="T347" s="16" t="str">
        <f t="shared" ca="1" si="78"/>
        <v>leo.moore@hranalytics.com</v>
      </c>
      <c r="U347" s="16" t="str">
        <f t="shared" ca="1" si="79"/>
        <v>0839769645</v>
      </c>
      <c r="V347" s="16" t="str" cm="1">
        <f t="array" ref="V347" ca="1">_xlfn.LET(_xlpm.r,RANDBETWEEN(1,100),_xlfn.IFS(_xlpm.r&lt;=70,"Full-Time",_xlpm.r&lt;=85,"Part-Time",_xlpm.r&lt;=95,"Contract",TRUE,"Intern"))</f>
        <v>Full-Time</v>
      </c>
      <c r="W347" s="16" cm="1">
        <f t="array" ref="W347" ca="1">IF(K347&lt;&gt;"Active",0,_xlfn.IFS(M347=5,L347*15%,M347=4,L347*10%,M347=3,L347*5%,M347=2,L347*2%,TRUE,0))</f>
        <v>0</v>
      </c>
      <c r="X347" s="24">
        <f t="shared" ca="1" si="80"/>
        <v>2</v>
      </c>
      <c r="Y347" s="24">
        <f t="shared" ca="1" si="81"/>
        <v>1</v>
      </c>
    </row>
    <row r="348" spans="1:25">
      <c r="A348" s="16" t="str">
        <f t="shared" si="82"/>
        <v>EMP347</v>
      </c>
      <c r="B348" s="16" t="str" cm="1">
        <f t="array" ref="B348" ca="1">IF(D348="Male",INDEX(Lookup!$L$2:$L$13,RANDBETWEEN(1,12)),IF(D348="Female",INDEX(Lookup!$M$2:$M$13,RANDBETWEEN(1,12)),INDEX(Lookup!$N$2:$N$13,RANDBETWEEN(1,12))))</f>
        <v>Isabella</v>
      </c>
      <c r="C348" s="16" t="str" cm="1">
        <f t="array" ref="C348" ca="1">INDEX(Lookup!$K$2:$K$31,RANDBETWEEN(1,30))</f>
        <v>Murphy</v>
      </c>
      <c r="D348" s="16" t="str" cm="1">
        <f t="array" ref="D348" ca="1">INDEX(Lookup!$H$2:$H$4,RANDBETWEEN(1,3))</f>
        <v>Female</v>
      </c>
      <c r="E348" s="16">
        <f t="shared" ca="1" si="70"/>
        <v>59</v>
      </c>
      <c r="F348" s="16" t="str" cm="1">
        <f t="array" ref="F348" ca="1">INDEX(Lookup!$A$2:$A$10,RANDBETWEEN(1,9))</f>
        <v>Marketing</v>
      </c>
      <c r="G348" s="16" t="str" cm="1">
        <f t="array" ref="G348" ca="1">_xlfn.LET(_xlpm.Roles,_xlfn._xlws.FILTER(Lookup!$P$2:$P$28,Lookup!$O$2:$O$28=F348),INDEX(_xlpm.Roles,RANDBETWEEN(1,ROWS(_xlpm.Roles))))</f>
        <v>Brand Executive</v>
      </c>
      <c r="H348" s="16" t="str" cm="1">
        <f t="array" ref="H348" ca="1">INDEX(Lookup!$B$2:$B$7,RANDBETWEEN(1,6))</f>
        <v>Cork</v>
      </c>
      <c r="I348" s="22">
        <f t="shared" ca="1" si="71"/>
        <v>43619</v>
      </c>
      <c r="J348" s="22" t="str">
        <f t="shared" ca="1" si="72"/>
        <v/>
      </c>
      <c r="K348" s="16" t="str">
        <f t="shared" ca="1" si="73"/>
        <v>Active</v>
      </c>
      <c r="L348" s="26">
        <f ca="1">_xlfn.XLOOKUP(G348,Lookup!$P$2:$P$28,Lookup!$Q$2:$Q$28)*(1+MIN(X348*3%,30%))</f>
        <v>54280</v>
      </c>
      <c r="M348" s="24">
        <f t="shared" ca="1" si="83"/>
        <v>3</v>
      </c>
      <c r="N348" s="24">
        <f t="shared" ca="1" si="74"/>
        <v>56</v>
      </c>
      <c r="O348" s="24">
        <f t="shared" ca="1" si="75"/>
        <v>2</v>
      </c>
      <c r="P348" s="24">
        <f t="shared" ca="1" si="76"/>
        <v>4</v>
      </c>
      <c r="Q348" s="16" t="str">
        <f t="shared" ca="1" si="77"/>
        <v>Promoted</v>
      </c>
      <c r="R348" s="16" t="str" cm="1">
        <f t="array" ref="R348" ca="1">INDEX(Lookup!$E$2:$E$6,RANDBETWEEN(1,5))</f>
        <v>High School</v>
      </c>
      <c r="S348" s="16" t="str" cm="1">
        <f t="array" ref="S348" ca="1">INDEX(Lookup!$J$2:$J$11,RANDBETWEEN(1,10))</f>
        <v>Sophia Martin</v>
      </c>
      <c r="T348" s="16" t="str">
        <f t="shared" ca="1" si="78"/>
        <v>isabella.murphy@hranalytics.com</v>
      </c>
      <c r="U348" s="16" t="str">
        <f t="shared" ca="1" si="79"/>
        <v>0835456649</v>
      </c>
      <c r="V348" s="16" t="str" cm="1">
        <f t="array" ref="V348" ca="1">_xlfn.LET(_xlpm.r,RANDBETWEEN(1,100),_xlfn.IFS(_xlpm.r&lt;=70,"Full-Time",_xlpm.r&lt;=85,"Part-Time",_xlpm.r&lt;=95,"Contract",TRUE,"Intern"))</f>
        <v>Full-Time</v>
      </c>
      <c r="W348" s="16" cm="1">
        <f t="array" ref="W348" ca="1">IF(K348&lt;&gt;"Active",0,_xlfn.IFS(M348=5,L348*15%,M348=4,L348*10%,M348=3,L348*5%,M348=2,L348*2%,TRUE,0))</f>
        <v>0</v>
      </c>
      <c r="X348" s="24">
        <f t="shared" ca="1" si="80"/>
        <v>7</v>
      </c>
      <c r="Y348" s="24">
        <f t="shared" ca="1" si="81"/>
        <v>2</v>
      </c>
    </row>
    <row r="349" spans="1:25">
      <c r="A349" s="16" t="str">
        <f t="shared" si="82"/>
        <v>EMP348</v>
      </c>
      <c r="B349" s="16" t="str" cm="1">
        <f t="array" ref="B349" ca="1">IF(D349="Male",INDEX(Lookup!$L$2:$L$13,RANDBETWEEN(1,12)),IF(D349="Female",INDEX(Lookup!$M$2:$M$13,RANDBETWEEN(1,12)),INDEX(Lookup!$N$2:$N$13,RANDBETWEEN(1,12))))</f>
        <v>Lucas</v>
      </c>
      <c r="C349" s="16" t="str" cm="1">
        <f t="array" ref="C349" ca="1">INDEX(Lookup!$K$2:$K$31,RANDBETWEEN(1,30))</f>
        <v>Hall</v>
      </c>
      <c r="D349" s="16" t="str" cm="1">
        <f t="array" ref="D349" ca="1">INDEX(Lookup!$H$2:$H$4,RANDBETWEEN(1,3))</f>
        <v>Male</v>
      </c>
      <c r="E349" s="16">
        <f t="shared" ca="1" si="70"/>
        <v>21</v>
      </c>
      <c r="F349" s="16" t="str" cm="1">
        <f t="array" ref="F349" ca="1">INDEX(Lookup!$A$2:$A$10,RANDBETWEEN(1,9))</f>
        <v>Customer Support</v>
      </c>
      <c r="G349" s="16" t="str" cm="1">
        <f t="array" ref="G349" ca="1">_xlfn.LET(_xlpm.Roles,_xlfn._xlws.FILTER(Lookup!$P$2:$P$28,Lookup!$O$2:$O$28=F349),INDEX(_xlpm.Roles,RANDBETWEEN(1,ROWS(_xlpm.Roles))))</f>
        <v>Customer Success Specialist</v>
      </c>
      <c r="H349" s="16" t="str" cm="1">
        <f t="array" ref="H349" ca="1">INDEX(Lookup!$B$2:$B$7,RANDBETWEEN(1,6))</f>
        <v>Dublin</v>
      </c>
      <c r="I349" s="22">
        <f t="shared" ca="1" si="71"/>
        <v>45476</v>
      </c>
      <c r="J349" s="22" t="str">
        <f t="shared" ca="1" si="72"/>
        <v/>
      </c>
      <c r="K349" s="16" t="str">
        <f t="shared" ca="1" si="73"/>
        <v>Active</v>
      </c>
      <c r="L349" s="26">
        <f ca="1">_xlfn.XLOOKUP(G349,Lookup!$P$2:$P$28,Lookup!$Q$2:$Q$28)*(1+MIN(X349*3%,30%))</f>
        <v>45780</v>
      </c>
      <c r="M349" s="24">
        <f t="shared" ca="1" si="83"/>
        <v>5</v>
      </c>
      <c r="N349" s="24">
        <f t="shared" ca="1" si="74"/>
        <v>65</v>
      </c>
      <c r="O349" s="24">
        <f t="shared" ca="1" si="75"/>
        <v>6</v>
      </c>
      <c r="P349" s="24">
        <f t="shared" ca="1" si="76"/>
        <v>43</v>
      </c>
      <c r="Q349" s="16" t="str">
        <f t="shared" ca="1" si="77"/>
        <v>Promoted</v>
      </c>
      <c r="R349" s="16" t="str" cm="1">
        <f t="array" ref="R349" ca="1">INDEX(Lookup!$E$2:$E$6,RANDBETWEEN(1,5))</f>
        <v>Dipolma</v>
      </c>
      <c r="S349" s="16" t="str" cm="1">
        <f t="array" ref="S349" ca="1">INDEX(Lookup!$J$2:$J$11,RANDBETWEEN(1,10))</f>
        <v>Sophia Martin</v>
      </c>
      <c r="T349" s="16" t="str">
        <f t="shared" ca="1" si="78"/>
        <v>lucas.hall@hranalytics.com</v>
      </c>
      <c r="U349" s="16" t="str">
        <f t="shared" ca="1" si="79"/>
        <v>0849660896</v>
      </c>
      <c r="V349" s="16" t="str" cm="1">
        <f t="array" ref="V349" ca="1">_xlfn.LET(_xlpm.r,RANDBETWEEN(1,100),_xlfn.IFS(_xlpm.r&lt;=70,"Full-Time",_xlpm.r&lt;=85,"Part-Time",_xlpm.r&lt;=95,"Contract",TRUE,"Intern"))</f>
        <v>Part-Time</v>
      </c>
      <c r="W349" s="16" cm="1">
        <f t="array" ref="W349" ca="1">IF(K349&lt;&gt;"Active",0,_xlfn.IFS(M349=5,L349*15%,M349=4,L349*10%,M349=3,L349*5%,M349=2,L349*2%,TRUE,0))</f>
        <v>0</v>
      </c>
      <c r="X349" s="24">
        <f t="shared" ca="1" si="80"/>
        <v>2</v>
      </c>
      <c r="Y349" s="24">
        <f t="shared" ca="1" si="81"/>
        <v>1</v>
      </c>
    </row>
    <row r="350" spans="1:25">
      <c r="A350" s="16" t="str">
        <f t="shared" si="82"/>
        <v>EMP349</v>
      </c>
      <c r="B350" s="16" t="str" cm="1">
        <f t="array" ref="B350" ca="1">IF(D350="Male",INDEX(Lookup!$L$2:$L$13,RANDBETWEEN(1,12)),IF(D350="Female",INDEX(Lookup!$M$2:$M$13,RANDBETWEEN(1,12)),INDEX(Lookup!$N$2:$N$13,RANDBETWEEN(1,12))))</f>
        <v>Riley</v>
      </c>
      <c r="C350" s="16" t="str" cm="1">
        <f t="array" ref="C350" ca="1">INDEX(Lookup!$K$2:$K$31,RANDBETWEEN(1,30))</f>
        <v>Lewis</v>
      </c>
      <c r="D350" s="16" t="str" cm="1">
        <f t="array" ref="D350" ca="1">INDEX(Lookup!$H$2:$H$4,RANDBETWEEN(1,3))</f>
        <v>Other</v>
      </c>
      <c r="E350" s="16">
        <f t="shared" ca="1" si="70"/>
        <v>25</v>
      </c>
      <c r="F350" s="16" t="str" cm="1">
        <f t="array" ref="F350" ca="1">INDEX(Lookup!$A$2:$A$10,RANDBETWEEN(1,9))</f>
        <v>Customer Support</v>
      </c>
      <c r="G350" s="16" t="str" cm="1">
        <f t="array" ref="G350" ca="1">_xlfn.LET(_xlpm.Roles,_xlfn._xlws.FILTER(Lookup!$P$2:$P$28,Lookup!$O$2:$O$28=F350),INDEX(_xlpm.Roles,RANDBETWEEN(1,ROWS(_xlpm.Roles))))</f>
        <v>Technical Support Specialist</v>
      </c>
      <c r="H350" s="16" t="str" cm="1">
        <f t="array" ref="H350" ca="1">INDEX(Lookup!$B$2:$B$7,RANDBETWEEN(1,6))</f>
        <v>Limerick</v>
      </c>
      <c r="I350" s="22">
        <f t="shared" ca="1" si="71"/>
        <v>45282</v>
      </c>
      <c r="J350" s="22" t="str">
        <f t="shared" ca="1" si="72"/>
        <v/>
      </c>
      <c r="K350" s="16" t="str">
        <f t="shared" ca="1" si="73"/>
        <v>Active</v>
      </c>
      <c r="L350" s="26">
        <f ca="1">_xlfn.XLOOKUP(G350,Lookup!$P$2:$P$28,Lookup!$Q$2:$Q$28)*(1+MIN(X350*3%,30%))</f>
        <v>51750</v>
      </c>
      <c r="M350" s="24">
        <f t="shared" ca="1" si="83"/>
        <v>5</v>
      </c>
      <c r="N350" s="24">
        <f t="shared" ca="1" si="74"/>
        <v>51</v>
      </c>
      <c r="O350" s="24">
        <f t="shared" ca="1" si="75"/>
        <v>15</v>
      </c>
      <c r="P350" s="24">
        <f t="shared" ca="1" si="76"/>
        <v>37</v>
      </c>
      <c r="Q350" s="16" t="str">
        <f t="shared" ca="1" si="77"/>
        <v>Promoted</v>
      </c>
      <c r="R350" s="16" t="str" cm="1">
        <f t="array" ref="R350" ca="1">INDEX(Lookup!$E$2:$E$6,RANDBETWEEN(1,5))</f>
        <v>Master's</v>
      </c>
      <c r="S350" s="16" t="str" cm="1">
        <f t="array" ref="S350" ca="1">INDEX(Lookup!$J$2:$J$11,RANDBETWEEN(1,10))</f>
        <v>Michael Brown</v>
      </c>
      <c r="T350" s="16" t="str">
        <f t="shared" ca="1" si="78"/>
        <v>riley.lewis@hranalytics.com</v>
      </c>
      <c r="U350" s="16" t="str">
        <f t="shared" ca="1" si="79"/>
        <v>0874217057</v>
      </c>
      <c r="V350" s="16" t="str" cm="1">
        <f t="array" ref="V350" ca="1">_xlfn.LET(_xlpm.r,RANDBETWEEN(1,100),_xlfn.IFS(_xlpm.r&lt;=70,"Full-Time",_xlpm.r&lt;=85,"Part-Time",_xlpm.r&lt;=95,"Contract",TRUE,"Intern"))</f>
        <v>Part-Time</v>
      </c>
      <c r="W350" s="16" cm="1">
        <f t="array" ref="W350" ca="1">IF(K350&lt;&gt;"Active",0,_xlfn.IFS(M350=5,L350*15%,M350=4,L350*10%,M350=3,L350*5%,M350=2,L350*2%,TRUE,0))</f>
        <v>5175</v>
      </c>
      <c r="X350" s="24">
        <f t="shared" ca="1" si="80"/>
        <v>2</v>
      </c>
      <c r="Y350" s="24">
        <f t="shared" ca="1" si="81"/>
        <v>1</v>
      </c>
    </row>
    <row r="351" spans="1:25">
      <c r="A351" s="16" t="str">
        <f t="shared" si="82"/>
        <v>EMP350</v>
      </c>
      <c r="B351" s="16" t="str" cm="1">
        <f t="array" ref="B351" ca="1">IF(D351="Male",INDEX(Lookup!$L$2:$L$13,RANDBETWEEN(1,12)),IF(D351="Female",INDEX(Lookup!$M$2:$M$13,RANDBETWEEN(1,12)),INDEX(Lookup!$N$2:$N$13,RANDBETWEEN(1,12))))</f>
        <v>Jack</v>
      </c>
      <c r="C351" s="16" t="str" cm="1">
        <f t="array" ref="C351" ca="1">INDEX(Lookup!$K$2:$K$31,RANDBETWEEN(1,30))</f>
        <v>Young</v>
      </c>
      <c r="D351" s="16" t="str" cm="1">
        <f t="array" ref="D351" ca="1">INDEX(Lookup!$H$2:$H$4,RANDBETWEEN(1,3))</f>
        <v>Male</v>
      </c>
      <c r="E351" s="16">
        <f t="shared" ca="1" si="70"/>
        <v>25</v>
      </c>
      <c r="F351" s="16" t="str" cm="1">
        <f t="array" ref="F351" ca="1">INDEX(Lookup!$A$2:$A$10,RANDBETWEEN(1,9))</f>
        <v>Customer Support</v>
      </c>
      <c r="G351" s="16" t="str" cm="1">
        <f t="array" ref="G351" ca="1">_xlfn.LET(_xlpm.Roles,_xlfn._xlws.FILTER(Lookup!$P$2:$P$28,Lookup!$O$2:$O$28=F351),INDEX(_xlpm.Roles,RANDBETWEEN(1,ROWS(_xlpm.Roles))))</f>
        <v>Customer Success Specialist</v>
      </c>
      <c r="H351" s="16" t="str" cm="1">
        <f t="array" ref="H351" ca="1">INDEX(Lookup!$B$2:$B$7,RANDBETWEEN(1,6))</f>
        <v>Belfast</v>
      </c>
      <c r="I351" s="22">
        <f t="shared" ca="1" si="71"/>
        <v>43400</v>
      </c>
      <c r="J351" s="22" t="str">
        <f t="shared" ca="1" si="72"/>
        <v/>
      </c>
      <c r="K351" s="16" t="str">
        <f t="shared" ca="1" si="73"/>
        <v>Active</v>
      </c>
      <c r="L351" s="26">
        <f ca="1">_xlfn.XLOOKUP(G351,Lookup!$P$2:$P$28,Lookup!$Q$2:$Q$28)*(1+MIN(X351*3%,30%))</f>
        <v>49560</v>
      </c>
      <c r="M351" s="24">
        <f t="shared" ca="1" si="83"/>
        <v>1</v>
      </c>
      <c r="N351" s="24">
        <f t="shared" ca="1" si="74"/>
        <v>57</v>
      </c>
      <c r="O351" s="24">
        <f t="shared" ca="1" si="75"/>
        <v>16</v>
      </c>
      <c r="P351" s="24">
        <f t="shared" ca="1" si="76"/>
        <v>35</v>
      </c>
      <c r="Q351" s="16" t="str">
        <f t="shared" ca="1" si="77"/>
        <v>Promoted</v>
      </c>
      <c r="R351" s="16" t="str" cm="1">
        <f t="array" ref="R351" ca="1">INDEX(Lookup!$E$2:$E$6,RANDBETWEEN(1,5))</f>
        <v>Dipolma</v>
      </c>
      <c r="S351" s="16" t="str" cm="1">
        <f t="array" ref="S351" ca="1">INDEX(Lookup!$J$2:$J$11,RANDBETWEEN(1,10))</f>
        <v>Sarah Johnson</v>
      </c>
      <c r="T351" s="16" t="str">
        <f t="shared" ca="1" si="78"/>
        <v>jack.young@hranalytics.com</v>
      </c>
      <c r="U351" s="16" t="str">
        <f t="shared" ca="1" si="79"/>
        <v>0891765935</v>
      </c>
      <c r="V351" s="16" t="str" cm="1">
        <f t="array" ref="V351" ca="1">_xlfn.LET(_xlpm.r,RANDBETWEEN(1,100),_xlfn.IFS(_xlpm.r&lt;=70,"Full-Time",_xlpm.r&lt;=85,"Part-Time",_xlpm.r&lt;=95,"Contract",TRUE,"Intern"))</f>
        <v>Full-Time</v>
      </c>
      <c r="W351" s="16" cm="1">
        <f t="array" ref="W351" ca="1">IF(K351&lt;&gt;"Active",0,_xlfn.IFS(M351=5,L351*15%,M351=4,L351*10%,M351=3,L351*5%,M351=2,L351*2%,TRUE,0))</f>
        <v>2478</v>
      </c>
      <c r="X351" s="24">
        <f t="shared" ca="1" si="80"/>
        <v>7</v>
      </c>
      <c r="Y351" s="24">
        <f t="shared" ca="1" si="81"/>
        <v>1</v>
      </c>
    </row>
    <row r="352" spans="1:25">
      <c r="A352" s="16" t="str">
        <f t="shared" si="82"/>
        <v>EMP351</v>
      </c>
      <c r="B352" s="16" t="str" cm="1">
        <f t="array" ref="B352" ca="1">IF(D352="Male",INDEX(Lookup!$L$2:$L$13,RANDBETWEEN(1,12)),IF(D352="Female",INDEX(Lookup!$M$2:$M$13,RANDBETWEEN(1,12)),INDEX(Lookup!$N$2:$N$13,RANDBETWEEN(1,12))))</f>
        <v>Jamie</v>
      </c>
      <c r="C352" s="16" t="str" cm="1">
        <f t="array" ref="C352" ca="1">INDEX(Lookup!$K$2:$K$31,RANDBETWEEN(1,30))</f>
        <v>Campbell</v>
      </c>
      <c r="D352" s="16" t="str" cm="1">
        <f t="array" ref="D352" ca="1">INDEX(Lookup!$H$2:$H$4,RANDBETWEEN(1,3))</f>
        <v>Other</v>
      </c>
      <c r="E352" s="16">
        <f t="shared" ca="1" si="70"/>
        <v>43</v>
      </c>
      <c r="F352" s="16" t="str" cm="1">
        <f t="array" ref="F352" ca="1">INDEX(Lookup!$A$2:$A$10,RANDBETWEEN(1,9))</f>
        <v>Procurement</v>
      </c>
      <c r="G352" s="16" t="str" cm="1">
        <f t="array" ref="G352" ca="1">_xlfn.LET(_xlpm.Roles,_xlfn._xlws.FILTER(Lookup!$P$2:$P$28,Lookup!$O$2:$O$28=F352),INDEX(_xlpm.Roles,RANDBETWEEN(1,ROWS(_xlpm.Roles))))</f>
        <v>Procurement Officer</v>
      </c>
      <c r="H352" s="16" t="str" cm="1">
        <f t="array" ref="H352" ca="1">INDEX(Lookup!$B$2:$B$7,RANDBETWEEN(1,6))</f>
        <v>Limerick</v>
      </c>
      <c r="I352" s="22">
        <f t="shared" ca="1" si="71"/>
        <v>45296</v>
      </c>
      <c r="J352" s="22">
        <f t="shared" ca="1" si="72"/>
        <v>46710</v>
      </c>
      <c r="K352" s="16" t="str">
        <f t="shared" ca="1" si="73"/>
        <v>Resigned</v>
      </c>
      <c r="L352" s="26">
        <f ca="1">_xlfn.XLOOKUP(G352,Lookup!$P$2:$P$28,Lookup!$Q$2:$Q$28)*(1+MIN(X352*3%,30%))</f>
        <v>54450</v>
      </c>
      <c r="M352" s="24">
        <f t="shared" ca="1" si="83"/>
        <v>5</v>
      </c>
      <c r="N352" s="24">
        <f t="shared" ca="1" si="74"/>
        <v>41</v>
      </c>
      <c r="O352" s="24">
        <f t="shared" ca="1" si="75"/>
        <v>16</v>
      </c>
      <c r="P352" s="24">
        <f t="shared" ca="1" si="76"/>
        <v>3</v>
      </c>
      <c r="Q352" s="16" t="str">
        <f t="shared" ca="1" si="77"/>
        <v>Promoted</v>
      </c>
      <c r="R352" s="16" t="str" cm="1">
        <f t="array" ref="R352" ca="1">INDEX(Lookup!$E$2:$E$6,RANDBETWEEN(1,5))</f>
        <v>Master's</v>
      </c>
      <c r="S352" s="16" t="str" cm="1">
        <f t="array" ref="S352" ca="1">INDEX(Lookup!$J$2:$J$11,RANDBETWEEN(1,10))</f>
        <v>David Murphy</v>
      </c>
      <c r="T352" s="16" t="str">
        <f t="shared" ca="1" si="78"/>
        <v>jamie.campbell@hranalytics.com</v>
      </c>
      <c r="U352" s="16" t="str">
        <f t="shared" ca="1" si="79"/>
        <v>0847687729</v>
      </c>
      <c r="V352" s="16" t="str" cm="1">
        <f t="array" ref="V352" ca="1">_xlfn.LET(_xlpm.r,RANDBETWEEN(1,100),_xlfn.IFS(_xlpm.r&lt;=70,"Full-Time",_xlpm.r&lt;=85,"Part-Time",_xlpm.r&lt;=95,"Contract",TRUE,"Intern"))</f>
        <v>Full-Time</v>
      </c>
      <c r="W352" s="16" cm="1">
        <f t="array" ref="W352" ca="1">IF(K352&lt;&gt;"Active",0,_xlfn.IFS(M352=5,L352*15%,M352=4,L352*10%,M352=3,L352*5%,M352=2,L352*2%,TRUE,0))</f>
        <v>0</v>
      </c>
      <c r="X352" s="24">
        <f t="shared" ca="1" si="80"/>
        <v>2</v>
      </c>
      <c r="Y352" s="24">
        <f t="shared" ca="1" si="81"/>
        <v>3</v>
      </c>
    </row>
    <row r="353" spans="1:25">
      <c r="A353" s="16" t="str">
        <f t="shared" si="82"/>
        <v>EMP352</v>
      </c>
      <c r="B353" s="16" t="str" cm="1">
        <f t="array" ref="B353" ca="1">IF(D353="Male",INDEX(Lookup!$L$2:$L$13,RANDBETWEEN(1,12)),IF(D353="Female",INDEX(Lookup!$M$2:$M$13,RANDBETWEEN(1,12)),INDEX(Lookup!$N$2:$N$13,RANDBETWEEN(1,12))))</f>
        <v>Jack</v>
      </c>
      <c r="C353" s="16" t="str" cm="1">
        <f t="array" ref="C353" ca="1">INDEX(Lookup!$K$2:$K$31,RANDBETWEEN(1,30))</f>
        <v>Hill</v>
      </c>
      <c r="D353" s="16" t="str" cm="1">
        <f t="array" ref="D353" ca="1">INDEX(Lookup!$H$2:$H$4,RANDBETWEEN(1,3))</f>
        <v>Male</v>
      </c>
      <c r="E353" s="16">
        <f t="shared" ca="1" si="70"/>
        <v>34</v>
      </c>
      <c r="F353" s="16" t="str" cm="1">
        <f t="array" ref="F353" ca="1">INDEX(Lookup!$A$2:$A$10,RANDBETWEEN(1,9))</f>
        <v>Legal</v>
      </c>
      <c r="G353" s="16" t="str" cm="1">
        <f t="array" ref="G353" ca="1">_xlfn.LET(_xlpm.Roles,_xlfn._xlws.FILTER(Lookup!$P$2:$P$28,Lookup!$O$2:$O$28=F353),INDEX(_xlpm.Roles,RANDBETWEEN(1,ROWS(_xlpm.Roles))))</f>
        <v>Compliance Officer</v>
      </c>
      <c r="H353" s="16" t="str" cm="1">
        <f t="array" ref="H353" ca="1">INDEX(Lookup!$B$2:$B$7,RANDBETWEEN(1,6))</f>
        <v>Belfast</v>
      </c>
      <c r="I353" s="22">
        <f t="shared" ca="1" si="71"/>
        <v>43630</v>
      </c>
      <c r="J353" s="22" t="str">
        <f t="shared" ca="1" si="72"/>
        <v/>
      </c>
      <c r="K353" s="16" t="str">
        <f t="shared" ca="1" si="73"/>
        <v>Active</v>
      </c>
      <c r="L353" s="26">
        <f ca="1">_xlfn.XLOOKUP(G353,Lookup!$P$2:$P$28,Lookup!$Q$2:$Q$28)*(1+MIN(X353*3%,30%))</f>
        <v>61800</v>
      </c>
      <c r="M353" s="24">
        <f t="shared" ca="1" si="83"/>
        <v>1</v>
      </c>
      <c r="N353" s="24">
        <f t="shared" ca="1" si="74"/>
        <v>0</v>
      </c>
      <c r="O353" s="24">
        <f t="shared" ca="1" si="75"/>
        <v>18</v>
      </c>
      <c r="P353" s="24">
        <f t="shared" ca="1" si="76"/>
        <v>36</v>
      </c>
      <c r="Q353" s="16" t="str">
        <f t="shared" ca="1" si="77"/>
        <v>Not Promoted</v>
      </c>
      <c r="R353" s="16" t="str" cm="1">
        <f t="array" ref="R353" ca="1">INDEX(Lookup!$E$2:$E$6,RANDBETWEEN(1,5))</f>
        <v>Master's</v>
      </c>
      <c r="S353" s="16" t="str" cm="1">
        <f t="array" ref="S353" ca="1">INDEX(Lookup!$J$2:$J$11,RANDBETWEEN(1,10))</f>
        <v>Sophia Martin</v>
      </c>
      <c r="T353" s="16" t="str">
        <f t="shared" ca="1" si="78"/>
        <v>jack.hill@hranalytics.com</v>
      </c>
      <c r="U353" s="16" t="str">
        <f t="shared" ca="1" si="79"/>
        <v>0888850637</v>
      </c>
      <c r="V353" s="16" t="str" cm="1">
        <f t="array" ref="V353" ca="1">_xlfn.LET(_xlpm.r,RANDBETWEEN(1,100),_xlfn.IFS(_xlpm.r&lt;=70,"Full-Time",_xlpm.r&lt;=85,"Part-Time",_xlpm.r&lt;=95,"Contract",TRUE,"Intern"))</f>
        <v>Part-Time</v>
      </c>
      <c r="W353" s="16" cm="1">
        <f t="array" ref="W353" ca="1">IF(K353&lt;&gt;"Active",0,_xlfn.IFS(M353=5,L353*15%,M353=4,L353*10%,M353=3,L353*5%,M353=2,L353*2%,TRUE,0))</f>
        <v>0</v>
      </c>
      <c r="X353" s="24">
        <f t="shared" ca="1" si="80"/>
        <v>7</v>
      </c>
      <c r="Y353" s="24">
        <f t="shared" ca="1" si="81"/>
        <v>1</v>
      </c>
    </row>
    <row r="354" spans="1:25">
      <c r="A354" s="16" t="str">
        <f t="shared" si="82"/>
        <v>EMP353</v>
      </c>
      <c r="B354" s="16" t="str" cm="1">
        <f t="array" ref="B354" ca="1">IF(D354="Male",INDEX(Lookup!$L$2:$L$13,RANDBETWEEN(1,12)),IF(D354="Female",INDEX(Lookup!$M$2:$M$13,RANDBETWEEN(1,12)),INDEX(Lookup!$N$2:$N$13,RANDBETWEEN(1,12))))</f>
        <v>Casey</v>
      </c>
      <c r="C354" s="16" t="str" cm="1">
        <f t="array" ref="C354" ca="1">INDEX(Lookup!$K$2:$K$31,RANDBETWEEN(1,30))</f>
        <v>Lewis</v>
      </c>
      <c r="D354" s="16" t="str" cm="1">
        <f t="array" ref="D354" ca="1">INDEX(Lookup!$H$2:$H$4,RANDBETWEEN(1,3))</f>
        <v>Other</v>
      </c>
      <c r="E354" s="16">
        <f t="shared" ca="1" si="70"/>
        <v>50</v>
      </c>
      <c r="F354" s="16" t="str" cm="1">
        <f t="array" ref="F354" ca="1">INDEX(Lookup!$A$2:$A$10,RANDBETWEEN(1,9))</f>
        <v>Marketing</v>
      </c>
      <c r="G354" s="16" t="str" cm="1">
        <f t="array" ref="G354" ca="1">_xlfn.LET(_xlpm.Roles,_xlfn._xlws.FILTER(Lookup!$P$2:$P$28,Lookup!$O$2:$O$28=F354),INDEX(_xlpm.Roles,RANDBETWEEN(1,ROWS(_xlpm.Roles))))</f>
        <v>Brand Executive</v>
      </c>
      <c r="H354" s="16" t="str" cm="1">
        <f t="array" ref="H354" ca="1">INDEX(Lookup!$B$2:$B$7,RANDBETWEEN(1,6))</f>
        <v>Waterford</v>
      </c>
      <c r="I354" s="22">
        <f t="shared" ca="1" si="71"/>
        <v>44783</v>
      </c>
      <c r="J354" s="22" t="str">
        <f t="shared" ca="1" si="72"/>
        <v/>
      </c>
      <c r="K354" s="16" t="str">
        <f t="shared" ca="1" si="73"/>
        <v>Active</v>
      </c>
      <c r="L354" s="26">
        <f ca="1">_xlfn.XLOOKUP(G354,Lookup!$P$2:$P$28,Lookup!$Q$2:$Q$28)*(1+MIN(X354*3%,30%))</f>
        <v>50140</v>
      </c>
      <c r="M354" s="24">
        <f t="shared" ca="1" si="83"/>
        <v>2</v>
      </c>
      <c r="N354" s="24">
        <f t="shared" ca="1" si="74"/>
        <v>12</v>
      </c>
      <c r="O354" s="24">
        <f t="shared" ca="1" si="75"/>
        <v>1</v>
      </c>
      <c r="P354" s="24">
        <f t="shared" ca="1" si="76"/>
        <v>6</v>
      </c>
      <c r="Q354" s="16" t="str">
        <f t="shared" ca="1" si="77"/>
        <v>Promoted</v>
      </c>
      <c r="R354" s="16" t="str" cm="1">
        <f t="array" ref="R354" ca="1">INDEX(Lookup!$E$2:$E$6,RANDBETWEEN(1,5))</f>
        <v>Bachelor's</v>
      </c>
      <c r="S354" s="16" t="str" cm="1">
        <f t="array" ref="S354" ca="1">INDEX(Lookup!$J$2:$J$11,RANDBETWEEN(1,10))</f>
        <v>Michael Brown</v>
      </c>
      <c r="T354" s="16" t="str">
        <f t="shared" ca="1" si="78"/>
        <v>casey.lewis@hranalytics.com</v>
      </c>
      <c r="U354" s="16" t="str">
        <f t="shared" ca="1" si="79"/>
        <v>0896995729</v>
      </c>
      <c r="V354" s="16" t="str" cm="1">
        <f t="array" ref="V354" ca="1">_xlfn.LET(_xlpm.r,RANDBETWEEN(1,100),_xlfn.IFS(_xlpm.r&lt;=70,"Full-Time",_xlpm.r&lt;=85,"Part-Time",_xlpm.r&lt;=95,"Contract",TRUE,"Intern"))</f>
        <v>Full-Time</v>
      </c>
      <c r="W354" s="16" cm="1">
        <f t="array" ref="W354" ca="1">IF(K354&lt;&gt;"Active",0,_xlfn.IFS(M354=5,L354*15%,M354=4,L354*10%,M354=3,L354*5%,M354=2,L354*2%,TRUE,0))</f>
        <v>5014</v>
      </c>
      <c r="X354" s="24">
        <f t="shared" ca="1" si="80"/>
        <v>4</v>
      </c>
      <c r="Y354" s="24">
        <f t="shared" ca="1" si="81"/>
        <v>1</v>
      </c>
    </row>
    <row r="355" spans="1:25">
      <c r="A355" s="16" t="str">
        <f t="shared" si="82"/>
        <v>EMP354</v>
      </c>
      <c r="B355" s="16" t="str" cm="1">
        <f t="array" ref="B355" ca="1">IF(D355="Male",INDEX(Lookup!$L$2:$L$13,RANDBETWEEN(1,12)),IF(D355="Female",INDEX(Lookup!$M$2:$M$13,RANDBETWEEN(1,12)),INDEX(Lookup!$N$2:$N$13,RANDBETWEEN(1,12))))</f>
        <v>Leo</v>
      </c>
      <c r="C355" s="16" t="str" cm="1">
        <f t="array" ref="C355" ca="1">INDEX(Lookup!$K$2:$K$31,RANDBETWEEN(1,30))</f>
        <v>Evans</v>
      </c>
      <c r="D355" s="16" t="str" cm="1">
        <f t="array" ref="D355" ca="1">INDEX(Lookup!$H$2:$H$4,RANDBETWEEN(1,3))</f>
        <v>Male</v>
      </c>
      <c r="E355" s="16">
        <f t="shared" ca="1" si="70"/>
        <v>37</v>
      </c>
      <c r="F355" s="16" t="str" cm="1">
        <f t="array" ref="F355" ca="1">INDEX(Lookup!$A$2:$A$10,RANDBETWEEN(1,9))</f>
        <v>IT</v>
      </c>
      <c r="G355" s="16" t="str" cm="1">
        <f t="array" ref="G355" ca="1">_xlfn.LET(_xlpm.Roles,_xlfn._xlws.FILTER(Lookup!$P$2:$P$28,Lookup!$O$2:$O$28=F355),INDEX(_xlpm.Roles,RANDBETWEEN(1,ROWS(_xlpm.Roles))))</f>
        <v>Business Analyst</v>
      </c>
      <c r="H355" s="16" t="str" cm="1">
        <f t="array" ref="H355" ca="1">INDEX(Lookup!$B$2:$B$7,RANDBETWEEN(1,6))</f>
        <v>Dublin</v>
      </c>
      <c r="I355" s="22">
        <f t="shared" ca="1" si="71"/>
        <v>44839</v>
      </c>
      <c r="J355" s="22" t="str">
        <f t="shared" ca="1" si="72"/>
        <v/>
      </c>
      <c r="K355" s="16" t="str">
        <f t="shared" ca="1" si="73"/>
        <v>Active</v>
      </c>
      <c r="L355" s="26">
        <f ca="1">_xlfn.XLOOKUP(G355,Lookup!$P$2:$P$28,Lookup!$Q$2:$Q$28)*(1+MIN(X355*3%,30%))</f>
        <v>69000</v>
      </c>
      <c r="M355" s="24">
        <f t="shared" ca="1" si="83"/>
        <v>5</v>
      </c>
      <c r="N355" s="24">
        <f t="shared" ca="1" si="74"/>
        <v>42</v>
      </c>
      <c r="O355" s="24">
        <f t="shared" ca="1" si="75"/>
        <v>2</v>
      </c>
      <c r="P355" s="24">
        <f t="shared" ca="1" si="76"/>
        <v>56</v>
      </c>
      <c r="Q355" s="16" t="str">
        <f t="shared" ca="1" si="77"/>
        <v>Promoted</v>
      </c>
      <c r="R355" s="16" t="str" cm="1">
        <f t="array" ref="R355" ca="1">INDEX(Lookup!$E$2:$E$6,RANDBETWEEN(1,5))</f>
        <v>High School</v>
      </c>
      <c r="S355" s="16" t="str" cm="1">
        <f t="array" ref="S355" ca="1">INDEX(Lookup!$J$2:$J$11,RANDBETWEEN(1,10))</f>
        <v>Emma Wilson</v>
      </c>
      <c r="T355" s="16" t="str">
        <f t="shared" ca="1" si="78"/>
        <v>leo.evans@hranalytics.com</v>
      </c>
      <c r="U355" s="16" t="str">
        <f t="shared" ca="1" si="79"/>
        <v>0868987189</v>
      </c>
      <c r="V355" s="16" t="str" cm="1">
        <f t="array" ref="V355" ca="1">_xlfn.LET(_xlpm.r,RANDBETWEEN(1,100),_xlfn.IFS(_xlpm.r&lt;=70,"Full-Time",_xlpm.r&lt;=85,"Part-Time",_xlpm.r&lt;=95,"Contract",TRUE,"Intern"))</f>
        <v>Full-Time</v>
      </c>
      <c r="W355" s="16" cm="1">
        <f t="array" ref="W355" ca="1">IF(K355&lt;&gt;"Active",0,_xlfn.IFS(M355=5,L355*15%,M355=4,L355*10%,M355=3,L355*5%,M355=2,L355*2%,TRUE,0))</f>
        <v>1380</v>
      </c>
      <c r="X355" s="24">
        <f t="shared" ca="1" si="80"/>
        <v>3</v>
      </c>
      <c r="Y355" s="24">
        <f t="shared" ca="1" si="81"/>
        <v>2</v>
      </c>
    </row>
    <row r="356" spans="1:25">
      <c r="A356" s="16" t="str">
        <f t="shared" si="82"/>
        <v>EMP355</v>
      </c>
      <c r="B356" s="16" t="str" cm="1">
        <f t="array" ref="B356" ca="1">IF(D356="Male",INDEX(Lookup!$L$2:$L$13,RANDBETWEEN(1,12)),IF(D356="Female",INDEX(Lookup!$M$2:$M$13,RANDBETWEEN(1,12)),INDEX(Lookup!$N$2:$N$13,RANDBETWEEN(1,12))))</f>
        <v>Michael</v>
      </c>
      <c r="C356" s="16" t="str" cm="1">
        <f t="array" ref="C356" ca="1">INDEX(Lookup!$K$2:$K$31,RANDBETWEEN(1,30))</f>
        <v>Turner</v>
      </c>
      <c r="D356" s="16" t="str" cm="1">
        <f t="array" ref="D356" ca="1">INDEX(Lookup!$H$2:$H$4,RANDBETWEEN(1,3))</f>
        <v>Male</v>
      </c>
      <c r="E356" s="16">
        <f t="shared" ca="1" si="70"/>
        <v>33</v>
      </c>
      <c r="F356" s="16" t="str" cm="1">
        <f t="array" ref="F356" ca="1">INDEX(Lookup!$A$2:$A$10,RANDBETWEEN(1,9))</f>
        <v>IT</v>
      </c>
      <c r="G356" s="16" t="str" cm="1">
        <f t="array" ref="G356" ca="1">_xlfn.LET(_xlpm.Roles,_xlfn._xlws.FILTER(Lookup!$P$2:$P$28,Lookup!$O$2:$O$28=F356),INDEX(_xlpm.Roles,RANDBETWEEN(1,ROWS(_xlpm.Roles))))</f>
        <v>Data Analyst</v>
      </c>
      <c r="H356" s="16" t="str" cm="1">
        <f t="array" ref="H356" ca="1">INDEX(Lookup!$B$2:$B$7,RANDBETWEEN(1,6))</f>
        <v>Limerick</v>
      </c>
      <c r="I356" s="22">
        <f t="shared" ca="1" si="71"/>
        <v>44920</v>
      </c>
      <c r="J356" s="22" t="str">
        <f t="shared" ca="1" si="72"/>
        <v/>
      </c>
      <c r="K356" s="16" t="str">
        <f t="shared" ca="1" si="73"/>
        <v>Active</v>
      </c>
      <c r="L356" s="26">
        <f ca="1">_xlfn.XLOOKUP(G356,Lookup!$P$2:$P$28,Lookup!$Q$2:$Q$28)*(1+MIN(X356*3%,30%))</f>
        <v>61600</v>
      </c>
      <c r="M356" s="24">
        <f t="shared" ca="1" si="83"/>
        <v>5</v>
      </c>
      <c r="N356" s="24">
        <f t="shared" ca="1" si="74"/>
        <v>20</v>
      </c>
      <c r="O356" s="24">
        <f t="shared" ca="1" si="75"/>
        <v>4</v>
      </c>
      <c r="P356" s="24">
        <f t="shared" ca="1" si="76"/>
        <v>7</v>
      </c>
      <c r="Q356" s="16" t="str">
        <f t="shared" ca="1" si="77"/>
        <v>Not Promoted</v>
      </c>
      <c r="R356" s="16" t="str" cm="1">
        <f t="array" ref="R356" ca="1">INDEX(Lookup!$E$2:$E$6,RANDBETWEEN(1,5))</f>
        <v>High School</v>
      </c>
      <c r="S356" s="16" t="str" cm="1">
        <f t="array" ref="S356" ca="1">INDEX(Lookup!$J$2:$J$11,RANDBETWEEN(1,10))</f>
        <v>Daniel Kelly</v>
      </c>
      <c r="T356" s="16" t="str">
        <f t="shared" ca="1" si="78"/>
        <v>michael.turner@hranalytics.com</v>
      </c>
      <c r="U356" s="16" t="str">
        <f t="shared" ca="1" si="79"/>
        <v>0852701983</v>
      </c>
      <c r="V356" s="16" t="str" cm="1">
        <f t="array" ref="V356" ca="1">_xlfn.LET(_xlpm.r,RANDBETWEEN(1,100),_xlfn.IFS(_xlpm.r&lt;=70,"Full-Time",_xlpm.r&lt;=85,"Part-Time",_xlpm.r&lt;=95,"Contract",TRUE,"Intern"))</f>
        <v>Full-Time</v>
      </c>
      <c r="W356" s="16" cm="1">
        <f t="array" ref="W356" ca="1">IF(K356&lt;&gt;"Active",0,_xlfn.IFS(M356=5,L356*15%,M356=4,L356*10%,M356=3,L356*5%,M356=2,L356*2%,TRUE,0))</f>
        <v>0</v>
      </c>
      <c r="X356" s="24">
        <f t="shared" ca="1" si="80"/>
        <v>3</v>
      </c>
      <c r="Y356" s="24">
        <f t="shared" ca="1" si="81"/>
        <v>2</v>
      </c>
    </row>
    <row r="357" spans="1:25">
      <c r="A357" s="16" t="str">
        <f t="shared" si="82"/>
        <v>EMP356</v>
      </c>
      <c r="B357" s="16" t="str" cm="1">
        <f t="array" ref="B357" ca="1">IF(D357="Male",INDEX(Lookup!$L$2:$L$13,RANDBETWEEN(1,12)),IF(D357="Female",INDEX(Lookup!$M$2:$M$13,RANDBETWEEN(1,12)),INDEX(Lookup!$N$2:$N$13,RANDBETWEEN(1,12))))</f>
        <v>David</v>
      </c>
      <c r="C357" s="16" t="str" cm="1">
        <f t="array" ref="C357" ca="1">INDEX(Lookup!$K$2:$K$31,RANDBETWEEN(1,30))</f>
        <v>Johnson</v>
      </c>
      <c r="D357" s="16" t="str" cm="1">
        <f t="array" ref="D357" ca="1">INDEX(Lookup!$H$2:$H$4,RANDBETWEEN(1,3))</f>
        <v>Male</v>
      </c>
      <c r="E357" s="16">
        <f t="shared" ca="1" si="70"/>
        <v>50</v>
      </c>
      <c r="F357" s="16" t="str" cm="1">
        <f t="array" ref="F357" ca="1">INDEX(Lookup!$A$2:$A$10,RANDBETWEEN(1,9))</f>
        <v>Customer Support</v>
      </c>
      <c r="G357" s="16" t="str" cm="1">
        <f t="array" ref="G357" ca="1">_xlfn.LET(_xlpm.Roles,_xlfn._xlws.FILTER(Lookup!$P$2:$P$28,Lookup!$O$2:$O$28=F357),INDEX(_xlpm.Roles,RANDBETWEEN(1,ROWS(_xlpm.Roles))))</f>
        <v>Customer Support Representative</v>
      </c>
      <c r="H357" s="16" t="str" cm="1">
        <f t="array" ref="H357" ca="1">INDEX(Lookup!$B$2:$B$7,RANDBETWEEN(1,6))</f>
        <v>Waterford</v>
      </c>
      <c r="I357" s="22">
        <f t="shared" ca="1" si="71"/>
        <v>43216</v>
      </c>
      <c r="J357" s="22" t="str">
        <f t="shared" ca="1" si="72"/>
        <v/>
      </c>
      <c r="K357" s="16" t="str">
        <f t="shared" ca="1" si="73"/>
        <v>Active</v>
      </c>
      <c r="L357" s="26">
        <f ca="1">_xlfn.XLOOKUP(G357,Lookup!$P$2:$P$28,Lookup!$Q$2:$Q$28)*(1+MIN(X357*3%,30%))</f>
        <v>37080</v>
      </c>
      <c r="M357" s="24">
        <f t="shared" ca="1" si="83"/>
        <v>5</v>
      </c>
      <c r="N357" s="24">
        <f t="shared" ca="1" si="74"/>
        <v>34</v>
      </c>
      <c r="O357" s="24">
        <f t="shared" ca="1" si="75"/>
        <v>7</v>
      </c>
      <c r="P357" s="24">
        <f t="shared" ca="1" si="76"/>
        <v>59</v>
      </c>
      <c r="Q357" s="16" t="str">
        <f t="shared" ca="1" si="77"/>
        <v>Not Promoted</v>
      </c>
      <c r="R357" s="16" t="str" cm="1">
        <f t="array" ref="R357" ca="1">INDEX(Lookup!$E$2:$E$6,RANDBETWEEN(1,5))</f>
        <v>Dipolma</v>
      </c>
      <c r="S357" s="16" t="str" cm="1">
        <f t="array" ref="S357" ca="1">INDEX(Lookup!$J$2:$J$11,RANDBETWEEN(1,10))</f>
        <v>Sarah Johnson</v>
      </c>
      <c r="T357" s="16" t="str">
        <f t="shared" ca="1" si="78"/>
        <v>david.johnson@hranalytics.com</v>
      </c>
      <c r="U357" s="16" t="str">
        <f t="shared" ca="1" si="79"/>
        <v>0833578647</v>
      </c>
      <c r="V357" s="16" t="str" cm="1">
        <f t="array" ref="V357" ca="1">_xlfn.LET(_xlpm.r,RANDBETWEEN(1,100),_xlfn.IFS(_xlpm.r&lt;=70,"Full-Time",_xlpm.r&lt;=85,"Part-Time",_xlpm.r&lt;=95,"Contract",TRUE,"Intern"))</f>
        <v>Full-Time</v>
      </c>
      <c r="W357" s="16" cm="1">
        <f t="array" ref="W357" ca="1">IF(K357&lt;&gt;"Active",0,_xlfn.IFS(M357=5,L357*15%,M357=4,L357*10%,M357=3,L357*5%,M357=2,L357*2%,TRUE,0))</f>
        <v>0</v>
      </c>
      <c r="X357" s="24">
        <f t="shared" ca="1" si="80"/>
        <v>8</v>
      </c>
      <c r="Y357" s="24">
        <f t="shared" ca="1" si="81"/>
        <v>1</v>
      </c>
    </row>
    <row r="358" spans="1:25">
      <c r="A358" s="16" t="str">
        <f t="shared" si="82"/>
        <v>EMP357</v>
      </c>
      <c r="B358" s="16" t="str" cm="1">
        <f t="array" ref="B358" ca="1">IF(D358="Male",INDEX(Lookup!$L$2:$L$13,RANDBETWEEN(1,12)),IF(D358="Female",INDEX(Lookup!$M$2:$M$13,RANDBETWEEN(1,12)),INDEX(Lookup!$N$2:$N$13,RANDBETWEEN(1,12))))</f>
        <v>Leo</v>
      </c>
      <c r="C358" s="16" t="str" cm="1">
        <f t="array" ref="C358" ca="1">INDEX(Lookup!$K$2:$K$31,RANDBETWEEN(1,30))</f>
        <v>Wilson</v>
      </c>
      <c r="D358" s="16" t="str" cm="1">
        <f t="array" ref="D358" ca="1">INDEX(Lookup!$H$2:$H$4,RANDBETWEEN(1,3))</f>
        <v>Male</v>
      </c>
      <c r="E358" s="16">
        <f t="shared" ca="1" si="70"/>
        <v>60</v>
      </c>
      <c r="F358" s="16" t="str" cm="1">
        <f t="array" ref="F358" ca="1">INDEX(Lookup!$A$2:$A$10,RANDBETWEEN(1,9))</f>
        <v>Sales</v>
      </c>
      <c r="G358" s="16" t="str" cm="1">
        <f t="array" ref="G358" ca="1">_xlfn.LET(_xlpm.Roles,_xlfn._xlws.FILTER(Lookup!$P$2:$P$28,Lookup!$O$2:$O$28=F358),INDEX(_xlpm.Roles,RANDBETWEEN(1,ROWS(_xlpm.Roles))))</f>
        <v>Sales Executive</v>
      </c>
      <c r="H358" s="16" t="str" cm="1">
        <f t="array" ref="H358" ca="1">INDEX(Lookup!$B$2:$B$7,RANDBETWEEN(1,6))</f>
        <v>Cork</v>
      </c>
      <c r="I358" s="22">
        <f t="shared" ca="1" si="71"/>
        <v>43534</v>
      </c>
      <c r="J358" s="22" t="str">
        <f t="shared" ca="1" si="72"/>
        <v/>
      </c>
      <c r="K358" s="16" t="str">
        <f t="shared" ca="1" si="73"/>
        <v>Active</v>
      </c>
      <c r="L358" s="26">
        <f ca="1">_xlfn.XLOOKUP(G358,Lookup!$P$2:$P$28,Lookup!$Q$2:$Q$28)*(1+MIN(X358*3%,30%))</f>
        <v>42400</v>
      </c>
      <c r="M358" s="24">
        <f t="shared" ca="1" si="83"/>
        <v>3</v>
      </c>
      <c r="N358" s="24">
        <f t="shared" ca="1" si="74"/>
        <v>29</v>
      </c>
      <c r="O358" s="24">
        <f t="shared" ca="1" si="75"/>
        <v>8</v>
      </c>
      <c r="P358" s="24">
        <f t="shared" ca="1" si="76"/>
        <v>12</v>
      </c>
      <c r="Q358" s="16" t="str">
        <f t="shared" ca="1" si="77"/>
        <v>Promoted</v>
      </c>
      <c r="R358" s="16" t="str" cm="1">
        <f t="array" ref="R358" ca="1">INDEX(Lookup!$E$2:$E$6,RANDBETWEEN(1,5))</f>
        <v>PhD</v>
      </c>
      <c r="S358" s="16" t="str" cm="1">
        <f t="array" ref="S358" ca="1">INDEX(Lookup!$J$2:$J$11,RANDBETWEEN(1,10))</f>
        <v>Grace O'Connor</v>
      </c>
      <c r="T358" s="16" t="str">
        <f t="shared" ca="1" si="78"/>
        <v>leo.wilson@hranalytics.com</v>
      </c>
      <c r="U358" s="16" t="str">
        <f t="shared" ca="1" si="79"/>
        <v>0894710297</v>
      </c>
      <c r="V358" s="16" t="str" cm="1">
        <f t="array" ref="V358" ca="1">_xlfn.LET(_xlpm.r,RANDBETWEEN(1,100),_xlfn.IFS(_xlpm.r&lt;=70,"Full-Time",_xlpm.r&lt;=85,"Part-Time",_xlpm.r&lt;=95,"Contract",TRUE,"Intern"))</f>
        <v>Part-Time</v>
      </c>
      <c r="W358" s="16" cm="1">
        <f t="array" ref="W358" ca="1">IF(K358&lt;&gt;"Active",0,_xlfn.IFS(M358=5,L358*15%,M358=4,L358*10%,M358=3,L358*5%,M358=2,L358*2%,TRUE,0))</f>
        <v>848</v>
      </c>
      <c r="X358" s="24">
        <f t="shared" ca="1" si="80"/>
        <v>7</v>
      </c>
      <c r="Y358" s="24">
        <f t="shared" ca="1" si="81"/>
        <v>3</v>
      </c>
    </row>
    <row r="359" spans="1:25">
      <c r="A359" s="16" t="str">
        <f t="shared" si="82"/>
        <v>EMP358</v>
      </c>
      <c r="B359" s="16" t="str" cm="1">
        <f t="array" ref="B359" ca="1">IF(D359="Male",INDEX(Lookup!$L$2:$L$13,RANDBETWEEN(1,12)),IF(D359="Female",INDEX(Lookup!$M$2:$M$13,RANDBETWEEN(1,12)),INDEX(Lookup!$N$2:$N$13,RANDBETWEEN(1,12))))</f>
        <v>Skyler</v>
      </c>
      <c r="C359" s="16" t="str" cm="1">
        <f t="array" ref="C359" ca="1">INDEX(Lookup!$K$2:$K$31,RANDBETWEEN(1,30))</f>
        <v>Wilson</v>
      </c>
      <c r="D359" s="16" t="str" cm="1">
        <f t="array" ref="D359" ca="1">INDEX(Lookup!$H$2:$H$4,RANDBETWEEN(1,3))</f>
        <v>Other</v>
      </c>
      <c r="E359" s="16">
        <f t="shared" ca="1" si="70"/>
        <v>44</v>
      </c>
      <c r="F359" s="16" t="str" cm="1">
        <f t="array" ref="F359" ca="1">INDEX(Lookup!$A$2:$A$10,RANDBETWEEN(1,9))</f>
        <v>Legal</v>
      </c>
      <c r="G359" s="16" t="str" cm="1">
        <f t="array" ref="G359" ca="1">_xlfn.LET(_xlpm.Roles,_xlfn._xlws.FILTER(Lookup!$P$2:$P$28,Lookup!$O$2:$O$28=F359),INDEX(_xlpm.Roles,RANDBETWEEN(1,ROWS(_xlpm.Roles))))</f>
        <v>Legal Assistant</v>
      </c>
      <c r="H359" s="16" t="str" cm="1">
        <f t="array" ref="H359" ca="1">INDEX(Lookup!$B$2:$B$7,RANDBETWEEN(1,6))</f>
        <v>Waterford</v>
      </c>
      <c r="I359" s="22">
        <f t="shared" ca="1" si="71"/>
        <v>43503</v>
      </c>
      <c r="J359" s="22" t="str">
        <f t="shared" ca="1" si="72"/>
        <v/>
      </c>
      <c r="K359" s="16" t="str">
        <f t="shared" ca="1" si="73"/>
        <v>Active</v>
      </c>
      <c r="L359" s="26">
        <f ca="1">_xlfn.XLOOKUP(G359,Lookup!$P$2:$P$28,Lookup!$Q$2:$Q$28)*(1+MIN(X359*3%,30%))</f>
        <v>43260</v>
      </c>
      <c r="M359" s="24">
        <f t="shared" ca="1" si="83"/>
        <v>5</v>
      </c>
      <c r="N359" s="24">
        <f t="shared" ca="1" si="74"/>
        <v>34</v>
      </c>
      <c r="O359" s="24">
        <f t="shared" ca="1" si="75"/>
        <v>6</v>
      </c>
      <c r="P359" s="24">
        <f t="shared" ca="1" si="76"/>
        <v>41</v>
      </c>
      <c r="Q359" s="16" t="str">
        <f t="shared" ca="1" si="77"/>
        <v>Not Promoted</v>
      </c>
      <c r="R359" s="16" t="str" cm="1">
        <f t="array" ref="R359" ca="1">INDEX(Lookup!$E$2:$E$6,RANDBETWEEN(1,5))</f>
        <v>Dipolma</v>
      </c>
      <c r="S359" s="16" t="str" cm="1">
        <f t="array" ref="S359" ca="1">INDEX(Lookup!$J$2:$J$11,RANDBETWEEN(1,10))</f>
        <v>Olivia Smith</v>
      </c>
      <c r="T359" s="16" t="str">
        <f t="shared" ca="1" si="78"/>
        <v>skyler.wilson@hranalytics.com</v>
      </c>
      <c r="U359" s="16" t="str">
        <f t="shared" ca="1" si="79"/>
        <v>0876731619</v>
      </c>
      <c r="V359" s="16" t="str" cm="1">
        <f t="array" ref="V359" ca="1">_xlfn.LET(_xlpm.r,RANDBETWEEN(1,100),_xlfn.IFS(_xlpm.r&lt;=70,"Full-Time",_xlpm.r&lt;=85,"Part-Time",_xlpm.r&lt;=95,"Contract",TRUE,"Intern"))</f>
        <v>Full-Time</v>
      </c>
      <c r="W359" s="16" cm="1">
        <f t="array" ref="W359" ca="1">IF(K359&lt;&gt;"Active",0,_xlfn.IFS(M359=5,L359*15%,M359=4,L359*10%,M359=3,L359*5%,M359=2,L359*2%,TRUE,0))</f>
        <v>2163</v>
      </c>
      <c r="X359" s="24">
        <f t="shared" ca="1" si="80"/>
        <v>7</v>
      </c>
      <c r="Y359" s="24">
        <f t="shared" ca="1" si="81"/>
        <v>3</v>
      </c>
    </row>
    <row r="360" spans="1:25">
      <c r="A360" s="16" t="str">
        <f t="shared" si="82"/>
        <v>EMP359</v>
      </c>
      <c r="B360" s="16" t="str" cm="1">
        <f t="array" ref="B360" ca="1">IF(D360="Male",INDEX(Lookup!$L$2:$L$13,RANDBETWEEN(1,12)),IF(D360="Female",INDEX(Lookup!$M$2:$M$13,RANDBETWEEN(1,12)),INDEX(Lookup!$N$2:$N$13,RANDBETWEEN(1,12))))</f>
        <v>Avery</v>
      </c>
      <c r="C360" s="16" t="str" cm="1">
        <f t="array" ref="C360" ca="1">INDEX(Lookup!$K$2:$K$31,RANDBETWEEN(1,30))</f>
        <v>Campbell</v>
      </c>
      <c r="D360" s="16" t="str" cm="1">
        <f t="array" ref="D360" ca="1">INDEX(Lookup!$H$2:$H$4,RANDBETWEEN(1,3))</f>
        <v>Other</v>
      </c>
      <c r="E360" s="16">
        <f t="shared" ca="1" si="70"/>
        <v>39</v>
      </c>
      <c r="F360" s="16" t="str" cm="1">
        <f t="array" ref="F360" ca="1">INDEX(Lookup!$A$2:$A$10,RANDBETWEEN(1,9))</f>
        <v>IT</v>
      </c>
      <c r="G360" s="16" t="str" cm="1">
        <f t="array" ref="G360" ca="1">_xlfn.LET(_xlpm.Roles,_xlfn._xlws.FILTER(Lookup!$P$2:$P$28,Lookup!$O$2:$O$28=F360),INDEX(_xlpm.Roles,RANDBETWEEN(1,ROWS(_xlpm.Roles))))</f>
        <v>IT Support Specialist</v>
      </c>
      <c r="H360" s="16" t="str" cm="1">
        <f t="array" ref="H360" ca="1">INDEX(Lookup!$B$2:$B$7,RANDBETWEEN(1,6))</f>
        <v>Waterford</v>
      </c>
      <c r="I360" s="22">
        <f t="shared" ca="1" si="71"/>
        <v>44327</v>
      </c>
      <c r="J360" s="22" t="str">
        <f t="shared" ca="1" si="72"/>
        <v/>
      </c>
      <c r="K360" s="16" t="str">
        <f t="shared" ca="1" si="73"/>
        <v>Active</v>
      </c>
      <c r="L360" s="26">
        <f ca="1">_xlfn.XLOOKUP(G360,Lookup!$P$2:$P$28,Lookup!$Q$2:$Q$28)*(1+MIN(X360*3%,30%))</f>
        <v>49440</v>
      </c>
      <c r="M360" s="24">
        <f t="shared" ca="1" si="83"/>
        <v>3</v>
      </c>
      <c r="N360" s="24">
        <f t="shared" ca="1" si="74"/>
        <v>14</v>
      </c>
      <c r="O360" s="24">
        <f t="shared" ca="1" si="75"/>
        <v>9</v>
      </c>
      <c r="P360" s="24">
        <f t="shared" ca="1" si="76"/>
        <v>21</v>
      </c>
      <c r="Q360" s="16" t="str">
        <f t="shared" ca="1" si="77"/>
        <v>Not Promoted</v>
      </c>
      <c r="R360" s="16" t="str" cm="1">
        <f t="array" ref="R360" ca="1">INDEX(Lookup!$E$2:$E$6,RANDBETWEEN(1,5))</f>
        <v>High School</v>
      </c>
      <c r="S360" s="16" t="str" cm="1">
        <f t="array" ref="S360" ca="1">INDEX(Lookup!$J$2:$J$11,RANDBETWEEN(1,10))</f>
        <v>James Taylor</v>
      </c>
      <c r="T360" s="16" t="str">
        <f t="shared" ca="1" si="78"/>
        <v>avery.campbell@hranalytics.com</v>
      </c>
      <c r="U360" s="16" t="str">
        <f t="shared" ca="1" si="79"/>
        <v>0881736928</v>
      </c>
      <c r="V360" s="16" t="str" cm="1">
        <f t="array" ref="V360" ca="1">_xlfn.LET(_xlpm.r,RANDBETWEEN(1,100),_xlfn.IFS(_xlpm.r&lt;=70,"Full-Time",_xlpm.r&lt;=85,"Part-Time",_xlpm.r&lt;=95,"Contract",TRUE,"Intern"))</f>
        <v>Full-Time</v>
      </c>
      <c r="W360" s="16" cm="1">
        <f t="array" ref="W360" ca="1">IF(K360&lt;&gt;"Active",0,_xlfn.IFS(M360=5,L360*15%,M360=4,L360*10%,M360=3,L360*5%,M360=2,L360*2%,TRUE,0))</f>
        <v>988.8</v>
      </c>
      <c r="X360" s="24">
        <f t="shared" ca="1" si="80"/>
        <v>5</v>
      </c>
      <c r="Y360" s="24">
        <f t="shared" ca="1" si="81"/>
        <v>3</v>
      </c>
    </row>
    <row r="361" spans="1:25">
      <c r="A361" s="16" t="str">
        <f t="shared" si="82"/>
        <v>EMP360</v>
      </c>
      <c r="B361" s="16" t="str" cm="1">
        <f t="array" ref="B361" ca="1">IF(D361="Male",INDEX(Lookup!$L$2:$L$13,RANDBETWEEN(1,12)),IF(D361="Female",INDEX(Lookup!$M$2:$M$13,RANDBETWEEN(1,12)),INDEX(Lookup!$N$2:$N$13,RANDBETWEEN(1,12))))</f>
        <v>Lucas</v>
      </c>
      <c r="C361" s="16" t="str" cm="1">
        <f t="array" ref="C361" ca="1">INDEX(Lookup!$K$2:$K$31,RANDBETWEEN(1,30))</f>
        <v>Martin</v>
      </c>
      <c r="D361" s="16" t="str" cm="1">
        <f t="array" ref="D361" ca="1">INDEX(Lookup!$H$2:$H$4,RANDBETWEEN(1,3))</f>
        <v>Male</v>
      </c>
      <c r="E361" s="16">
        <f t="shared" ca="1" si="70"/>
        <v>26</v>
      </c>
      <c r="F361" s="16" t="str" cm="1">
        <f t="array" ref="F361" ca="1">INDEX(Lookup!$A$2:$A$10,RANDBETWEEN(1,9))</f>
        <v>Customer Support</v>
      </c>
      <c r="G361" s="16" t="str" cm="1">
        <f t="array" ref="G361" ca="1">_xlfn.LET(_xlpm.Roles,_xlfn._xlws.FILTER(Lookup!$P$2:$P$28,Lookup!$O$2:$O$28=F361),INDEX(_xlpm.Roles,RANDBETWEEN(1,ROWS(_xlpm.Roles))))</f>
        <v>Customer Support Representative</v>
      </c>
      <c r="H361" s="16" t="str" cm="1">
        <f t="array" ref="H361" ca="1">INDEX(Lookup!$B$2:$B$7,RANDBETWEEN(1,6))</f>
        <v>Dublin</v>
      </c>
      <c r="I361" s="22">
        <f t="shared" ca="1" si="71"/>
        <v>44512</v>
      </c>
      <c r="J361" s="22">
        <f t="shared" ca="1" si="72"/>
        <v>46453</v>
      </c>
      <c r="K361" s="16" t="str">
        <f t="shared" ca="1" si="73"/>
        <v>Resigned</v>
      </c>
      <c r="L361" s="26">
        <f ca="1">_xlfn.XLOOKUP(G361,Lookup!$P$2:$P$28,Lookup!$Q$2:$Q$28)*(1+MIN(X361*3%,30%))</f>
        <v>40320</v>
      </c>
      <c r="M361" s="24">
        <f t="shared" ca="1" si="83"/>
        <v>4</v>
      </c>
      <c r="N361" s="24">
        <f t="shared" ca="1" si="74"/>
        <v>75</v>
      </c>
      <c r="O361" s="24">
        <f t="shared" ca="1" si="75"/>
        <v>9</v>
      </c>
      <c r="P361" s="24">
        <f t="shared" ca="1" si="76"/>
        <v>54</v>
      </c>
      <c r="Q361" s="16" t="str">
        <f t="shared" ca="1" si="77"/>
        <v>Promoted</v>
      </c>
      <c r="R361" s="16" t="str" cm="1">
        <f t="array" ref="R361" ca="1">INDEX(Lookup!$E$2:$E$6,RANDBETWEEN(1,5))</f>
        <v>Bachelor's</v>
      </c>
      <c r="S361" s="16" t="str" cm="1">
        <f t="array" ref="S361" ca="1">INDEX(Lookup!$J$2:$J$11,RANDBETWEEN(1,10))</f>
        <v>Michael Brown</v>
      </c>
      <c r="T361" s="16" t="str">
        <f t="shared" ca="1" si="78"/>
        <v>lucas.martin@hranalytics.com</v>
      </c>
      <c r="U361" s="16" t="str">
        <f t="shared" ca="1" si="79"/>
        <v>0888916828</v>
      </c>
      <c r="V361" s="16" t="str" cm="1">
        <f t="array" ref="V361" ca="1">_xlfn.LET(_xlpm.r,RANDBETWEEN(1,100),_xlfn.IFS(_xlpm.r&lt;=70,"Full-Time",_xlpm.r&lt;=85,"Part-Time",_xlpm.r&lt;=95,"Contract",TRUE,"Intern"))</f>
        <v>Full-Time</v>
      </c>
      <c r="W361" s="16" cm="1">
        <f t="array" ref="W361" ca="1">IF(K361&lt;&gt;"Active",0,_xlfn.IFS(M361=5,L361*15%,M361=4,L361*10%,M361=3,L361*5%,M361=2,L361*2%,TRUE,0))</f>
        <v>6048</v>
      </c>
      <c r="X361" s="24">
        <f t="shared" ca="1" si="80"/>
        <v>4</v>
      </c>
      <c r="Y361" s="24">
        <f t="shared" ca="1" si="81"/>
        <v>1</v>
      </c>
    </row>
    <row r="362" spans="1:25">
      <c r="A362" s="16" t="str">
        <f t="shared" si="82"/>
        <v>EMP361</v>
      </c>
      <c r="B362" s="16" t="str" cm="1">
        <f t="array" ref="B362" ca="1">IF(D362="Male",INDEX(Lookup!$L$2:$L$13,RANDBETWEEN(1,12)),IF(D362="Female",INDEX(Lookup!$M$2:$M$13,RANDBETWEEN(1,12)),INDEX(Lookup!$N$2:$N$13,RANDBETWEEN(1,12))))</f>
        <v>Michael</v>
      </c>
      <c r="C362" s="16" t="str" cm="1">
        <f t="array" ref="C362" ca="1">INDEX(Lookup!$K$2:$K$31,RANDBETWEEN(1,30))</f>
        <v>Cooper</v>
      </c>
      <c r="D362" s="16" t="str" cm="1">
        <f t="array" ref="D362" ca="1">INDEX(Lookup!$H$2:$H$4,RANDBETWEEN(1,3))</f>
        <v>Male</v>
      </c>
      <c r="E362" s="16">
        <f t="shared" ca="1" si="70"/>
        <v>57</v>
      </c>
      <c r="F362" s="16" t="str" cm="1">
        <f t="array" ref="F362" ca="1">INDEX(Lookup!$A$2:$A$10,RANDBETWEEN(1,9))</f>
        <v>Legal</v>
      </c>
      <c r="G362" s="16" t="str" cm="1">
        <f t="array" ref="G362" ca="1">_xlfn.LET(_xlpm.Roles,_xlfn._xlws.FILTER(Lookup!$P$2:$P$28,Lookup!$O$2:$O$28=F362),INDEX(_xlpm.Roles,RANDBETWEEN(1,ROWS(_xlpm.Roles))))</f>
        <v>Legal Assistant</v>
      </c>
      <c r="H362" s="16" t="str" cm="1">
        <f t="array" ref="H362" ca="1">INDEX(Lookup!$B$2:$B$7,RANDBETWEEN(1,6))</f>
        <v>Cork</v>
      </c>
      <c r="I362" s="22">
        <f t="shared" ca="1" si="71"/>
        <v>43462</v>
      </c>
      <c r="J362" s="22" t="str">
        <f t="shared" ca="1" si="72"/>
        <v/>
      </c>
      <c r="K362" s="16" t="str">
        <f t="shared" ca="1" si="73"/>
        <v>Active</v>
      </c>
      <c r="L362" s="26">
        <f ca="1">_xlfn.XLOOKUP(G362,Lookup!$P$2:$P$28,Lookup!$Q$2:$Q$28)*(1+MIN(X362*3%,30%))</f>
        <v>50820</v>
      </c>
      <c r="M362" s="24">
        <f t="shared" ca="1" si="83"/>
        <v>5</v>
      </c>
      <c r="N362" s="24">
        <f t="shared" ca="1" si="74"/>
        <v>5</v>
      </c>
      <c r="O362" s="24">
        <f t="shared" ca="1" si="75"/>
        <v>17</v>
      </c>
      <c r="P362" s="24">
        <f t="shared" ca="1" si="76"/>
        <v>50</v>
      </c>
      <c r="Q362" s="16" t="str">
        <f t="shared" ca="1" si="77"/>
        <v>Promoted</v>
      </c>
      <c r="R362" s="16" t="str" cm="1">
        <f t="array" ref="R362" ca="1">INDEX(Lookup!$E$2:$E$6,RANDBETWEEN(1,5))</f>
        <v>Master's</v>
      </c>
      <c r="S362" s="16" t="str" cm="1">
        <f t="array" ref="S362" ca="1">INDEX(Lookup!$J$2:$J$11,RANDBETWEEN(1,10))</f>
        <v>David Murphy</v>
      </c>
      <c r="T362" s="16" t="str">
        <f t="shared" ca="1" si="78"/>
        <v>michael.cooper@hranalytics.com</v>
      </c>
      <c r="U362" s="16" t="str">
        <f t="shared" ca="1" si="79"/>
        <v>0852817253</v>
      </c>
      <c r="V362" s="16" t="str" cm="1">
        <f t="array" ref="V362" ca="1">_xlfn.LET(_xlpm.r,RANDBETWEEN(1,100),_xlfn.IFS(_xlpm.r&lt;=70,"Full-Time",_xlpm.r&lt;=85,"Part-Time",_xlpm.r&lt;=95,"Contract",TRUE,"Intern"))</f>
        <v>Part-Time</v>
      </c>
      <c r="W362" s="16" cm="1">
        <f t="array" ref="W362" ca="1">IF(K362&lt;&gt;"Active",0,_xlfn.IFS(M362=5,L362*15%,M362=4,L362*10%,M362=3,L362*5%,M362=2,L362*2%,TRUE,0))</f>
        <v>5082</v>
      </c>
      <c r="X362" s="24">
        <f t="shared" ca="1" si="80"/>
        <v>7</v>
      </c>
      <c r="Y362" s="24">
        <f t="shared" ca="1" si="81"/>
        <v>1</v>
      </c>
    </row>
    <row r="363" spans="1:25">
      <c r="A363" s="16" t="str">
        <f t="shared" si="82"/>
        <v>EMP362</v>
      </c>
      <c r="B363" s="16" t="str" cm="1">
        <f t="array" ref="B363" ca="1">IF(D363="Male",INDEX(Lookup!$L$2:$L$13,RANDBETWEEN(1,12)),IF(D363="Female",INDEX(Lookup!$M$2:$M$13,RANDBETWEEN(1,12)),INDEX(Lookup!$N$2:$N$13,RANDBETWEEN(1,12))))</f>
        <v>Jamie</v>
      </c>
      <c r="C363" s="16" t="str" cm="1">
        <f t="array" ref="C363" ca="1">INDEX(Lookup!$K$2:$K$31,RANDBETWEEN(1,30))</f>
        <v>Walker</v>
      </c>
      <c r="D363" s="16" t="str" cm="1">
        <f t="array" ref="D363" ca="1">INDEX(Lookup!$H$2:$H$4,RANDBETWEEN(1,3))</f>
        <v>Other</v>
      </c>
      <c r="E363" s="16">
        <f t="shared" ca="1" si="70"/>
        <v>57</v>
      </c>
      <c r="F363" s="16" t="str" cm="1">
        <f t="array" ref="F363" ca="1">INDEX(Lookup!$A$2:$A$10,RANDBETWEEN(1,9))</f>
        <v>Sales</v>
      </c>
      <c r="G363" s="16" t="str" cm="1">
        <f t="array" ref="G363" ca="1">_xlfn.LET(_xlpm.Roles,_xlfn._xlws.FILTER(Lookup!$P$2:$P$28,Lookup!$O$2:$O$28=F363),INDEX(_xlpm.Roles,RANDBETWEEN(1,ROWS(_xlpm.Roles))))</f>
        <v>Sales Executive</v>
      </c>
      <c r="H363" s="16" t="str" cm="1">
        <f t="array" ref="H363" ca="1">INDEX(Lookup!$B$2:$B$7,RANDBETWEEN(1,6))</f>
        <v>Belfast</v>
      </c>
      <c r="I363" s="22">
        <f t="shared" ca="1" si="71"/>
        <v>44014</v>
      </c>
      <c r="J363" s="22" t="str">
        <f t="shared" ca="1" si="72"/>
        <v/>
      </c>
      <c r="K363" s="16" t="str">
        <f t="shared" ca="1" si="73"/>
        <v>Active</v>
      </c>
      <c r="L363" s="26">
        <f ca="1">_xlfn.XLOOKUP(G363,Lookup!$P$2:$P$28,Lookup!$Q$2:$Q$28)*(1+MIN(X363*3%,30%))</f>
        <v>43600</v>
      </c>
      <c r="M363" s="24">
        <f t="shared" ca="1" si="83"/>
        <v>5</v>
      </c>
      <c r="N363" s="24">
        <f t="shared" ca="1" si="74"/>
        <v>49</v>
      </c>
      <c r="O363" s="24">
        <f t="shared" ca="1" si="75"/>
        <v>18</v>
      </c>
      <c r="P363" s="24">
        <f t="shared" ca="1" si="76"/>
        <v>10</v>
      </c>
      <c r="Q363" s="16" t="str">
        <f t="shared" ca="1" si="77"/>
        <v>Promoted</v>
      </c>
      <c r="R363" s="16" t="str" cm="1">
        <f t="array" ref="R363" ca="1">INDEX(Lookup!$E$2:$E$6,RANDBETWEEN(1,5))</f>
        <v>Bachelor's</v>
      </c>
      <c r="S363" s="16" t="str" cm="1">
        <f t="array" ref="S363" ca="1">INDEX(Lookup!$J$2:$J$11,RANDBETWEEN(1,10))</f>
        <v>Daniel Kelly</v>
      </c>
      <c r="T363" s="16" t="str">
        <f t="shared" ca="1" si="78"/>
        <v>jamie.walker@hranalytics.com</v>
      </c>
      <c r="U363" s="16" t="str">
        <f t="shared" ca="1" si="79"/>
        <v>0886291957</v>
      </c>
      <c r="V363" s="16" t="str" cm="1">
        <f t="array" ref="V363" ca="1">_xlfn.LET(_xlpm.r,RANDBETWEEN(1,100),_xlfn.IFS(_xlpm.r&lt;=70,"Full-Time",_xlpm.r&lt;=85,"Part-Time",_xlpm.r&lt;=95,"Contract",TRUE,"Intern"))</f>
        <v>Full-Time</v>
      </c>
      <c r="W363" s="16" cm="1">
        <f t="array" ref="W363" ca="1">IF(K363&lt;&gt;"Active",0,_xlfn.IFS(M363=5,L363*15%,M363=4,L363*10%,M363=3,L363*5%,M363=2,L363*2%,TRUE,0))</f>
        <v>0</v>
      </c>
      <c r="X363" s="24">
        <f t="shared" ca="1" si="80"/>
        <v>6</v>
      </c>
      <c r="Y363" s="24">
        <f t="shared" ca="1" si="81"/>
        <v>3</v>
      </c>
    </row>
    <row r="364" spans="1:25">
      <c r="A364" s="16" t="str">
        <f t="shared" si="82"/>
        <v>EMP363</v>
      </c>
      <c r="B364" s="16" t="str" cm="1">
        <f t="array" ref="B364" ca="1">IF(D364="Male",INDEX(Lookup!$L$2:$L$13,RANDBETWEEN(1,12)),IF(D364="Female",INDEX(Lookup!$M$2:$M$13,RANDBETWEEN(1,12)),INDEX(Lookup!$N$2:$N$13,RANDBETWEEN(1,12))))</f>
        <v>Cameron</v>
      </c>
      <c r="C364" s="16" t="str" cm="1">
        <f t="array" ref="C364" ca="1">INDEX(Lookup!$K$2:$K$31,RANDBETWEEN(1,30))</f>
        <v>Edwards</v>
      </c>
      <c r="D364" s="16" t="str" cm="1">
        <f t="array" ref="D364" ca="1">INDEX(Lookup!$H$2:$H$4,RANDBETWEEN(1,3))</f>
        <v>Other</v>
      </c>
      <c r="E364" s="16">
        <f t="shared" ca="1" si="70"/>
        <v>40</v>
      </c>
      <c r="F364" s="16" t="str" cm="1">
        <f t="array" ref="F364" ca="1">INDEX(Lookup!$A$2:$A$10,RANDBETWEEN(1,9))</f>
        <v>Customer Support</v>
      </c>
      <c r="G364" s="16" t="str" cm="1">
        <f t="array" ref="G364" ca="1">_xlfn.LET(_xlpm.Roles,_xlfn._xlws.FILTER(Lookup!$P$2:$P$28,Lookup!$O$2:$O$28=F364),INDEX(_xlpm.Roles,RANDBETWEEN(1,ROWS(_xlpm.Roles))))</f>
        <v>Customer Support Representative</v>
      </c>
      <c r="H364" s="16" t="str" cm="1">
        <f t="array" ref="H364" ca="1">INDEX(Lookup!$B$2:$B$7,RANDBETWEEN(1,6))</f>
        <v>Cork</v>
      </c>
      <c r="I364" s="22">
        <f t="shared" ca="1" si="71"/>
        <v>45336</v>
      </c>
      <c r="J364" s="22">
        <f t="shared" ca="1" si="72"/>
        <v>45868</v>
      </c>
      <c r="K364" s="16" t="str">
        <f t="shared" ca="1" si="73"/>
        <v>Resigned</v>
      </c>
      <c r="L364" s="26">
        <f ca="1">_xlfn.XLOOKUP(G364,Lookup!$P$2:$P$28,Lookup!$Q$2:$Q$28)*(1+MIN(X364*3%,30%))</f>
        <v>38160</v>
      </c>
      <c r="M364" s="24">
        <f t="shared" ca="1" si="83"/>
        <v>2</v>
      </c>
      <c r="N364" s="24">
        <f t="shared" ca="1" si="74"/>
        <v>78</v>
      </c>
      <c r="O364" s="24">
        <f t="shared" ca="1" si="75"/>
        <v>2</v>
      </c>
      <c r="P364" s="24">
        <f t="shared" ca="1" si="76"/>
        <v>2</v>
      </c>
      <c r="Q364" s="16" t="str">
        <f t="shared" ca="1" si="77"/>
        <v>Promoted</v>
      </c>
      <c r="R364" s="16" t="str" cm="1">
        <f t="array" ref="R364" ca="1">INDEX(Lookup!$E$2:$E$6,RANDBETWEEN(1,5))</f>
        <v>Master's</v>
      </c>
      <c r="S364" s="16" t="str" cm="1">
        <f t="array" ref="S364" ca="1">INDEX(Lookup!$J$2:$J$11,RANDBETWEEN(1,10))</f>
        <v>Olivia Smith</v>
      </c>
      <c r="T364" s="16" t="str">
        <f t="shared" ca="1" si="78"/>
        <v>cameron.edwards@hranalytics.com</v>
      </c>
      <c r="U364" s="16" t="str">
        <f t="shared" ca="1" si="79"/>
        <v>0887700963</v>
      </c>
      <c r="V364" s="16" t="str" cm="1">
        <f t="array" ref="V364" ca="1">_xlfn.LET(_xlpm.r,RANDBETWEEN(1,100),_xlfn.IFS(_xlpm.r&lt;=70,"Full-Time",_xlpm.r&lt;=85,"Part-Time",_xlpm.r&lt;=95,"Contract",TRUE,"Intern"))</f>
        <v>Full-Time</v>
      </c>
      <c r="W364" s="16" cm="1">
        <f t="array" ref="W364" ca="1">IF(K364&lt;&gt;"Active",0,_xlfn.IFS(M364=5,L364*15%,M364=4,L364*10%,M364=3,L364*5%,M364=2,L364*2%,TRUE,0))</f>
        <v>0</v>
      </c>
      <c r="X364" s="24">
        <f t="shared" ca="1" si="80"/>
        <v>2</v>
      </c>
      <c r="Y364" s="24">
        <f t="shared" ca="1" si="81"/>
        <v>3</v>
      </c>
    </row>
    <row r="365" spans="1:25">
      <c r="A365" s="16" t="str">
        <f t="shared" si="82"/>
        <v>EMP364</v>
      </c>
      <c r="B365" s="16" t="str" cm="1">
        <f t="array" ref="B365" ca="1">IF(D365="Male",INDEX(Lookup!$L$2:$L$13,RANDBETWEEN(1,12)),IF(D365="Female",INDEX(Lookup!$M$2:$M$13,RANDBETWEEN(1,12)),INDEX(Lookup!$N$2:$N$13,RANDBETWEEN(1,12))))</f>
        <v>Emily</v>
      </c>
      <c r="C365" s="16" t="str" cm="1">
        <f t="array" ref="C365" ca="1">INDEX(Lookup!$K$2:$K$31,RANDBETWEEN(1,30))</f>
        <v>Nelson</v>
      </c>
      <c r="D365" s="16" t="str" cm="1">
        <f t="array" ref="D365" ca="1">INDEX(Lookup!$H$2:$H$4,RANDBETWEEN(1,3))</f>
        <v>Female</v>
      </c>
      <c r="E365" s="16">
        <f t="shared" ca="1" si="70"/>
        <v>40</v>
      </c>
      <c r="F365" s="16" t="str" cm="1">
        <f t="array" ref="F365" ca="1">INDEX(Lookup!$A$2:$A$10,RANDBETWEEN(1,9))</f>
        <v>Customer Support</v>
      </c>
      <c r="G365" s="16" t="str" cm="1">
        <f t="array" ref="G365" ca="1">_xlfn.LET(_xlpm.Roles,_xlfn._xlws.FILTER(Lookup!$P$2:$P$28,Lookup!$O$2:$O$28=F365),INDEX(_xlpm.Roles,RANDBETWEEN(1,ROWS(_xlpm.Roles))))</f>
        <v>Technical Support Specialist</v>
      </c>
      <c r="H365" s="16" t="str" cm="1">
        <f t="array" ref="H365" ca="1">INDEX(Lookup!$B$2:$B$7,RANDBETWEEN(1,6))</f>
        <v>Limerick</v>
      </c>
      <c r="I365" s="22">
        <f t="shared" ca="1" si="71"/>
        <v>44402</v>
      </c>
      <c r="J365" s="22" t="str">
        <f t="shared" ca="1" si="72"/>
        <v/>
      </c>
      <c r="K365" s="16" t="str">
        <f t="shared" ca="1" si="73"/>
        <v>Active</v>
      </c>
      <c r="L365" s="26">
        <f ca="1">_xlfn.XLOOKUP(G365,Lookup!$P$2:$P$28,Lookup!$Q$2:$Q$28)*(1+MIN(X365*3%,30%))</f>
        <v>51750</v>
      </c>
      <c r="M365" s="24">
        <f t="shared" ca="1" si="83"/>
        <v>4</v>
      </c>
      <c r="N365" s="24">
        <f t="shared" ca="1" si="74"/>
        <v>32</v>
      </c>
      <c r="O365" s="24">
        <f t="shared" ca="1" si="75"/>
        <v>13</v>
      </c>
      <c r="P365" s="24">
        <f t="shared" ca="1" si="76"/>
        <v>46</v>
      </c>
      <c r="Q365" s="16" t="str">
        <f t="shared" ca="1" si="77"/>
        <v>Promoted</v>
      </c>
      <c r="R365" s="16" t="str" cm="1">
        <f t="array" ref="R365" ca="1">INDEX(Lookup!$E$2:$E$6,RANDBETWEEN(1,5))</f>
        <v>High School</v>
      </c>
      <c r="S365" s="16" t="str" cm="1">
        <f t="array" ref="S365" ca="1">INDEX(Lookup!$J$2:$J$11,RANDBETWEEN(1,10))</f>
        <v>Sarah Johnson</v>
      </c>
      <c r="T365" s="16" t="str">
        <f t="shared" ca="1" si="78"/>
        <v>emily.nelson@hranalytics.com</v>
      </c>
      <c r="U365" s="16" t="str">
        <f t="shared" ca="1" si="79"/>
        <v>0855962914</v>
      </c>
      <c r="V365" s="16" t="str" cm="1">
        <f t="array" ref="V365" ca="1">_xlfn.LET(_xlpm.r,RANDBETWEEN(1,100),_xlfn.IFS(_xlpm.r&lt;=70,"Full-Time",_xlpm.r&lt;=85,"Part-Time",_xlpm.r&lt;=95,"Contract",TRUE,"Intern"))</f>
        <v>Full-Time</v>
      </c>
      <c r="W365" s="16" cm="1">
        <f t="array" ref="W365" ca="1">IF(K365&lt;&gt;"Active",0,_xlfn.IFS(M365=5,L365*15%,M365=4,L365*10%,M365=3,L365*5%,M365=2,L365*2%,TRUE,0))</f>
        <v>1035</v>
      </c>
      <c r="X365" s="24">
        <f t="shared" ca="1" si="80"/>
        <v>5</v>
      </c>
      <c r="Y365" s="24">
        <f t="shared" ca="1" si="81"/>
        <v>3</v>
      </c>
    </row>
    <row r="366" spans="1:25">
      <c r="A366" s="16" t="str">
        <f t="shared" si="82"/>
        <v>EMP365</v>
      </c>
      <c r="B366" s="16" t="str" cm="1">
        <f t="array" ref="B366" ca="1">IF(D366="Male",INDEX(Lookup!$L$2:$L$13,RANDBETWEEN(1,12)),IF(D366="Female",INDEX(Lookup!$M$2:$M$13,RANDBETWEEN(1,12)),INDEX(Lookup!$N$2:$N$13,RANDBETWEEN(1,12))))</f>
        <v>Lucas</v>
      </c>
      <c r="C366" s="16" t="str" cm="1">
        <f t="array" ref="C366" ca="1">INDEX(Lookup!$K$2:$K$31,RANDBETWEEN(1,30))</f>
        <v>White</v>
      </c>
      <c r="D366" s="16" t="str" cm="1">
        <f t="array" ref="D366" ca="1">INDEX(Lookup!$H$2:$H$4,RANDBETWEEN(1,3))</f>
        <v>Male</v>
      </c>
      <c r="E366" s="16">
        <f t="shared" ca="1" si="70"/>
        <v>42</v>
      </c>
      <c r="F366" s="16" t="str" cm="1">
        <f t="array" ref="F366" ca="1">INDEX(Lookup!$A$2:$A$10,RANDBETWEEN(1,9))</f>
        <v>Procurement</v>
      </c>
      <c r="G366" s="16" t="str" cm="1">
        <f t="array" ref="G366" ca="1">_xlfn.LET(_xlpm.Roles,_xlfn._xlws.FILTER(Lookup!$P$2:$P$28,Lookup!$O$2:$O$28=F366),INDEX(_xlpm.Roles,RANDBETWEEN(1,ROWS(_xlpm.Roles))))</f>
        <v>Procurement Analyst</v>
      </c>
      <c r="H366" s="16" t="str" cm="1">
        <f t="array" ref="H366" ca="1">INDEX(Lookup!$B$2:$B$7,RANDBETWEEN(1,6))</f>
        <v>Waterford</v>
      </c>
      <c r="I366" s="22">
        <f t="shared" ca="1" si="71"/>
        <v>43537</v>
      </c>
      <c r="J366" s="22">
        <f t="shared" ca="1" si="72"/>
        <v>44344</v>
      </c>
      <c r="K366" s="16" t="str">
        <f t="shared" ca="1" si="73"/>
        <v>Resigned</v>
      </c>
      <c r="L366" s="26">
        <f ca="1">_xlfn.XLOOKUP(G366,Lookup!$P$2:$P$28,Lookup!$Q$2:$Q$28)*(1+MIN(X366*3%,30%))</f>
        <v>53000</v>
      </c>
      <c r="M366" s="24">
        <f t="shared" ca="1" si="83"/>
        <v>4</v>
      </c>
      <c r="N366" s="24">
        <f t="shared" ca="1" si="74"/>
        <v>38</v>
      </c>
      <c r="O366" s="24">
        <f t="shared" ca="1" si="75"/>
        <v>16</v>
      </c>
      <c r="P366" s="24">
        <f t="shared" ca="1" si="76"/>
        <v>36</v>
      </c>
      <c r="Q366" s="16" t="str">
        <f t="shared" ca="1" si="77"/>
        <v>Promoted</v>
      </c>
      <c r="R366" s="16" t="str" cm="1">
        <f t="array" ref="R366" ca="1">INDEX(Lookup!$E$2:$E$6,RANDBETWEEN(1,5))</f>
        <v>High School</v>
      </c>
      <c r="S366" s="16" t="str" cm="1">
        <f t="array" ref="S366" ca="1">INDEX(Lookup!$J$2:$J$11,RANDBETWEEN(1,10))</f>
        <v>David Murphy</v>
      </c>
      <c r="T366" s="16" t="str">
        <f t="shared" ca="1" si="78"/>
        <v>lucas.white@hranalytics.com</v>
      </c>
      <c r="U366" s="16" t="str">
        <f t="shared" ca="1" si="79"/>
        <v>0843194619</v>
      </c>
      <c r="V366" s="16" t="str" cm="1">
        <f t="array" ref="V366" ca="1">_xlfn.LET(_xlpm.r,RANDBETWEEN(1,100),_xlfn.IFS(_xlpm.r&lt;=70,"Full-Time",_xlpm.r&lt;=85,"Part-Time",_xlpm.r&lt;=95,"Contract",TRUE,"Intern"))</f>
        <v>Full-Time</v>
      </c>
      <c r="W366" s="16" cm="1">
        <f t="array" ref="W366" ca="1">IF(K366&lt;&gt;"Active",0,_xlfn.IFS(M366=5,L366*15%,M366=4,L366*10%,M366=3,L366*5%,M366=2,L366*2%,TRUE,0))</f>
        <v>1060</v>
      </c>
      <c r="X366" s="24">
        <f t="shared" ca="1" si="80"/>
        <v>7</v>
      </c>
      <c r="Y366" s="24">
        <f t="shared" ca="1" si="81"/>
        <v>3</v>
      </c>
    </row>
    <row r="367" spans="1:25">
      <c r="A367" s="16" t="str">
        <f t="shared" si="82"/>
        <v>EMP366</v>
      </c>
      <c r="B367" s="16" t="str" cm="1">
        <f t="array" ref="B367" ca="1">IF(D367="Male",INDEX(Lookup!$L$2:$L$13,RANDBETWEEN(1,12)),IF(D367="Female",INDEX(Lookup!$M$2:$M$13,RANDBETWEEN(1,12)),INDEX(Lookup!$N$2:$N$13,RANDBETWEEN(1,12))))</f>
        <v>Emma</v>
      </c>
      <c r="C367" s="16" t="str" cm="1">
        <f t="array" ref="C367" ca="1">INDEX(Lookup!$K$2:$K$31,RANDBETWEEN(1,30))</f>
        <v>Smith</v>
      </c>
      <c r="D367" s="16" t="str" cm="1">
        <f t="array" ref="D367" ca="1">INDEX(Lookup!$H$2:$H$4,RANDBETWEEN(1,3))</f>
        <v>Female</v>
      </c>
      <c r="E367" s="16">
        <f t="shared" ca="1" si="70"/>
        <v>29</v>
      </c>
      <c r="F367" s="16" t="str" cm="1">
        <f t="array" ref="F367" ca="1">INDEX(Lookup!$A$2:$A$10,RANDBETWEEN(1,9))</f>
        <v>Sales</v>
      </c>
      <c r="G367" s="16" t="str" cm="1">
        <f t="array" ref="G367" ca="1">_xlfn.LET(_xlpm.Roles,_xlfn._xlws.FILTER(Lookup!$P$2:$P$28,Lookup!$O$2:$O$28=F367),INDEX(_xlpm.Roles,RANDBETWEEN(1,ROWS(_xlpm.Roles))))</f>
        <v>Business Development Executive</v>
      </c>
      <c r="H367" s="16" t="str" cm="1">
        <f t="array" ref="H367" ca="1">INDEX(Lookup!$B$2:$B$7,RANDBETWEEN(1,6))</f>
        <v>Dublin</v>
      </c>
      <c r="I367" s="22">
        <f t="shared" ca="1" si="71"/>
        <v>44087</v>
      </c>
      <c r="J367" s="22" t="str">
        <f t="shared" ca="1" si="72"/>
        <v/>
      </c>
      <c r="K367" s="16" t="str">
        <f t="shared" ca="1" si="73"/>
        <v>Active</v>
      </c>
      <c r="L367" s="26">
        <f ca="1">_xlfn.XLOOKUP(G367,Lookup!$P$2:$P$28,Lookup!$Q$2:$Q$28)*(1+MIN(X367*3%,30%))</f>
        <v>59520</v>
      </c>
      <c r="M367" s="24">
        <f t="shared" ca="1" si="83"/>
        <v>4</v>
      </c>
      <c r="N367" s="24">
        <f t="shared" ca="1" si="74"/>
        <v>30</v>
      </c>
      <c r="O367" s="24">
        <f t="shared" ca="1" si="75"/>
        <v>18</v>
      </c>
      <c r="P367" s="24">
        <f t="shared" ca="1" si="76"/>
        <v>55</v>
      </c>
      <c r="Q367" s="16" t="str">
        <f t="shared" ca="1" si="77"/>
        <v>Promoted</v>
      </c>
      <c r="R367" s="16" t="str" cm="1">
        <f t="array" ref="R367" ca="1">INDEX(Lookup!$E$2:$E$6,RANDBETWEEN(1,5))</f>
        <v>Dipolma</v>
      </c>
      <c r="S367" s="16" t="str" cm="1">
        <f t="array" ref="S367" ca="1">INDEX(Lookup!$J$2:$J$11,RANDBETWEEN(1,10))</f>
        <v>Daniel Kelly</v>
      </c>
      <c r="T367" s="16" t="str">
        <f t="shared" ca="1" si="78"/>
        <v>emma.smith@hranalytics.com</v>
      </c>
      <c r="U367" s="16" t="str">
        <f t="shared" ca="1" si="79"/>
        <v>0888563685</v>
      </c>
      <c r="V367" s="16" t="str" cm="1">
        <f t="array" ref="V367" ca="1">_xlfn.LET(_xlpm.r,RANDBETWEEN(1,100),_xlfn.IFS(_xlpm.r&lt;=70,"Full-Time",_xlpm.r&lt;=85,"Part-Time",_xlpm.r&lt;=95,"Contract",TRUE,"Intern"))</f>
        <v>Full-Time</v>
      </c>
      <c r="W367" s="16" cm="1">
        <f t="array" ref="W367" ca="1">IF(K367&lt;&gt;"Active",0,_xlfn.IFS(M367=5,L367*15%,M367=4,L367*10%,M367=3,L367*5%,M367=2,L367*2%,TRUE,0))</f>
        <v>0</v>
      </c>
      <c r="X367" s="24">
        <f t="shared" ca="1" si="80"/>
        <v>5</v>
      </c>
      <c r="Y367" s="24">
        <f t="shared" ca="1" si="81"/>
        <v>2</v>
      </c>
    </row>
    <row r="368" spans="1:25">
      <c r="A368" s="16" t="str">
        <f t="shared" si="82"/>
        <v>EMP367</v>
      </c>
      <c r="B368" s="16" t="str" cm="1">
        <f t="array" ref="B368" ca="1">IF(D368="Male",INDEX(Lookup!$L$2:$L$13,RANDBETWEEN(1,12)),IF(D368="Female",INDEX(Lookup!$M$2:$M$13,RANDBETWEEN(1,12)),INDEX(Lookup!$N$2:$N$13,RANDBETWEEN(1,12))))</f>
        <v>Isabella</v>
      </c>
      <c r="C368" s="16" t="str" cm="1">
        <f t="array" ref="C368" ca="1">INDEX(Lookup!$K$2:$K$31,RANDBETWEEN(1,30))</f>
        <v>Baker</v>
      </c>
      <c r="D368" s="16" t="str" cm="1">
        <f t="array" ref="D368" ca="1">INDEX(Lookup!$H$2:$H$4,RANDBETWEEN(1,3))</f>
        <v>Female</v>
      </c>
      <c r="E368" s="16">
        <f t="shared" ca="1" si="70"/>
        <v>44</v>
      </c>
      <c r="F368" s="16" t="str" cm="1">
        <f t="array" ref="F368" ca="1">INDEX(Lookup!$A$2:$A$10,RANDBETWEEN(1,9))</f>
        <v>Customer Support</v>
      </c>
      <c r="G368" s="16" t="str" cm="1">
        <f t="array" ref="G368" ca="1">_xlfn.LET(_xlpm.Roles,_xlfn._xlws.FILTER(Lookup!$P$2:$P$28,Lookup!$O$2:$O$28=F368),INDEX(_xlpm.Roles,RANDBETWEEN(1,ROWS(_xlpm.Roles))))</f>
        <v>Customer Support Representative</v>
      </c>
      <c r="H368" s="16" t="str" cm="1">
        <f t="array" ref="H368" ca="1">INDEX(Lookup!$B$2:$B$7,RANDBETWEEN(1,6))</f>
        <v>Galway</v>
      </c>
      <c r="I368" s="22">
        <f t="shared" ca="1" si="71"/>
        <v>43245</v>
      </c>
      <c r="J368" s="22" t="str">
        <f t="shared" ca="1" si="72"/>
        <v/>
      </c>
      <c r="K368" s="16" t="str">
        <f t="shared" ca="1" si="73"/>
        <v>Active</v>
      </c>
      <c r="L368" s="26">
        <f ca="1">_xlfn.XLOOKUP(G368,Lookup!$P$2:$P$28,Lookup!$Q$2:$Q$28)*(1+MIN(X368*3%,30%))</f>
        <v>44640</v>
      </c>
      <c r="M368" s="24">
        <f t="shared" ca="1" si="83"/>
        <v>5</v>
      </c>
      <c r="N368" s="24">
        <f t="shared" ca="1" si="74"/>
        <v>48</v>
      </c>
      <c r="O368" s="24">
        <f t="shared" ca="1" si="75"/>
        <v>16</v>
      </c>
      <c r="P368" s="24">
        <f t="shared" ca="1" si="76"/>
        <v>12</v>
      </c>
      <c r="Q368" s="16" t="str">
        <f t="shared" ca="1" si="77"/>
        <v>Promoted</v>
      </c>
      <c r="R368" s="16" t="str" cm="1">
        <f t="array" ref="R368" ca="1">INDEX(Lookup!$E$2:$E$6,RANDBETWEEN(1,5))</f>
        <v>Bachelor's</v>
      </c>
      <c r="S368" s="16" t="str" cm="1">
        <f t="array" ref="S368" ca="1">INDEX(Lookup!$J$2:$J$11,RANDBETWEEN(1,10))</f>
        <v>Michael Brown</v>
      </c>
      <c r="T368" s="16" t="str">
        <f t="shared" ca="1" si="78"/>
        <v>isabella.baker@hranalytics.com</v>
      </c>
      <c r="U368" s="16" t="str">
        <f t="shared" ca="1" si="79"/>
        <v>0854937465</v>
      </c>
      <c r="V368" s="16" t="str" cm="1">
        <f t="array" ref="V368" ca="1">_xlfn.LET(_xlpm.r,RANDBETWEEN(1,100),_xlfn.IFS(_xlpm.r&lt;=70,"Full-Time",_xlpm.r&lt;=85,"Part-Time",_xlpm.r&lt;=95,"Contract",TRUE,"Intern"))</f>
        <v>Contract</v>
      </c>
      <c r="W368" s="16" cm="1">
        <f t="array" ref="W368" ca="1">IF(K368&lt;&gt;"Active",0,_xlfn.IFS(M368=5,L368*15%,M368=4,L368*10%,M368=3,L368*5%,M368=2,L368*2%,TRUE,0))</f>
        <v>2232</v>
      </c>
      <c r="X368" s="24">
        <f t="shared" ca="1" si="80"/>
        <v>8</v>
      </c>
      <c r="Y368" s="24">
        <f t="shared" ca="1" si="81"/>
        <v>2</v>
      </c>
    </row>
    <row r="369" spans="1:25">
      <c r="A369" s="16" t="str">
        <f t="shared" si="82"/>
        <v>EMP368</v>
      </c>
      <c r="B369" s="16" t="str" cm="1">
        <f t="array" ref="B369" ca="1">IF(D369="Male",INDEX(Lookup!$L$2:$L$13,RANDBETWEEN(1,12)),IF(D369="Female",INDEX(Lookup!$M$2:$M$13,RANDBETWEEN(1,12)),INDEX(Lookup!$N$2:$N$13,RANDBETWEEN(1,12))))</f>
        <v>Lucas</v>
      </c>
      <c r="C369" s="16" t="str" cm="1">
        <f t="array" ref="C369" ca="1">INDEX(Lookup!$K$2:$K$31,RANDBETWEEN(1,30))</f>
        <v>Baker</v>
      </c>
      <c r="D369" s="16" t="str" cm="1">
        <f t="array" ref="D369" ca="1">INDEX(Lookup!$H$2:$H$4,RANDBETWEEN(1,3))</f>
        <v>Male</v>
      </c>
      <c r="E369" s="16">
        <f t="shared" ca="1" si="70"/>
        <v>28</v>
      </c>
      <c r="F369" s="16" t="str" cm="1">
        <f t="array" ref="F369" ca="1">INDEX(Lookup!$A$2:$A$10,RANDBETWEEN(1,9))</f>
        <v>HR</v>
      </c>
      <c r="G369" s="16" t="str" cm="1">
        <f t="array" ref="G369" ca="1">_xlfn.LET(_xlpm.Roles,_xlfn._xlws.FILTER(Lookup!$P$2:$P$28,Lookup!$O$2:$O$28=F369),INDEX(_xlpm.Roles,RANDBETWEEN(1,ROWS(_xlpm.Roles))))</f>
        <v>HR Assistant</v>
      </c>
      <c r="H369" s="16" t="str" cm="1">
        <f t="array" ref="H369" ca="1">INDEX(Lookup!$B$2:$B$7,RANDBETWEEN(1,6))</f>
        <v>Cork</v>
      </c>
      <c r="I369" s="22">
        <f t="shared" ca="1" si="71"/>
        <v>43257</v>
      </c>
      <c r="J369" s="22" t="str">
        <f t="shared" ca="1" si="72"/>
        <v/>
      </c>
      <c r="K369" s="16" t="str">
        <f t="shared" ca="1" si="73"/>
        <v>Active</v>
      </c>
      <c r="L369" s="26">
        <f ca="1">_xlfn.XLOOKUP(G369,Lookup!$P$2:$P$28,Lookup!$Q$2:$Q$28)*(1+MIN(X369*3%,30%))</f>
        <v>40120</v>
      </c>
      <c r="M369" s="24">
        <f t="shared" ca="1" si="83"/>
        <v>3</v>
      </c>
      <c r="N369" s="24">
        <f t="shared" ca="1" si="74"/>
        <v>11</v>
      </c>
      <c r="O369" s="24">
        <f t="shared" ca="1" si="75"/>
        <v>19</v>
      </c>
      <c r="P369" s="24">
        <f t="shared" ca="1" si="76"/>
        <v>60</v>
      </c>
      <c r="Q369" s="16" t="str">
        <f t="shared" ca="1" si="77"/>
        <v>Promoted</v>
      </c>
      <c r="R369" s="16" t="str" cm="1">
        <f t="array" ref="R369" ca="1">INDEX(Lookup!$E$2:$E$6,RANDBETWEEN(1,5))</f>
        <v>Bachelor's</v>
      </c>
      <c r="S369" s="16" t="str" cm="1">
        <f t="array" ref="S369" ca="1">INDEX(Lookup!$J$2:$J$11,RANDBETWEEN(1,10))</f>
        <v>Michael Brown</v>
      </c>
      <c r="T369" s="16" t="str">
        <f t="shared" ca="1" si="78"/>
        <v>lucas.baker@hranalytics.com</v>
      </c>
      <c r="U369" s="16" t="str">
        <f t="shared" ca="1" si="79"/>
        <v>0892167042</v>
      </c>
      <c r="V369" s="16" t="str" cm="1">
        <f t="array" ref="V369" ca="1">_xlfn.LET(_xlpm.r,RANDBETWEEN(1,100),_xlfn.IFS(_xlpm.r&lt;=70,"Full-Time",_xlpm.r&lt;=85,"Part-Time",_xlpm.r&lt;=95,"Contract",TRUE,"Intern"))</f>
        <v>Part-Time</v>
      </c>
      <c r="W369" s="16" cm="1">
        <f t="array" ref="W369" ca="1">IF(K369&lt;&gt;"Active",0,_xlfn.IFS(M369=5,L369*15%,M369=4,L369*10%,M369=3,L369*5%,M369=2,L369*2%,TRUE,0))</f>
        <v>6018</v>
      </c>
      <c r="X369" s="24">
        <f t="shared" ca="1" si="80"/>
        <v>8</v>
      </c>
      <c r="Y369" s="24">
        <f t="shared" ca="1" si="81"/>
        <v>1</v>
      </c>
    </row>
    <row r="370" spans="1:25">
      <c r="A370" s="16" t="str">
        <f t="shared" si="82"/>
        <v>EMP369</v>
      </c>
      <c r="B370" s="16" t="str" cm="1">
        <f t="array" ref="B370" ca="1">IF(D370="Male",INDEX(Lookup!$L$2:$L$13,RANDBETWEEN(1,12)),IF(D370="Female",INDEX(Lookup!$M$2:$M$13,RANDBETWEEN(1,12)),INDEX(Lookup!$N$2:$N$13,RANDBETWEEN(1,12))))</f>
        <v>Ava</v>
      </c>
      <c r="C370" s="16" t="str" cm="1">
        <f t="array" ref="C370" ca="1">INDEX(Lookup!$K$2:$K$31,RANDBETWEEN(1,30))</f>
        <v>Moore</v>
      </c>
      <c r="D370" s="16" t="str" cm="1">
        <f t="array" ref="D370" ca="1">INDEX(Lookup!$H$2:$H$4,RANDBETWEEN(1,3))</f>
        <v>Female</v>
      </c>
      <c r="E370" s="16">
        <f t="shared" ca="1" si="70"/>
        <v>29</v>
      </c>
      <c r="F370" s="16" t="str" cm="1">
        <f t="array" ref="F370" ca="1">INDEX(Lookup!$A$2:$A$10,RANDBETWEEN(1,9))</f>
        <v>IT</v>
      </c>
      <c r="G370" s="16" t="str" cm="1">
        <f t="array" ref="G370" ca="1">_xlfn.LET(_xlpm.Roles,_xlfn._xlws.FILTER(Lookup!$P$2:$P$28,Lookup!$O$2:$O$28=F370),INDEX(_xlpm.Roles,RANDBETWEEN(1,ROWS(_xlpm.Roles))))</f>
        <v>Business Analyst</v>
      </c>
      <c r="H370" s="16" t="str" cm="1">
        <f t="array" ref="H370" ca="1">INDEX(Lookup!$B$2:$B$7,RANDBETWEEN(1,6))</f>
        <v>Dublin</v>
      </c>
      <c r="I370" s="22">
        <f t="shared" ca="1" si="71"/>
        <v>44422</v>
      </c>
      <c r="J370" s="22">
        <f t="shared" ca="1" si="72"/>
        <v>44815</v>
      </c>
      <c r="K370" s="16" t="str">
        <f t="shared" ca="1" si="73"/>
        <v>Resigned</v>
      </c>
      <c r="L370" s="26">
        <f ca="1">_xlfn.XLOOKUP(G370,Lookup!$P$2:$P$28,Lookup!$Q$2:$Q$28)*(1+MIN(X370*3%,30%))</f>
        <v>70800</v>
      </c>
      <c r="M370" s="24">
        <f t="shared" ca="1" si="83"/>
        <v>2</v>
      </c>
      <c r="N370" s="24">
        <f t="shared" ca="1" si="74"/>
        <v>3</v>
      </c>
      <c r="O370" s="24">
        <f t="shared" ca="1" si="75"/>
        <v>18</v>
      </c>
      <c r="P370" s="24">
        <f t="shared" ca="1" si="76"/>
        <v>17</v>
      </c>
      <c r="Q370" s="16" t="str">
        <f t="shared" ca="1" si="77"/>
        <v>Promoted</v>
      </c>
      <c r="R370" s="16" t="str" cm="1">
        <f t="array" ref="R370" ca="1">INDEX(Lookup!$E$2:$E$6,RANDBETWEEN(1,5))</f>
        <v>Dipolma</v>
      </c>
      <c r="S370" s="16" t="str" cm="1">
        <f t="array" ref="S370" ca="1">INDEX(Lookup!$J$2:$J$11,RANDBETWEEN(1,10))</f>
        <v>James Taylor</v>
      </c>
      <c r="T370" s="16" t="str">
        <f t="shared" ca="1" si="78"/>
        <v>ava.moore@hranalytics.com</v>
      </c>
      <c r="U370" s="16" t="str">
        <f t="shared" ca="1" si="79"/>
        <v>0834899093</v>
      </c>
      <c r="V370" s="16" t="str" cm="1">
        <f t="array" ref="V370" ca="1">_xlfn.LET(_xlpm.r,RANDBETWEEN(1,100),_xlfn.IFS(_xlpm.r&lt;=70,"Full-Time",_xlpm.r&lt;=85,"Part-Time",_xlpm.r&lt;=95,"Contract",TRUE,"Intern"))</f>
        <v>Full-Time</v>
      </c>
      <c r="W370" s="16" cm="1">
        <f t="array" ref="W370" ca="1">IF(K370&lt;&gt;"Active",0,_xlfn.IFS(M370=5,L370*15%,M370=4,L370*10%,M370=3,L370*5%,M370=2,L370*2%,TRUE,0))</f>
        <v>3540</v>
      </c>
      <c r="X370" s="24">
        <f t="shared" ca="1" si="80"/>
        <v>5</v>
      </c>
      <c r="Y370" s="24">
        <f t="shared" ca="1" si="81"/>
        <v>1</v>
      </c>
    </row>
    <row r="371" spans="1:25">
      <c r="A371" s="16" t="str">
        <f t="shared" si="82"/>
        <v>EMP370</v>
      </c>
      <c r="B371" s="16" t="str" cm="1">
        <f t="array" ref="B371" ca="1">IF(D371="Male",INDEX(Lookup!$L$2:$L$13,RANDBETWEEN(1,12)),IF(D371="Female",INDEX(Lookup!$M$2:$M$13,RANDBETWEEN(1,12)),INDEX(Lookup!$N$2:$N$13,RANDBETWEEN(1,12))))</f>
        <v>Emily</v>
      </c>
      <c r="C371" s="16" t="str" cm="1">
        <f t="array" ref="C371" ca="1">INDEX(Lookup!$K$2:$K$31,RANDBETWEEN(1,30))</f>
        <v>Collins</v>
      </c>
      <c r="D371" s="16" t="str" cm="1">
        <f t="array" ref="D371" ca="1">INDEX(Lookup!$H$2:$H$4,RANDBETWEEN(1,3))</f>
        <v>Female</v>
      </c>
      <c r="E371" s="16">
        <f t="shared" ca="1" si="70"/>
        <v>55</v>
      </c>
      <c r="F371" s="16" t="str" cm="1">
        <f t="array" ref="F371" ca="1">INDEX(Lookup!$A$2:$A$10,RANDBETWEEN(1,9))</f>
        <v>Marketing</v>
      </c>
      <c r="G371" s="16" t="str" cm="1">
        <f t="array" ref="G371" ca="1">_xlfn.LET(_xlpm.Roles,_xlfn._xlws.FILTER(Lookup!$P$2:$P$28,Lookup!$O$2:$O$28=F371),INDEX(_xlpm.Roles,RANDBETWEEN(1,ROWS(_xlpm.Roles))))</f>
        <v>Brand Executive</v>
      </c>
      <c r="H371" s="16" t="str" cm="1">
        <f t="array" ref="H371" ca="1">INDEX(Lookup!$B$2:$B$7,RANDBETWEEN(1,6))</f>
        <v>Limerick</v>
      </c>
      <c r="I371" s="22">
        <f t="shared" ca="1" si="71"/>
        <v>45389</v>
      </c>
      <c r="J371" s="22" t="str">
        <f t="shared" ca="1" si="72"/>
        <v/>
      </c>
      <c r="K371" s="16" t="str">
        <f t="shared" ca="1" si="73"/>
        <v>Active</v>
      </c>
      <c r="L371" s="26">
        <f ca="1">_xlfn.XLOOKUP(G371,Lookup!$P$2:$P$28,Lookup!$Q$2:$Q$28)*(1+MIN(X371*3%,30%))</f>
        <v>57040</v>
      </c>
      <c r="M371" s="24">
        <f t="shared" ca="1" si="83"/>
        <v>5</v>
      </c>
      <c r="N371" s="24">
        <f t="shared" ca="1" si="74"/>
        <v>52</v>
      </c>
      <c r="O371" s="24">
        <f t="shared" ca="1" si="75"/>
        <v>10</v>
      </c>
      <c r="P371" s="24">
        <f t="shared" ca="1" si="76"/>
        <v>28</v>
      </c>
      <c r="Q371" s="16" t="str">
        <f t="shared" ca="1" si="77"/>
        <v>Promoted</v>
      </c>
      <c r="R371" s="16" t="str" cm="1">
        <f t="array" ref="R371" ca="1">INDEX(Lookup!$E$2:$E$6,RANDBETWEEN(1,5))</f>
        <v>High School</v>
      </c>
      <c r="S371" s="16" t="str" cm="1">
        <f t="array" ref="S371" ca="1">INDEX(Lookup!$J$2:$J$11,RANDBETWEEN(1,10))</f>
        <v>Liam Byrne</v>
      </c>
      <c r="T371" s="16" t="str">
        <f t="shared" ca="1" si="78"/>
        <v>emily.collins@hranalytics.com</v>
      </c>
      <c r="U371" s="16" t="str">
        <f t="shared" ca="1" si="79"/>
        <v>0832131129</v>
      </c>
      <c r="V371" s="16" t="str" cm="1">
        <f t="array" ref="V371" ca="1">_xlfn.LET(_xlpm.r,RANDBETWEEN(1,100),_xlfn.IFS(_xlpm.r&lt;=70,"Full-Time",_xlpm.r&lt;=85,"Part-Time",_xlpm.r&lt;=95,"Contract",TRUE,"Intern"))</f>
        <v>Full-Time</v>
      </c>
      <c r="W371" s="16" cm="1">
        <f t="array" ref="W371" ca="1">IF(K371&lt;&gt;"Active",0,_xlfn.IFS(M371=5,L371*15%,M371=4,L371*10%,M371=3,L371*5%,M371=2,L371*2%,TRUE,0))</f>
        <v>0</v>
      </c>
      <c r="X371" s="24">
        <f t="shared" ca="1" si="80"/>
        <v>2</v>
      </c>
      <c r="Y371" s="24">
        <f t="shared" ca="1" si="81"/>
        <v>2</v>
      </c>
    </row>
    <row r="372" spans="1:25">
      <c r="A372" s="16" t="str">
        <f t="shared" si="82"/>
        <v>EMP371</v>
      </c>
      <c r="B372" s="16" t="str" cm="1">
        <f t="array" ref="B372" ca="1">IF(D372="Male",INDEX(Lookup!$L$2:$L$13,RANDBETWEEN(1,12)),IF(D372="Female",INDEX(Lookup!$M$2:$M$13,RANDBETWEEN(1,12)),INDEX(Lookup!$N$2:$N$13,RANDBETWEEN(1,12))))</f>
        <v>Oliver</v>
      </c>
      <c r="C372" s="16" t="str" cm="1">
        <f t="array" ref="C372" ca="1">INDEX(Lookup!$K$2:$K$31,RANDBETWEEN(1,30))</f>
        <v>Thomas</v>
      </c>
      <c r="D372" s="16" t="str" cm="1">
        <f t="array" ref="D372" ca="1">INDEX(Lookup!$H$2:$H$4,RANDBETWEEN(1,3))</f>
        <v>Male</v>
      </c>
      <c r="E372" s="16">
        <f t="shared" ca="1" si="70"/>
        <v>28</v>
      </c>
      <c r="F372" s="16" t="str" cm="1">
        <f t="array" ref="F372" ca="1">INDEX(Lookup!$A$2:$A$10,RANDBETWEEN(1,9))</f>
        <v>Operations</v>
      </c>
      <c r="G372" s="16" t="str" cm="1">
        <f t="array" ref="G372" ca="1">_xlfn.LET(_xlpm.Roles,_xlfn._xlws.FILTER(Lookup!$P$2:$P$28,Lookup!$O$2:$O$28=F372),INDEX(_xlpm.Roles,RANDBETWEEN(1,ROWS(_xlpm.Roles))))</f>
        <v>Operations Manager</v>
      </c>
      <c r="H372" s="16" t="str" cm="1">
        <f t="array" ref="H372" ca="1">INDEX(Lookup!$B$2:$B$7,RANDBETWEEN(1,6))</f>
        <v>Dublin</v>
      </c>
      <c r="I372" s="22">
        <f t="shared" ca="1" si="71"/>
        <v>43842</v>
      </c>
      <c r="J372" s="22" t="str">
        <f t="shared" ca="1" si="72"/>
        <v/>
      </c>
      <c r="K372" s="16" t="str">
        <f t="shared" ca="1" si="73"/>
        <v>Active</v>
      </c>
      <c r="L372" s="26">
        <f ca="1">_xlfn.XLOOKUP(G372,Lookup!$P$2:$P$28,Lookup!$Q$2:$Q$28)*(1+MIN(X372*3%,30%))</f>
        <v>69440</v>
      </c>
      <c r="M372" s="24">
        <f t="shared" ca="1" si="83"/>
        <v>4</v>
      </c>
      <c r="N372" s="24">
        <f t="shared" ca="1" si="74"/>
        <v>73</v>
      </c>
      <c r="O372" s="24">
        <f t="shared" ca="1" si="75"/>
        <v>4</v>
      </c>
      <c r="P372" s="24">
        <f t="shared" ca="1" si="76"/>
        <v>14</v>
      </c>
      <c r="Q372" s="16" t="str">
        <f t="shared" ca="1" si="77"/>
        <v>Promoted</v>
      </c>
      <c r="R372" s="16" t="str" cm="1">
        <f t="array" ref="R372" ca="1">INDEX(Lookup!$E$2:$E$6,RANDBETWEEN(1,5))</f>
        <v>PhD</v>
      </c>
      <c r="S372" s="16" t="str" cm="1">
        <f t="array" ref="S372" ca="1">INDEX(Lookup!$J$2:$J$11,RANDBETWEEN(1,10))</f>
        <v>Daniel Kelly</v>
      </c>
      <c r="T372" s="16" t="str">
        <f t="shared" ca="1" si="78"/>
        <v>oliver.thomas@hranalytics.com</v>
      </c>
      <c r="U372" s="16" t="str">
        <f t="shared" ca="1" si="79"/>
        <v>0832270698</v>
      </c>
      <c r="V372" s="16" t="str" cm="1">
        <f t="array" ref="V372" ca="1">_xlfn.LET(_xlpm.r,RANDBETWEEN(1,100),_xlfn.IFS(_xlpm.r&lt;=70,"Full-Time",_xlpm.r&lt;=85,"Part-Time",_xlpm.r&lt;=95,"Contract",TRUE,"Intern"))</f>
        <v>Full-Time</v>
      </c>
      <c r="W372" s="16" cm="1">
        <f t="array" ref="W372" ca="1">IF(K372&lt;&gt;"Active",0,_xlfn.IFS(M372=5,L372*15%,M372=4,L372*10%,M372=3,L372*5%,M372=2,L372*2%,TRUE,0))</f>
        <v>0</v>
      </c>
      <c r="X372" s="24">
        <f t="shared" ca="1" si="80"/>
        <v>6</v>
      </c>
      <c r="Y372" s="24">
        <f t="shared" ca="1" si="81"/>
        <v>3</v>
      </c>
    </row>
    <row r="373" spans="1:25">
      <c r="A373" s="16" t="str">
        <f t="shared" si="82"/>
        <v>EMP372</v>
      </c>
      <c r="B373" s="16" t="str" cm="1">
        <f t="array" ref="B373" ca="1">IF(D373="Male",INDEX(Lookup!$L$2:$L$13,RANDBETWEEN(1,12)),IF(D373="Female",INDEX(Lookup!$M$2:$M$13,RANDBETWEEN(1,12)),INDEX(Lookup!$N$2:$N$13,RANDBETWEEN(1,12))))</f>
        <v>James</v>
      </c>
      <c r="C373" s="16" t="str" cm="1">
        <f t="array" ref="C373" ca="1">INDEX(Lookup!$K$2:$K$31,RANDBETWEEN(1,30))</f>
        <v>Brown</v>
      </c>
      <c r="D373" s="16" t="str" cm="1">
        <f t="array" ref="D373" ca="1">INDEX(Lookup!$H$2:$H$4,RANDBETWEEN(1,3))</f>
        <v>Male</v>
      </c>
      <c r="E373" s="16">
        <f t="shared" ca="1" si="70"/>
        <v>34</v>
      </c>
      <c r="F373" s="16" t="str" cm="1">
        <f t="array" ref="F373" ca="1">INDEX(Lookup!$A$2:$A$10,RANDBETWEEN(1,9))</f>
        <v>Sales</v>
      </c>
      <c r="G373" s="16" t="str" cm="1">
        <f t="array" ref="G373" ca="1">_xlfn.LET(_xlpm.Roles,_xlfn._xlws.FILTER(Lookup!$P$2:$P$28,Lookup!$O$2:$O$28=F373),INDEX(_xlpm.Roles,RANDBETWEEN(1,ROWS(_xlpm.Roles))))</f>
        <v>Account Manager</v>
      </c>
      <c r="H373" s="16" t="str" cm="1">
        <f t="array" ref="H373" ca="1">INDEX(Lookup!$B$2:$B$7,RANDBETWEEN(1,6))</f>
        <v>Galway</v>
      </c>
      <c r="I373" s="22">
        <f t="shared" ca="1" si="71"/>
        <v>44114</v>
      </c>
      <c r="J373" s="22" t="str">
        <f t="shared" ca="1" si="72"/>
        <v/>
      </c>
      <c r="K373" s="16" t="str">
        <f t="shared" ca="1" si="73"/>
        <v>Active</v>
      </c>
      <c r="L373" s="26">
        <f ca="1">_xlfn.XLOOKUP(G373,Lookup!$P$2:$P$28,Lookup!$Q$2:$Q$28)*(1+MIN(X373*3%,30%))</f>
        <v>63250</v>
      </c>
      <c r="M373" s="24">
        <f t="shared" ca="1" si="83"/>
        <v>2</v>
      </c>
      <c r="N373" s="24">
        <f t="shared" ca="1" si="74"/>
        <v>18</v>
      </c>
      <c r="O373" s="24">
        <f t="shared" ca="1" si="75"/>
        <v>3</v>
      </c>
      <c r="P373" s="24">
        <f t="shared" ca="1" si="76"/>
        <v>39</v>
      </c>
      <c r="Q373" s="16" t="str">
        <f t="shared" ca="1" si="77"/>
        <v>Promoted</v>
      </c>
      <c r="R373" s="16" t="str" cm="1">
        <f t="array" ref="R373" ca="1">INDEX(Lookup!$E$2:$E$6,RANDBETWEEN(1,5))</f>
        <v>Master's</v>
      </c>
      <c r="S373" s="16" t="str" cm="1">
        <f t="array" ref="S373" ca="1">INDEX(Lookup!$J$2:$J$11,RANDBETWEEN(1,10))</f>
        <v>Daniel Kelly</v>
      </c>
      <c r="T373" s="16" t="str">
        <f t="shared" ca="1" si="78"/>
        <v>james.brown@hranalytics.com</v>
      </c>
      <c r="U373" s="16" t="str">
        <f t="shared" ca="1" si="79"/>
        <v>0843299460</v>
      </c>
      <c r="V373" s="16" t="str" cm="1">
        <f t="array" ref="V373" ca="1">_xlfn.LET(_xlpm.r,RANDBETWEEN(1,100),_xlfn.IFS(_xlpm.r&lt;=70,"Full-Time",_xlpm.r&lt;=85,"Part-Time",_xlpm.r&lt;=95,"Contract",TRUE,"Intern"))</f>
        <v>Full-Time</v>
      </c>
      <c r="W373" s="16" cm="1">
        <f t="array" ref="W373" ca="1">IF(K373&lt;&gt;"Active",0,_xlfn.IFS(M373=5,L373*15%,M373=4,L373*10%,M373=3,L373*5%,M373=2,L373*2%,TRUE,0))</f>
        <v>0</v>
      </c>
      <c r="X373" s="24">
        <f t="shared" ca="1" si="80"/>
        <v>5</v>
      </c>
      <c r="Y373" s="24">
        <f t="shared" ca="1" si="81"/>
        <v>3</v>
      </c>
    </row>
    <row r="374" spans="1:25">
      <c r="A374" s="16" t="str">
        <f t="shared" si="82"/>
        <v>EMP373</v>
      </c>
      <c r="B374" s="16" t="str" cm="1">
        <f t="array" ref="B374" ca="1">IF(D374="Male",INDEX(Lookup!$L$2:$L$13,RANDBETWEEN(1,12)),IF(D374="Female",INDEX(Lookup!$M$2:$M$13,RANDBETWEEN(1,12)),INDEX(Lookup!$N$2:$N$13,RANDBETWEEN(1,12))))</f>
        <v>Quinn</v>
      </c>
      <c r="C374" s="16" t="str" cm="1">
        <f t="array" ref="C374" ca="1">INDEX(Lookup!$K$2:$K$31,RANDBETWEEN(1,30))</f>
        <v>Cooper</v>
      </c>
      <c r="D374" s="16" t="str" cm="1">
        <f t="array" ref="D374" ca="1">INDEX(Lookup!$H$2:$H$4,RANDBETWEEN(1,3))</f>
        <v>Other</v>
      </c>
      <c r="E374" s="16">
        <f t="shared" ca="1" si="70"/>
        <v>33</v>
      </c>
      <c r="F374" s="16" t="str" cm="1">
        <f t="array" ref="F374" ca="1">INDEX(Lookup!$A$2:$A$10,RANDBETWEEN(1,9))</f>
        <v>Sales</v>
      </c>
      <c r="G374" s="16" t="str" cm="1">
        <f t="array" ref="G374" ca="1">_xlfn.LET(_xlpm.Roles,_xlfn._xlws.FILTER(Lookup!$P$2:$P$28,Lookup!$O$2:$O$28=F374),INDEX(_xlpm.Roles,RANDBETWEEN(1,ROWS(_xlpm.Roles))))</f>
        <v>Account Manager</v>
      </c>
      <c r="H374" s="16" t="str" cm="1">
        <f t="array" ref="H374" ca="1">INDEX(Lookup!$B$2:$B$7,RANDBETWEEN(1,6))</f>
        <v>Limerick</v>
      </c>
      <c r="I374" s="22">
        <f t="shared" ca="1" si="71"/>
        <v>43440</v>
      </c>
      <c r="J374" s="22" t="str">
        <f t="shared" ca="1" si="72"/>
        <v/>
      </c>
      <c r="K374" s="16" t="str">
        <f t="shared" ca="1" si="73"/>
        <v>Active</v>
      </c>
      <c r="L374" s="26">
        <f ca="1">_xlfn.XLOOKUP(G374,Lookup!$P$2:$P$28,Lookup!$Q$2:$Q$28)*(1+MIN(X374*3%,30%))</f>
        <v>59950</v>
      </c>
      <c r="M374" s="24">
        <f t="shared" ca="1" si="83"/>
        <v>3</v>
      </c>
      <c r="N374" s="24">
        <f t="shared" ca="1" si="74"/>
        <v>2</v>
      </c>
      <c r="O374" s="24">
        <f t="shared" ca="1" si="75"/>
        <v>13</v>
      </c>
      <c r="P374" s="24">
        <f t="shared" ca="1" si="76"/>
        <v>37</v>
      </c>
      <c r="Q374" s="16" t="str">
        <f t="shared" ca="1" si="77"/>
        <v>Not Promoted</v>
      </c>
      <c r="R374" s="16" t="str" cm="1">
        <f t="array" ref="R374" ca="1">INDEX(Lookup!$E$2:$E$6,RANDBETWEEN(1,5))</f>
        <v>High School</v>
      </c>
      <c r="S374" s="16" t="str" cm="1">
        <f t="array" ref="S374" ca="1">INDEX(Lookup!$J$2:$J$11,RANDBETWEEN(1,10))</f>
        <v>Liam Byrne</v>
      </c>
      <c r="T374" s="16" t="str">
        <f t="shared" ca="1" si="78"/>
        <v>quinn.cooper@hranalytics.com</v>
      </c>
      <c r="U374" s="16" t="str">
        <f t="shared" ca="1" si="79"/>
        <v>0894360481</v>
      </c>
      <c r="V374" s="16" t="str" cm="1">
        <f t="array" ref="V374" ca="1">_xlfn.LET(_xlpm.r,RANDBETWEEN(1,100),_xlfn.IFS(_xlpm.r&lt;=70,"Full-Time",_xlpm.r&lt;=85,"Part-Time",_xlpm.r&lt;=95,"Contract",TRUE,"Intern"))</f>
        <v>Full-Time</v>
      </c>
      <c r="W374" s="16" cm="1">
        <f t="array" ref="W374" ca="1">IF(K374&lt;&gt;"Active",0,_xlfn.IFS(M374=5,L374*15%,M374=4,L374*10%,M374=3,L374*5%,M374=2,L374*2%,TRUE,0))</f>
        <v>0</v>
      </c>
      <c r="X374" s="24">
        <f t="shared" ca="1" si="80"/>
        <v>7</v>
      </c>
      <c r="Y374" s="24">
        <f t="shared" ca="1" si="81"/>
        <v>2</v>
      </c>
    </row>
    <row r="375" spans="1:25">
      <c r="A375" s="16" t="str">
        <f t="shared" si="82"/>
        <v>EMP374</v>
      </c>
      <c r="B375" s="16" t="str" cm="1">
        <f t="array" ref="B375" ca="1">IF(D375="Male",INDEX(Lookup!$L$2:$L$13,RANDBETWEEN(1,12)),IF(D375="Female",INDEX(Lookup!$M$2:$M$13,RANDBETWEEN(1,12)),INDEX(Lookup!$N$2:$N$13,RANDBETWEEN(1,12))))</f>
        <v>Emily</v>
      </c>
      <c r="C375" s="16" t="str" cm="1">
        <f t="array" ref="C375" ca="1">INDEX(Lookup!$K$2:$K$31,RANDBETWEEN(1,30))</f>
        <v>Moore</v>
      </c>
      <c r="D375" s="16" t="str" cm="1">
        <f t="array" ref="D375" ca="1">INDEX(Lookup!$H$2:$H$4,RANDBETWEEN(1,3))</f>
        <v>Female</v>
      </c>
      <c r="E375" s="16">
        <f t="shared" ca="1" si="70"/>
        <v>44</v>
      </c>
      <c r="F375" s="16" t="str" cm="1">
        <f t="array" ref="F375" ca="1">INDEX(Lookup!$A$2:$A$10,RANDBETWEEN(1,9))</f>
        <v>Procurement</v>
      </c>
      <c r="G375" s="16" t="str" cm="1">
        <f t="array" ref="G375" ca="1">_xlfn.LET(_xlpm.Roles,_xlfn._xlws.FILTER(Lookup!$P$2:$P$28,Lookup!$O$2:$O$28=F375),INDEX(_xlpm.Roles,RANDBETWEEN(1,ROWS(_xlpm.Roles))))</f>
        <v>Procurement Officer</v>
      </c>
      <c r="H375" s="16" t="str" cm="1">
        <f t="array" ref="H375" ca="1">INDEX(Lookup!$B$2:$B$7,RANDBETWEEN(1,6))</f>
        <v>Cork</v>
      </c>
      <c r="I375" s="22">
        <f t="shared" ca="1" si="71"/>
        <v>45543</v>
      </c>
      <c r="J375" s="22" t="str">
        <f t="shared" ca="1" si="72"/>
        <v/>
      </c>
      <c r="K375" s="16" t="str">
        <f t="shared" ca="1" si="73"/>
        <v>Active</v>
      </c>
      <c r="L375" s="26">
        <f ca="1">_xlfn.XLOOKUP(G375,Lookup!$P$2:$P$28,Lookup!$Q$2:$Q$28)*(1+MIN(X375*3%,30%))</f>
        <v>53100</v>
      </c>
      <c r="M375" s="24">
        <f t="shared" ca="1" si="83"/>
        <v>2</v>
      </c>
      <c r="N375" s="24">
        <f t="shared" ca="1" si="74"/>
        <v>16</v>
      </c>
      <c r="O375" s="24">
        <f t="shared" ca="1" si="75"/>
        <v>6</v>
      </c>
      <c r="P375" s="24">
        <f t="shared" ca="1" si="76"/>
        <v>53</v>
      </c>
      <c r="Q375" s="16" t="str">
        <f t="shared" ca="1" si="77"/>
        <v>Promoted</v>
      </c>
      <c r="R375" s="16" t="str" cm="1">
        <f t="array" ref="R375" ca="1">INDEX(Lookup!$E$2:$E$6,RANDBETWEEN(1,5))</f>
        <v>Master's</v>
      </c>
      <c r="S375" s="16" t="str" cm="1">
        <f t="array" ref="S375" ca="1">INDEX(Lookup!$J$2:$J$11,RANDBETWEEN(1,10))</f>
        <v>Michael Brown</v>
      </c>
      <c r="T375" s="16" t="str">
        <f t="shared" ca="1" si="78"/>
        <v>emily.moore@hranalytics.com</v>
      </c>
      <c r="U375" s="16" t="str">
        <f t="shared" ca="1" si="79"/>
        <v>0854595258</v>
      </c>
      <c r="V375" s="16" t="str" cm="1">
        <f t="array" ref="V375" ca="1">_xlfn.LET(_xlpm.r,RANDBETWEEN(1,100),_xlfn.IFS(_xlpm.r&lt;=70,"Full-Time",_xlpm.r&lt;=85,"Part-Time",_xlpm.r&lt;=95,"Contract",TRUE,"Intern"))</f>
        <v>Contract</v>
      </c>
      <c r="W375" s="16" cm="1">
        <f t="array" ref="W375" ca="1">IF(K375&lt;&gt;"Active",0,_xlfn.IFS(M375=5,L375*15%,M375=4,L375*10%,M375=3,L375*5%,M375=2,L375*2%,TRUE,0))</f>
        <v>1062</v>
      </c>
      <c r="X375" s="24">
        <f t="shared" ca="1" si="80"/>
        <v>1</v>
      </c>
      <c r="Y375" s="24">
        <f t="shared" ca="1" si="81"/>
        <v>1</v>
      </c>
    </row>
    <row r="376" spans="1:25">
      <c r="A376" s="16" t="str">
        <f t="shared" si="82"/>
        <v>EMP375</v>
      </c>
      <c r="B376" s="16" t="str" cm="1">
        <f t="array" ref="B376" ca="1">IF(D376="Male",INDEX(Lookup!$L$2:$L$13,RANDBETWEEN(1,12)),IF(D376="Female",INDEX(Lookup!$M$2:$M$13,RANDBETWEEN(1,12)),INDEX(Lookup!$N$2:$N$13,RANDBETWEEN(1,12))))</f>
        <v>Ava</v>
      </c>
      <c r="C376" s="16" t="str" cm="1">
        <f t="array" ref="C376" ca="1">INDEX(Lookup!$K$2:$K$31,RANDBETWEEN(1,30))</f>
        <v>Wilson</v>
      </c>
      <c r="D376" s="16" t="str" cm="1">
        <f t="array" ref="D376" ca="1">INDEX(Lookup!$H$2:$H$4,RANDBETWEEN(1,3))</f>
        <v>Female</v>
      </c>
      <c r="E376" s="16">
        <f t="shared" ca="1" si="70"/>
        <v>25</v>
      </c>
      <c r="F376" s="16" t="str" cm="1">
        <f t="array" ref="F376" ca="1">INDEX(Lookup!$A$2:$A$10,RANDBETWEEN(1,9))</f>
        <v>Operations</v>
      </c>
      <c r="G376" s="16" t="str" cm="1">
        <f t="array" ref="G376" ca="1">_xlfn.LET(_xlpm.Roles,_xlfn._xlws.FILTER(Lookup!$P$2:$P$28,Lookup!$O$2:$O$28=F376),INDEX(_xlpm.Roles,RANDBETWEEN(1,ROWS(_xlpm.Roles))))</f>
        <v>Operations Executive</v>
      </c>
      <c r="H376" s="16" t="str" cm="1">
        <f t="array" ref="H376" ca="1">INDEX(Lookup!$B$2:$B$7,RANDBETWEEN(1,6))</f>
        <v>Limerick</v>
      </c>
      <c r="I376" s="22">
        <f t="shared" ca="1" si="71"/>
        <v>43704</v>
      </c>
      <c r="J376" s="22" t="str">
        <f t="shared" ca="1" si="72"/>
        <v/>
      </c>
      <c r="K376" s="16" t="str">
        <f t="shared" ca="1" si="73"/>
        <v>Active</v>
      </c>
      <c r="L376" s="26">
        <f ca="1">_xlfn.XLOOKUP(G376,Lookup!$P$2:$P$28,Lookup!$Q$2:$Q$28)*(1+MIN(X376*3%,30%))</f>
        <v>45780</v>
      </c>
      <c r="M376" s="24">
        <f t="shared" ca="1" si="83"/>
        <v>3</v>
      </c>
      <c r="N376" s="24">
        <f t="shared" ca="1" si="74"/>
        <v>14</v>
      </c>
      <c r="O376" s="24">
        <f t="shared" ca="1" si="75"/>
        <v>12</v>
      </c>
      <c r="P376" s="24">
        <f t="shared" ca="1" si="76"/>
        <v>2</v>
      </c>
      <c r="Q376" s="16" t="str">
        <f t="shared" ca="1" si="77"/>
        <v>Promoted</v>
      </c>
      <c r="R376" s="16" t="str" cm="1">
        <f t="array" ref="R376" ca="1">INDEX(Lookup!$E$2:$E$6,RANDBETWEEN(1,5))</f>
        <v>Dipolma</v>
      </c>
      <c r="S376" s="16" t="str" cm="1">
        <f t="array" ref="S376" ca="1">INDEX(Lookup!$J$2:$J$11,RANDBETWEEN(1,10))</f>
        <v>Michael Brown</v>
      </c>
      <c r="T376" s="16" t="str">
        <f t="shared" ca="1" si="78"/>
        <v>ava.wilson@hranalytics.com</v>
      </c>
      <c r="U376" s="16" t="str">
        <f t="shared" ca="1" si="79"/>
        <v>0883546901</v>
      </c>
      <c r="V376" s="16" t="str" cm="1">
        <f t="array" ref="V376" ca="1">_xlfn.LET(_xlpm.r,RANDBETWEEN(1,100),_xlfn.IFS(_xlpm.r&lt;=70,"Full-Time",_xlpm.r&lt;=85,"Part-Time",_xlpm.r&lt;=95,"Contract",TRUE,"Intern"))</f>
        <v>Intern</v>
      </c>
      <c r="W376" s="16" cm="1">
        <f t="array" ref="W376" ca="1">IF(K376&lt;&gt;"Active",0,_xlfn.IFS(M376=5,L376*15%,M376=4,L376*10%,M376=3,L376*5%,M376=2,L376*2%,TRUE,0))</f>
        <v>2289</v>
      </c>
      <c r="X376" s="24">
        <f t="shared" ca="1" si="80"/>
        <v>7</v>
      </c>
      <c r="Y376" s="24">
        <f t="shared" ca="1" si="81"/>
        <v>2</v>
      </c>
    </row>
    <row r="377" spans="1:25">
      <c r="A377" s="16" t="str">
        <f t="shared" si="82"/>
        <v>EMP376</v>
      </c>
      <c r="B377" s="16" t="str" cm="1">
        <f t="array" ref="B377" ca="1">IF(D377="Male",INDEX(Lookup!$L$2:$L$13,RANDBETWEEN(1,12)),IF(D377="Female",INDEX(Lookup!$M$2:$M$13,RANDBETWEEN(1,12)),INDEX(Lookup!$N$2:$N$13,RANDBETWEEN(1,12))))</f>
        <v>Cameron</v>
      </c>
      <c r="C377" s="16" t="str" cm="1">
        <f t="array" ref="C377" ca="1">INDEX(Lookup!$K$2:$K$31,RANDBETWEEN(1,30))</f>
        <v>Hill</v>
      </c>
      <c r="D377" s="16" t="str" cm="1">
        <f t="array" ref="D377" ca="1">INDEX(Lookup!$H$2:$H$4,RANDBETWEEN(1,3))</f>
        <v>Other</v>
      </c>
      <c r="E377" s="16">
        <f t="shared" ca="1" si="70"/>
        <v>22</v>
      </c>
      <c r="F377" s="16" t="str" cm="1">
        <f t="array" ref="F377" ca="1">INDEX(Lookup!$A$2:$A$10,RANDBETWEEN(1,9))</f>
        <v>Operations</v>
      </c>
      <c r="G377" s="16" t="str" cm="1">
        <f t="array" ref="G377" ca="1">_xlfn.LET(_xlpm.Roles,_xlfn._xlws.FILTER(Lookup!$P$2:$P$28,Lookup!$O$2:$O$28=F377),INDEX(_xlpm.Roles,RANDBETWEEN(1,ROWS(_xlpm.Roles))))</f>
        <v>Operations Manager</v>
      </c>
      <c r="H377" s="16" t="str" cm="1">
        <f t="array" ref="H377" ca="1">INDEX(Lookup!$B$2:$B$7,RANDBETWEEN(1,6))</f>
        <v>Cork</v>
      </c>
      <c r="I377" s="22">
        <f t="shared" ca="1" si="71"/>
        <v>43415</v>
      </c>
      <c r="J377" s="22">
        <f t="shared" ca="1" si="72"/>
        <v>43663</v>
      </c>
      <c r="K377" s="16" t="str">
        <f t="shared" ca="1" si="73"/>
        <v>Resigned</v>
      </c>
      <c r="L377" s="26">
        <f ca="1">_xlfn.XLOOKUP(G377,Lookup!$P$2:$P$28,Lookup!$Q$2:$Q$28)*(1+MIN(X377*3%,30%))</f>
        <v>63860</v>
      </c>
      <c r="M377" s="24">
        <f t="shared" ca="1" si="83"/>
        <v>3</v>
      </c>
      <c r="N377" s="24">
        <f t="shared" ca="1" si="74"/>
        <v>54</v>
      </c>
      <c r="O377" s="24">
        <f t="shared" ca="1" si="75"/>
        <v>6</v>
      </c>
      <c r="P377" s="24">
        <f t="shared" ca="1" si="76"/>
        <v>25</v>
      </c>
      <c r="Q377" s="16" t="str">
        <f t="shared" ca="1" si="77"/>
        <v>Not Promoted</v>
      </c>
      <c r="R377" s="16" t="str" cm="1">
        <f t="array" ref="R377" ca="1">INDEX(Lookup!$E$2:$E$6,RANDBETWEEN(1,5))</f>
        <v>Master's</v>
      </c>
      <c r="S377" s="16" t="str" cm="1">
        <f t="array" ref="S377" ca="1">INDEX(Lookup!$J$2:$J$11,RANDBETWEEN(1,10))</f>
        <v>Sophia Martin</v>
      </c>
      <c r="T377" s="16" t="str">
        <f t="shared" ca="1" si="78"/>
        <v>cameron.hill@hranalytics.com</v>
      </c>
      <c r="U377" s="16" t="str">
        <f t="shared" ca="1" si="79"/>
        <v>0884429453</v>
      </c>
      <c r="V377" s="16" t="str" cm="1">
        <f t="array" ref="V377" ca="1">_xlfn.LET(_xlpm.r,RANDBETWEEN(1,100),_xlfn.IFS(_xlpm.r&lt;=70,"Full-Time",_xlpm.r&lt;=85,"Part-Time",_xlpm.r&lt;=95,"Contract",TRUE,"Intern"))</f>
        <v>Full-Time</v>
      </c>
      <c r="W377" s="16" cm="1">
        <f t="array" ref="W377" ca="1">IF(K377&lt;&gt;"Active",0,_xlfn.IFS(M377=5,L377*15%,M377=4,L377*10%,M377=3,L377*5%,M377=2,L377*2%,TRUE,0))</f>
        <v>0</v>
      </c>
      <c r="X377" s="24">
        <f t="shared" ca="1" si="80"/>
        <v>7</v>
      </c>
      <c r="Y377" s="24">
        <f t="shared" ca="1" si="81"/>
        <v>1</v>
      </c>
    </row>
    <row r="378" spans="1:25">
      <c r="A378" s="16" t="str">
        <f t="shared" si="82"/>
        <v>EMP377</v>
      </c>
      <c r="B378" s="16" t="str" cm="1">
        <f t="array" ref="B378" ca="1">IF(D378="Male",INDEX(Lookup!$L$2:$L$13,RANDBETWEEN(1,12)),IF(D378="Female",INDEX(Lookup!$M$2:$M$13,RANDBETWEEN(1,12)),INDEX(Lookup!$N$2:$N$13,RANDBETWEEN(1,12))))</f>
        <v>Mia</v>
      </c>
      <c r="C378" s="16" t="str" cm="1">
        <f t="array" ref="C378" ca="1">INDEX(Lookup!$K$2:$K$31,RANDBETWEEN(1,30))</f>
        <v>Campbell</v>
      </c>
      <c r="D378" s="16" t="str" cm="1">
        <f t="array" ref="D378" ca="1">INDEX(Lookup!$H$2:$H$4,RANDBETWEEN(1,3))</f>
        <v>Female</v>
      </c>
      <c r="E378" s="16">
        <f t="shared" ca="1" si="70"/>
        <v>48</v>
      </c>
      <c r="F378" s="16" t="str" cm="1">
        <f t="array" ref="F378" ca="1">INDEX(Lookup!$A$2:$A$10,RANDBETWEEN(1,9))</f>
        <v>Procurement</v>
      </c>
      <c r="G378" s="16" t="str" cm="1">
        <f t="array" ref="G378" ca="1">_xlfn.LET(_xlpm.Roles,_xlfn._xlws.FILTER(Lookup!$P$2:$P$28,Lookup!$O$2:$O$28=F378),INDEX(_xlpm.Roles,RANDBETWEEN(1,ROWS(_xlpm.Roles))))</f>
        <v>Procurement Officer</v>
      </c>
      <c r="H378" s="16" t="str" cm="1">
        <f t="array" ref="H378" ca="1">INDEX(Lookup!$B$2:$B$7,RANDBETWEEN(1,6))</f>
        <v>Limerick</v>
      </c>
      <c r="I378" s="22">
        <f t="shared" ca="1" si="71"/>
        <v>43988</v>
      </c>
      <c r="J378" s="22" t="str">
        <f t="shared" ca="1" si="72"/>
        <v/>
      </c>
      <c r="K378" s="16" t="str">
        <f t="shared" ca="1" si="73"/>
        <v>Active</v>
      </c>
      <c r="L378" s="26">
        <f ca="1">_xlfn.XLOOKUP(G378,Lookup!$P$2:$P$28,Lookup!$Q$2:$Q$28)*(1+MIN(X378*3%,30%))</f>
        <v>50400</v>
      </c>
      <c r="M378" s="24">
        <f t="shared" ca="1" si="83"/>
        <v>5</v>
      </c>
      <c r="N378" s="24">
        <f t="shared" ca="1" si="74"/>
        <v>11</v>
      </c>
      <c r="O378" s="24">
        <f t="shared" ca="1" si="75"/>
        <v>3</v>
      </c>
      <c r="P378" s="24">
        <f t="shared" ca="1" si="76"/>
        <v>10</v>
      </c>
      <c r="Q378" s="16" t="str">
        <f t="shared" ca="1" si="77"/>
        <v>Promoted</v>
      </c>
      <c r="R378" s="16" t="str" cm="1">
        <f t="array" ref="R378" ca="1">INDEX(Lookup!$E$2:$E$6,RANDBETWEEN(1,5))</f>
        <v>PhD</v>
      </c>
      <c r="S378" s="16" t="str" cm="1">
        <f t="array" ref="S378" ca="1">INDEX(Lookup!$J$2:$J$11,RANDBETWEEN(1,10))</f>
        <v>Grace O'Connor</v>
      </c>
      <c r="T378" s="16" t="str">
        <f t="shared" ca="1" si="78"/>
        <v>mia.campbell@hranalytics.com</v>
      </c>
      <c r="U378" s="16" t="str">
        <f t="shared" ca="1" si="79"/>
        <v>0856647263</v>
      </c>
      <c r="V378" s="16" t="str" cm="1">
        <f t="array" ref="V378" ca="1">_xlfn.LET(_xlpm.r,RANDBETWEEN(1,100),_xlfn.IFS(_xlpm.r&lt;=70,"Full-Time",_xlpm.r&lt;=85,"Part-Time",_xlpm.r&lt;=95,"Contract",TRUE,"Intern"))</f>
        <v>Full-Time</v>
      </c>
      <c r="W378" s="16" cm="1">
        <f t="array" ref="W378" ca="1">IF(K378&lt;&gt;"Active",0,_xlfn.IFS(M378=5,L378*15%,M378=4,L378*10%,M378=3,L378*5%,M378=2,L378*2%,TRUE,0))</f>
        <v>7560</v>
      </c>
      <c r="X378" s="24">
        <f t="shared" ca="1" si="80"/>
        <v>6</v>
      </c>
      <c r="Y378" s="24">
        <f t="shared" ca="1" si="81"/>
        <v>3</v>
      </c>
    </row>
    <row r="379" spans="1:25">
      <c r="A379" s="16" t="str">
        <f t="shared" si="82"/>
        <v>EMP378</v>
      </c>
      <c r="B379" s="16" t="str" cm="1">
        <f t="array" ref="B379" ca="1">IF(D379="Male",INDEX(Lookup!$L$2:$L$13,RANDBETWEEN(1,12)),IF(D379="Female",INDEX(Lookup!$M$2:$M$13,RANDBETWEEN(1,12)),INDEX(Lookup!$N$2:$N$13,RANDBETWEEN(1,12))))</f>
        <v>Jamie</v>
      </c>
      <c r="C379" s="16" t="str" cm="1">
        <f t="array" ref="C379" ca="1">INDEX(Lookup!$K$2:$K$31,RANDBETWEEN(1,30))</f>
        <v>White</v>
      </c>
      <c r="D379" s="16" t="str" cm="1">
        <f t="array" ref="D379" ca="1">INDEX(Lookup!$H$2:$H$4,RANDBETWEEN(1,3))</f>
        <v>Other</v>
      </c>
      <c r="E379" s="16">
        <f t="shared" ca="1" si="70"/>
        <v>52</v>
      </c>
      <c r="F379" s="16" t="str" cm="1">
        <f t="array" ref="F379" ca="1">INDEX(Lookup!$A$2:$A$10,RANDBETWEEN(1,9))</f>
        <v>Legal</v>
      </c>
      <c r="G379" s="16" t="str" cm="1">
        <f t="array" ref="G379" ca="1">_xlfn.LET(_xlpm.Roles,_xlfn._xlws.FILTER(Lookup!$P$2:$P$28,Lookup!$O$2:$O$28=F379),INDEX(_xlpm.Roles,RANDBETWEEN(1,ROWS(_xlpm.Roles))))</f>
        <v>Legal Executive</v>
      </c>
      <c r="H379" s="16" t="str" cm="1">
        <f t="array" ref="H379" ca="1">INDEX(Lookup!$B$2:$B$7,RANDBETWEEN(1,6))</f>
        <v>Cork</v>
      </c>
      <c r="I379" s="22">
        <f t="shared" ca="1" si="71"/>
        <v>43505</v>
      </c>
      <c r="J379" s="22" t="str">
        <f t="shared" ca="1" si="72"/>
        <v/>
      </c>
      <c r="K379" s="16" t="str">
        <f t="shared" ca="1" si="73"/>
        <v>Active</v>
      </c>
      <c r="L379" s="26">
        <f ca="1">_xlfn.XLOOKUP(G379,Lookup!$P$2:$P$28,Lookup!$Q$2:$Q$28)*(1+MIN(X379*3%,30%))</f>
        <v>61360</v>
      </c>
      <c r="M379" s="24">
        <f t="shared" ca="1" si="83"/>
        <v>3</v>
      </c>
      <c r="N379" s="24">
        <f t="shared" ca="1" si="74"/>
        <v>70</v>
      </c>
      <c r="O379" s="24">
        <f t="shared" ca="1" si="75"/>
        <v>4</v>
      </c>
      <c r="P379" s="24">
        <f t="shared" ca="1" si="76"/>
        <v>9</v>
      </c>
      <c r="Q379" s="16" t="str">
        <f t="shared" ca="1" si="77"/>
        <v>Promoted</v>
      </c>
      <c r="R379" s="16" t="str" cm="1">
        <f t="array" ref="R379" ca="1">INDEX(Lookup!$E$2:$E$6,RANDBETWEEN(1,5))</f>
        <v>High School</v>
      </c>
      <c r="S379" s="16" t="str" cm="1">
        <f t="array" ref="S379" ca="1">INDEX(Lookup!$J$2:$J$11,RANDBETWEEN(1,10))</f>
        <v>Liam Byrne</v>
      </c>
      <c r="T379" s="16" t="str">
        <f t="shared" ca="1" si="78"/>
        <v>jamie.white@hranalytics.com</v>
      </c>
      <c r="U379" s="16" t="str">
        <f t="shared" ca="1" si="79"/>
        <v>0892241062</v>
      </c>
      <c r="V379" s="16" t="str" cm="1">
        <f t="array" ref="V379" ca="1">_xlfn.LET(_xlpm.r,RANDBETWEEN(1,100),_xlfn.IFS(_xlpm.r&lt;=70,"Full-Time",_xlpm.r&lt;=85,"Part-Time",_xlpm.r&lt;=95,"Contract",TRUE,"Intern"))</f>
        <v>Intern</v>
      </c>
      <c r="W379" s="16" cm="1">
        <f t="array" ref="W379" ca="1">IF(K379&lt;&gt;"Active",0,_xlfn.IFS(M379=5,L379*15%,M379=4,L379*10%,M379=3,L379*5%,M379=2,L379*2%,TRUE,0))</f>
        <v>0</v>
      </c>
      <c r="X379" s="24">
        <f t="shared" ca="1" si="80"/>
        <v>7</v>
      </c>
      <c r="Y379" s="24">
        <f t="shared" ca="1" si="81"/>
        <v>3</v>
      </c>
    </row>
    <row r="380" spans="1:25">
      <c r="A380" s="16" t="str">
        <f t="shared" si="82"/>
        <v>EMP379</v>
      </c>
      <c r="B380" s="16" t="str" cm="1">
        <f t="array" ref="B380" ca="1">IF(D380="Male",INDEX(Lookup!$L$2:$L$13,RANDBETWEEN(1,12)),IF(D380="Female",INDEX(Lookup!$M$2:$M$13,RANDBETWEEN(1,12)),INDEX(Lookup!$N$2:$N$13,RANDBETWEEN(1,12))))</f>
        <v>Hannah</v>
      </c>
      <c r="C380" s="16" t="str" cm="1">
        <f t="array" ref="C380" ca="1">INDEX(Lookup!$K$2:$K$31,RANDBETWEEN(1,30))</f>
        <v>White</v>
      </c>
      <c r="D380" s="16" t="str" cm="1">
        <f t="array" ref="D380" ca="1">INDEX(Lookup!$H$2:$H$4,RANDBETWEEN(1,3))</f>
        <v>Female</v>
      </c>
      <c r="E380" s="16">
        <f t="shared" ca="1" si="70"/>
        <v>46</v>
      </c>
      <c r="F380" s="16" t="str" cm="1">
        <f t="array" ref="F380" ca="1">INDEX(Lookup!$A$2:$A$10,RANDBETWEEN(1,9))</f>
        <v>IT</v>
      </c>
      <c r="G380" s="16" t="str" cm="1">
        <f t="array" ref="G380" ca="1">_xlfn.LET(_xlpm.Roles,_xlfn._xlws.FILTER(Lookup!$P$2:$P$28,Lookup!$O$2:$O$28=F380),INDEX(_xlpm.Roles,RANDBETWEEN(1,ROWS(_xlpm.Roles))))</f>
        <v>Business Analyst</v>
      </c>
      <c r="H380" s="16" t="str" cm="1">
        <f t="array" ref="H380" ca="1">INDEX(Lookup!$B$2:$B$7,RANDBETWEEN(1,6))</f>
        <v>Limerick</v>
      </c>
      <c r="I380" s="22">
        <f t="shared" ca="1" si="71"/>
        <v>45748</v>
      </c>
      <c r="J380" s="22" t="str">
        <f t="shared" ca="1" si="72"/>
        <v/>
      </c>
      <c r="K380" s="16" t="str">
        <f t="shared" ca="1" si="73"/>
        <v>Active</v>
      </c>
      <c r="L380" s="26">
        <f ca="1">_xlfn.XLOOKUP(G380,Lookup!$P$2:$P$28,Lookup!$Q$2:$Q$28)*(1+MIN(X380*3%,30%))</f>
        <v>69000</v>
      </c>
      <c r="M380" s="24">
        <f t="shared" ca="1" si="83"/>
        <v>4</v>
      </c>
      <c r="N380" s="24">
        <f t="shared" ca="1" si="74"/>
        <v>1</v>
      </c>
      <c r="O380" s="24">
        <f t="shared" ca="1" si="75"/>
        <v>14</v>
      </c>
      <c r="P380" s="24">
        <f t="shared" ca="1" si="76"/>
        <v>52</v>
      </c>
      <c r="Q380" s="16" t="str">
        <f t="shared" ca="1" si="77"/>
        <v>Not Promoted</v>
      </c>
      <c r="R380" s="16" t="str" cm="1">
        <f t="array" ref="R380" ca="1">INDEX(Lookup!$E$2:$E$6,RANDBETWEEN(1,5))</f>
        <v>PhD</v>
      </c>
      <c r="S380" s="16" t="str" cm="1">
        <f t="array" ref="S380" ca="1">INDEX(Lookup!$J$2:$J$11,RANDBETWEEN(1,10))</f>
        <v>David Murphy</v>
      </c>
      <c r="T380" s="16" t="str">
        <f t="shared" ca="1" si="78"/>
        <v>hannah.white@hranalytics.com</v>
      </c>
      <c r="U380" s="16" t="str">
        <f t="shared" ca="1" si="79"/>
        <v>0896594631</v>
      </c>
      <c r="V380" s="16" t="str" cm="1">
        <f t="array" ref="V380" ca="1">_xlfn.LET(_xlpm.r,RANDBETWEEN(1,100),_xlfn.IFS(_xlpm.r&lt;=70,"Full-Time",_xlpm.r&lt;=85,"Part-Time",_xlpm.r&lt;=95,"Contract",TRUE,"Intern"))</f>
        <v>Full-Time</v>
      </c>
      <c r="W380" s="16" cm="1">
        <f t="array" ref="W380" ca="1">IF(K380&lt;&gt;"Active",0,_xlfn.IFS(M380=5,L380*15%,M380=4,L380*10%,M380=3,L380*5%,M380=2,L380*2%,TRUE,0))</f>
        <v>0</v>
      </c>
      <c r="X380" s="24">
        <f t="shared" ca="1" si="80"/>
        <v>1</v>
      </c>
      <c r="Y380" s="24">
        <f t="shared" ca="1" si="81"/>
        <v>3</v>
      </c>
    </row>
    <row r="381" spans="1:25">
      <c r="A381" s="16" t="str">
        <f t="shared" si="82"/>
        <v>EMP380</v>
      </c>
      <c r="B381" s="16" t="str" cm="1">
        <f t="array" ref="B381" ca="1">IF(D381="Male",INDEX(Lookup!$L$2:$L$13,RANDBETWEEN(1,12)),IF(D381="Female",INDEX(Lookup!$M$2:$M$13,RANDBETWEEN(1,12)),INDEX(Lookup!$N$2:$N$13,RANDBETWEEN(1,12))))</f>
        <v>Oliver</v>
      </c>
      <c r="C381" s="16" t="str" cm="1">
        <f t="array" ref="C381" ca="1">INDEX(Lookup!$K$2:$K$31,RANDBETWEEN(1,30))</f>
        <v>Wilson</v>
      </c>
      <c r="D381" s="16" t="str" cm="1">
        <f t="array" ref="D381" ca="1">INDEX(Lookup!$H$2:$H$4,RANDBETWEEN(1,3))</f>
        <v>Male</v>
      </c>
      <c r="E381" s="16">
        <f t="shared" ca="1" si="70"/>
        <v>45</v>
      </c>
      <c r="F381" s="16" t="str" cm="1">
        <f t="array" ref="F381" ca="1">INDEX(Lookup!$A$2:$A$10,RANDBETWEEN(1,9))</f>
        <v>Marketing</v>
      </c>
      <c r="G381" s="16" t="str" cm="1">
        <f t="array" ref="G381" ca="1">_xlfn.LET(_xlpm.Roles,_xlfn._xlws.FILTER(Lookup!$P$2:$P$28,Lookup!$O$2:$O$28=F381),INDEX(_xlpm.Roles,RANDBETWEEN(1,ROWS(_xlpm.Roles))))</f>
        <v>Digital Marketing Specialist</v>
      </c>
      <c r="H381" s="16" t="str" cm="1">
        <f t="array" ref="H381" ca="1">INDEX(Lookup!$B$2:$B$7,RANDBETWEEN(1,6))</f>
        <v>Cork</v>
      </c>
      <c r="I381" s="22">
        <f t="shared" ca="1" si="71"/>
        <v>43874</v>
      </c>
      <c r="J381" s="22" t="str">
        <f t="shared" ca="1" si="72"/>
        <v/>
      </c>
      <c r="K381" s="16" t="str">
        <f t="shared" ca="1" si="73"/>
        <v>Active</v>
      </c>
      <c r="L381" s="26">
        <f ca="1">_xlfn.XLOOKUP(G381,Lookup!$P$2:$P$28,Lookup!$Q$2:$Q$28)*(1+MIN(X381*3%,30%))</f>
        <v>51500</v>
      </c>
      <c r="M381" s="24">
        <f t="shared" ca="1" si="83"/>
        <v>4</v>
      </c>
      <c r="N381" s="24">
        <f t="shared" ca="1" si="74"/>
        <v>10</v>
      </c>
      <c r="O381" s="24">
        <f t="shared" ca="1" si="75"/>
        <v>19</v>
      </c>
      <c r="P381" s="24">
        <f t="shared" ca="1" si="76"/>
        <v>21</v>
      </c>
      <c r="Q381" s="16" t="str">
        <f t="shared" ca="1" si="77"/>
        <v>Not Promoted</v>
      </c>
      <c r="R381" s="16" t="str" cm="1">
        <f t="array" ref="R381" ca="1">INDEX(Lookup!$E$2:$E$6,RANDBETWEEN(1,5))</f>
        <v>Bachelor's</v>
      </c>
      <c r="S381" s="16" t="str" cm="1">
        <f t="array" ref="S381" ca="1">INDEX(Lookup!$J$2:$J$11,RANDBETWEEN(1,10))</f>
        <v>Liam Byrne</v>
      </c>
      <c r="T381" s="16" t="str">
        <f t="shared" ca="1" si="78"/>
        <v>oliver.wilson@hranalytics.com</v>
      </c>
      <c r="U381" s="16" t="str">
        <f t="shared" ca="1" si="79"/>
        <v>0888217745</v>
      </c>
      <c r="V381" s="16" t="str" cm="1">
        <f t="array" ref="V381" ca="1">_xlfn.LET(_xlpm.r,RANDBETWEEN(1,100),_xlfn.IFS(_xlpm.r&lt;=70,"Full-Time",_xlpm.r&lt;=85,"Part-Time",_xlpm.r&lt;=95,"Contract",TRUE,"Intern"))</f>
        <v>Full-Time</v>
      </c>
      <c r="W381" s="16" cm="1">
        <f t="array" ref="W381" ca="1">IF(K381&lt;&gt;"Active",0,_xlfn.IFS(M381=5,L381*15%,M381=4,L381*10%,M381=3,L381*5%,M381=2,L381*2%,TRUE,0))</f>
        <v>5150</v>
      </c>
      <c r="X381" s="24">
        <f t="shared" ca="1" si="80"/>
        <v>6</v>
      </c>
      <c r="Y381" s="24">
        <f t="shared" ca="1" si="81"/>
        <v>3</v>
      </c>
    </row>
    <row r="382" spans="1:25">
      <c r="A382" s="16" t="str">
        <f t="shared" si="82"/>
        <v>EMP381</v>
      </c>
      <c r="B382" s="16" t="str" cm="1">
        <f t="array" ref="B382" ca="1">IF(D382="Male",INDEX(Lookup!$L$2:$L$13,RANDBETWEEN(1,12)),IF(D382="Female",INDEX(Lookup!$M$2:$M$13,RANDBETWEEN(1,12)),INDEX(Lookup!$N$2:$N$13,RANDBETWEEN(1,12))))</f>
        <v>Ryan</v>
      </c>
      <c r="C382" s="16" t="str" cm="1">
        <f t="array" ref="C382" ca="1">INDEX(Lookup!$K$2:$K$31,RANDBETWEEN(1,30))</f>
        <v>Parker</v>
      </c>
      <c r="D382" s="16" t="str" cm="1">
        <f t="array" ref="D382" ca="1">INDEX(Lookup!$H$2:$H$4,RANDBETWEEN(1,3))</f>
        <v>Male</v>
      </c>
      <c r="E382" s="16">
        <f t="shared" ca="1" si="70"/>
        <v>51</v>
      </c>
      <c r="F382" s="16" t="str" cm="1">
        <f t="array" ref="F382" ca="1">INDEX(Lookup!$A$2:$A$10,RANDBETWEEN(1,9))</f>
        <v>Legal</v>
      </c>
      <c r="G382" s="16" t="str" cm="1">
        <f t="array" ref="G382" ca="1">_xlfn.LET(_xlpm.Roles,_xlfn._xlws.FILTER(Lookup!$P$2:$P$28,Lookup!$O$2:$O$28=F382),INDEX(_xlpm.Roles,RANDBETWEEN(1,ROWS(_xlpm.Roles))))</f>
        <v>Legal Assistant</v>
      </c>
      <c r="H382" s="16" t="str" cm="1">
        <f t="array" ref="H382" ca="1">INDEX(Lookup!$B$2:$B$7,RANDBETWEEN(1,6))</f>
        <v>Limerick</v>
      </c>
      <c r="I382" s="22">
        <f t="shared" ca="1" si="71"/>
        <v>43914</v>
      </c>
      <c r="J382" s="22" t="str">
        <f t="shared" ca="1" si="72"/>
        <v/>
      </c>
      <c r="K382" s="16" t="str">
        <f t="shared" ca="1" si="73"/>
        <v>Active</v>
      </c>
      <c r="L382" s="26">
        <f ca="1">_xlfn.XLOOKUP(G382,Lookup!$P$2:$P$28,Lookup!$Q$2:$Q$28)*(1+MIN(X382*3%,30%))</f>
        <v>50820</v>
      </c>
      <c r="M382" s="24">
        <f t="shared" ca="1" si="83"/>
        <v>3</v>
      </c>
      <c r="N382" s="24">
        <f t="shared" ca="1" si="74"/>
        <v>61</v>
      </c>
      <c r="O382" s="24">
        <f t="shared" ca="1" si="75"/>
        <v>11</v>
      </c>
      <c r="P382" s="24">
        <f t="shared" ca="1" si="76"/>
        <v>36</v>
      </c>
      <c r="Q382" s="16" t="str">
        <f t="shared" ca="1" si="77"/>
        <v>Promoted</v>
      </c>
      <c r="R382" s="16" t="str" cm="1">
        <f t="array" ref="R382" ca="1">INDEX(Lookup!$E$2:$E$6,RANDBETWEEN(1,5))</f>
        <v>High School</v>
      </c>
      <c r="S382" s="16" t="str" cm="1">
        <f t="array" ref="S382" ca="1">INDEX(Lookup!$J$2:$J$11,RANDBETWEEN(1,10))</f>
        <v>Liam Byrne</v>
      </c>
      <c r="T382" s="16" t="str">
        <f t="shared" ca="1" si="78"/>
        <v>ryan.parker@hranalytics.com</v>
      </c>
      <c r="U382" s="16" t="str">
        <f t="shared" ca="1" si="79"/>
        <v>0886599202</v>
      </c>
      <c r="V382" s="16" t="str" cm="1">
        <f t="array" ref="V382" ca="1">_xlfn.LET(_xlpm.r,RANDBETWEEN(1,100),_xlfn.IFS(_xlpm.r&lt;=70,"Full-Time",_xlpm.r&lt;=85,"Part-Time",_xlpm.r&lt;=95,"Contract",TRUE,"Intern"))</f>
        <v>Full-Time</v>
      </c>
      <c r="W382" s="16" cm="1">
        <f t="array" ref="W382" ca="1">IF(K382&lt;&gt;"Active",0,_xlfn.IFS(M382=5,L382*15%,M382=4,L382*10%,M382=3,L382*5%,M382=2,L382*2%,TRUE,0))</f>
        <v>0</v>
      </c>
      <c r="X382" s="24">
        <f t="shared" ca="1" si="80"/>
        <v>6</v>
      </c>
      <c r="Y382" s="24">
        <f t="shared" ca="1" si="81"/>
        <v>1</v>
      </c>
    </row>
    <row r="383" spans="1:25">
      <c r="A383" s="16" t="str">
        <f t="shared" si="82"/>
        <v>EMP382</v>
      </c>
      <c r="B383" s="16" t="str" cm="1">
        <f t="array" ref="B383" ca="1">IF(D383="Male",INDEX(Lookup!$L$2:$L$13,RANDBETWEEN(1,12)),IF(D383="Female",INDEX(Lookup!$M$2:$M$13,RANDBETWEEN(1,12)),INDEX(Lookup!$N$2:$N$13,RANDBETWEEN(1,12))))</f>
        <v>Jamie</v>
      </c>
      <c r="C383" s="16" t="str" cm="1">
        <f t="array" ref="C383" ca="1">INDEX(Lookup!$K$2:$K$31,RANDBETWEEN(1,30))</f>
        <v>Allen</v>
      </c>
      <c r="D383" s="16" t="str" cm="1">
        <f t="array" ref="D383" ca="1">INDEX(Lookup!$H$2:$H$4,RANDBETWEEN(1,3))</f>
        <v>Other</v>
      </c>
      <c r="E383" s="16">
        <f t="shared" ca="1" si="70"/>
        <v>34</v>
      </c>
      <c r="F383" s="16" t="str" cm="1">
        <f t="array" ref="F383" ca="1">INDEX(Lookup!$A$2:$A$10,RANDBETWEEN(1,9))</f>
        <v>Customer Support</v>
      </c>
      <c r="G383" s="16" t="str" cm="1">
        <f t="array" ref="G383" ca="1">_xlfn.LET(_xlpm.Roles,_xlfn._xlws.FILTER(Lookup!$P$2:$P$28,Lookup!$O$2:$O$28=F383),INDEX(_xlpm.Roles,RANDBETWEEN(1,ROWS(_xlpm.Roles))))</f>
        <v>Technical Support Specialist</v>
      </c>
      <c r="H383" s="16" t="str" cm="1">
        <f t="array" ref="H383" ca="1">INDEX(Lookup!$B$2:$B$7,RANDBETWEEN(1,6))</f>
        <v>Galway</v>
      </c>
      <c r="I383" s="22">
        <f t="shared" ca="1" si="71"/>
        <v>45376</v>
      </c>
      <c r="J383" s="22" t="str">
        <f t="shared" ca="1" si="72"/>
        <v/>
      </c>
      <c r="K383" s="16" t="str">
        <f t="shared" ca="1" si="73"/>
        <v>Active</v>
      </c>
      <c r="L383" s="26">
        <f ca="1">_xlfn.XLOOKUP(G383,Lookup!$P$2:$P$28,Lookup!$Q$2:$Q$28)*(1+MIN(X383*3%,30%))</f>
        <v>49050</v>
      </c>
      <c r="M383" s="24">
        <f t="shared" ca="1" si="83"/>
        <v>1</v>
      </c>
      <c r="N383" s="24">
        <f t="shared" ca="1" si="74"/>
        <v>50</v>
      </c>
      <c r="O383" s="24">
        <f t="shared" ca="1" si="75"/>
        <v>4</v>
      </c>
      <c r="P383" s="24">
        <f t="shared" ca="1" si="76"/>
        <v>4</v>
      </c>
      <c r="Q383" s="16" t="str">
        <f t="shared" ca="1" si="77"/>
        <v>Promoted</v>
      </c>
      <c r="R383" s="16" t="str" cm="1">
        <f t="array" ref="R383" ca="1">INDEX(Lookup!$E$2:$E$6,RANDBETWEEN(1,5))</f>
        <v>Master's</v>
      </c>
      <c r="S383" s="16" t="str" cm="1">
        <f t="array" ref="S383" ca="1">INDEX(Lookup!$J$2:$J$11,RANDBETWEEN(1,10))</f>
        <v>Michael Brown</v>
      </c>
      <c r="T383" s="16" t="str">
        <f t="shared" ca="1" si="78"/>
        <v>jamie.allen@hranalytics.com</v>
      </c>
      <c r="U383" s="16" t="str">
        <f t="shared" ca="1" si="79"/>
        <v>0892437745</v>
      </c>
      <c r="V383" s="16" t="str" cm="1">
        <f t="array" ref="V383" ca="1">_xlfn.LET(_xlpm.r,RANDBETWEEN(1,100),_xlfn.IFS(_xlpm.r&lt;=70,"Full-Time",_xlpm.r&lt;=85,"Part-Time",_xlpm.r&lt;=95,"Contract",TRUE,"Intern"))</f>
        <v>Full-Time</v>
      </c>
      <c r="W383" s="16" cm="1">
        <f t="array" ref="W383" ca="1">IF(K383&lt;&gt;"Active",0,_xlfn.IFS(M383=5,L383*15%,M383=4,L383*10%,M383=3,L383*5%,M383=2,L383*2%,TRUE,0))</f>
        <v>2452.5</v>
      </c>
      <c r="X383" s="24">
        <f t="shared" ca="1" si="80"/>
        <v>2</v>
      </c>
      <c r="Y383" s="24">
        <f t="shared" ca="1" si="81"/>
        <v>1</v>
      </c>
    </row>
    <row r="384" spans="1:25">
      <c r="A384" s="16" t="str">
        <f t="shared" si="82"/>
        <v>EMP383</v>
      </c>
      <c r="B384" s="16" t="str" cm="1">
        <f t="array" ref="B384" ca="1">IF(D384="Male",INDEX(Lookup!$L$2:$L$13,RANDBETWEEN(1,12)),IF(D384="Female",INDEX(Lookup!$M$2:$M$13,RANDBETWEEN(1,12)),INDEX(Lookup!$N$2:$N$13,RANDBETWEEN(1,12))))</f>
        <v>Amelia</v>
      </c>
      <c r="C384" s="16" t="str" cm="1">
        <f t="array" ref="C384" ca="1">INDEX(Lookup!$K$2:$K$31,RANDBETWEEN(1,30))</f>
        <v>Parker</v>
      </c>
      <c r="D384" s="16" t="str" cm="1">
        <f t="array" ref="D384" ca="1">INDEX(Lookup!$H$2:$H$4,RANDBETWEEN(1,3))</f>
        <v>Female</v>
      </c>
      <c r="E384" s="16">
        <f t="shared" ca="1" si="70"/>
        <v>37</v>
      </c>
      <c r="F384" s="16" t="str" cm="1">
        <f t="array" ref="F384" ca="1">INDEX(Lookup!$A$2:$A$10,RANDBETWEEN(1,9))</f>
        <v>Marketing</v>
      </c>
      <c r="G384" s="16" t="str" cm="1">
        <f t="array" ref="G384" ca="1">_xlfn.LET(_xlpm.Roles,_xlfn._xlws.FILTER(Lookup!$P$2:$P$28,Lookup!$O$2:$O$28=F384),INDEX(_xlpm.Roles,RANDBETWEEN(1,ROWS(_xlpm.Roles))))</f>
        <v>Digital Marketing Specialist</v>
      </c>
      <c r="H384" s="16" t="str" cm="1">
        <f t="array" ref="H384" ca="1">INDEX(Lookup!$B$2:$B$7,RANDBETWEEN(1,6))</f>
        <v>Limerick</v>
      </c>
      <c r="I384" s="22">
        <f t="shared" ca="1" si="71"/>
        <v>45333</v>
      </c>
      <c r="J384" s="22" t="str">
        <f t="shared" ca="1" si="72"/>
        <v/>
      </c>
      <c r="K384" s="16" t="str">
        <f t="shared" ca="1" si="73"/>
        <v>Active</v>
      </c>
      <c r="L384" s="26">
        <f ca="1">_xlfn.XLOOKUP(G384,Lookup!$P$2:$P$28,Lookup!$Q$2:$Q$28)*(1+MIN(X384*3%,30%))</f>
        <v>60500</v>
      </c>
      <c r="M384" s="24">
        <f t="shared" ca="1" si="83"/>
        <v>2</v>
      </c>
      <c r="N384" s="24">
        <f t="shared" ca="1" si="74"/>
        <v>12</v>
      </c>
      <c r="O384" s="24">
        <f t="shared" ca="1" si="75"/>
        <v>13</v>
      </c>
      <c r="P384" s="24">
        <f t="shared" ca="1" si="76"/>
        <v>6</v>
      </c>
      <c r="Q384" s="16" t="str">
        <f t="shared" ca="1" si="77"/>
        <v>Promoted</v>
      </c>
      <c r="R384" s="16" t="str" cm="1">
        <f t="array" ref="R384" ca="1">INDEX(Lookup!$E$2:$E$6,RANDBETWEEN(1,5))</f>
        <v>Master's</v>
      </c>
      <c r="S384" s="16" t="str" cm="1">
        <f t="array" ref="S384" ca="1">INDEX(Lookup!$J$2:$J$11,RANDBETWEEN(1,10))</f>
        <v>Liam Byrne</v>
      </c>
      <c r="T384" s="16" t="str">
        <f t="shared" ca="1" si="78"/>
        <v>amelia.parker@hranalytics.com</v>
      </c>
      <c r="U384" s="16" t="str">
        <f t="shared" ca="1" si="79"/>
        <v>0882901015</v>
      </c>
      <c r="V384" s="16" t="str" cm="1">
        <f t="array" ref="V384" ca="1">_xlfn.LET(_xlpm.r,RANDBETWEEN(1,100),_xlfn.IFS(_xlpm.r&lt;=70,"Full-Time",_xlpm.r&lt;=85,"Part-Time",_xlpm.r&lt;=95,"Contract",TRUE,"Intern"))</f>
        <v>Full-Time</v>
      </c>
      <c r="W384" s="16" cm="1">
        <f t="array" ref="W384" ca="1">IF(K384&lt;&gt;"Active",0,_xlfn.IFS(M384=5,L384*15%,M384=4,L384*10%,M384=3,L384*5%,M384=2,L384*2%,TRUE,0))</f>
        <v>9075</v>
      </c>
      <c r="X384" s="24">
        <f t="shared" ca="1" si="80"/>
        <v>2</v>
      </c>
      <c r="Y384" s="24">
        <f t="shared" ca="1" si="81"/>
        <v>1</v>
      </c>
    </row>
    <row r="385" spans="1:25">
      <c r="A385" s="16" t="str">
        <f t="shared" si="82"/>
        <v>EMP384</v>
      </c>
      <c r="B385" s="16" t="str" cm="1">
        <f t="array" ref="B385" ca="1">IF(D385="Male",INDEX(Lookup!$L$2:$L$13,RANDBETWEEN(1,12)),IF(D385="Female",INDEX(Lookup!$M$2:$M$13,RANDBETWEEN(1,12)),INDEX(Lookup!$N$2:$N$13,RANDBETWEEN(1,12))))</f>
        <v>Ava</v>
      </c>
      <c r="C385" s="16" t="str" cm="1">
        <f t="array" ref="C385" ca="1">INDEX(Lookup!$K$2:$K$31,RANDBETWEEN(1,30))</f>
        <v>Wilson</v>
      </c>
      <c r="D385" s="16" t="str" cm="1">
        <f t="array" ref="D385" ca="1">INDEX(Lookup!$H$2:$H$4,RANDBETWEEN(1,3))</f>
        <v>Female</v>
      </c>
      <c r="E385" s="16">
        <f t="shared" ca="1" si="70"/>
        <v>40</v>
      </c>
      <c r="F385" s="16" t="str" cm="1">
        <f t="array" ref="F385" ca="1">INDEX(Lookup!$A$2:$A$10,RANDBETWEEN(1,9))</f>
        <v>IT</v>
      </c>
      <c r="G385" s="16" t="str" cm="1">
        <f t="array" ref="G385" ca="1">_xlfn.LET(_xlpm.Roles,_xlfn._xlws.FILTER(Lookup!$P$2:$P$28,Lookup!$O$2:$O$28=F385),INDEX(_xlpm.Roles,RANDBETWEEN(1,ROWS(_xlpm.Roles))))</f>
        <v>Business Analyst</v>
      </c>
      <c r="H385" s="16" t="str" cm="1">
        <f t="array" ref="H385" ca="1">INDEX(Lookup!$B$2:$B$7,RANDBETWEEN(1,6))</f>
        <v>Galway</v>
      </c>
      <c r="I385" s="22">
        <f t="shared" ca="1" si="71"/>
        <v>43742</v>
      </c>
      <c r="J385" s="22" t="str">
        <f t="shared" ca="1" si="72"/>
        <v/>
      </c>
      <c r="K385" s="16" t="str">
        <f t="shared" ca="1" si="73"/>
        <v>Active</v>
      </c>
      <c r="L385" s="26">
        <f ca="1">_xlfn.XLOOKUP(G385,Lookup!$P$2:$P$28,Lookup!$Q$2:$Q$28)*(1+MIN(X385*3%,30%))</f>
        <v>67200</v>
      </c>
      <c r="M385" s="24">
        <f t="shared" ca="1" si="83"/>
        <v>2</v>
      </c>
      <c r="N385" s="24">
        <f t="shared" ca="1" si="74"/>
        <v>76</v>
      </c>
      <c r="O385" s="24">
        <f t="shared" ca="1" si="75"/>
        <v>13</v>
      </c>
      <c r="P385" s="24">
        <f t="shared" ca="1" si="76"/>
        <v>9</v>
      </c>
      <c r="Q385" s="16" t="str">
        <f t="shared" ca="1" si="77"/>
        <v>Promoted</v>
      </c>
      <c r="R385" s="16" t="str" cm="1">
        <f t="array" ref="R385" ca="1">INDEX(Lookup!$E$2:$E$6,RANDBETWEEN(1,5))</f>
        <v>Master's</v>
      </c>
      <c r="S385" s="16" t="str" cm="1">
        <f t="array" ref="S385" ca="1">INDEX(Lookup!$J$2:$J$11,RANDBETWEEN(1,10))</f>
        <v>Liam Byrne</v>
      </c>
      <c r="T385" s="16" t="str">
        <f t="shared" ca="1" si="78"/>
        <v>ava.wilson@hranalytics.com</v>
      </c>
      <c r="U385" s="16" t="str">
        <f t="shared" ca="1" si="79"/>
        <v>0874674705</v>
      </c>
      <c r="V385" s="16" t="str" cm="1">
        <f t="array" ref="V385" ca="1">_xlfn.LET(_xlpm.r,RANDBETWEEN(1,100),_xlfn.IFS(_xlpm.r&lt;=70,"Full-Time",_xlpm.r&lt;=85,"Part-Time",_xlpm.r&lt;=95,"Contract",TRUE,"Intern"))</f>
        <v>Full-Time</v>
      </c>
      <c r="W385" s="16" cm="1">
        <f t="array" ref="W385" ca="1">IF(K385&lt;&gt;"Active",0,_xlfn.IFS(M385=5,L385*15%,M385=4,L385*10%,M385=3,L385*5%,M385=2,L385*2%,TRUE,0))</f>
        <v>6720</v>
      </c>
      <c r="X385" s="24">
        <f t="shared" ca="1" si="80"/>
        <v>6</v>
      </c>
      <c r="Y385" s="24">
        <f t="shared" ca="1" si="81"/>
        <v>2</v>
      </c>
    </row>
    <row r="386" spans="1:25">
      <c r="A386" s="16" t="str">
        <f t="shared" si="82"/>
        <v>EMP385</v>
      </c>
      <c r="B386" s="16" t="str" cm="1">
        <f t="array" ref="B386" ca="1">IF(D386="Male",INDEX(Lookup!$L$2:$L$13,RANDBETWEEN(1,12)),IF(D386="Female",INDEX(Lookup!$M$2:$M$13,RANDBETWEEN(1,12)),INDEX(Lookup!$N$2:$N$13,RANDBETWEEN(1,12))))</f>
        <v>Alex</v>
      </c>
      <c r="C386" s="16" t="str" cm="1">
        <f t="array" ref="C386" ca="1">INDEX(Lookup!$K$2:$K$31,RANDBETWEEN(1,30))</f>
        <v>Nelson</v>
      </c>
      <c r="D386" s="16" t="str" cm="1">
        <f t="array" ref="D386" ca="1">INDEX(Lookup!$H$2:$H$4,RANDBETWEEN(1,3))</f>
        <v>Other</v>
      </c>
      <c r="E386" s="16">
        <f t="shared" ref="E386:E449" ca="1" si="84">RANDBETWEEN(21,60)</f>
        <v>37</v>
      </c>
      <c r="F386" s="16" t="str" cm="1">
        <f t="array" ref="F386" ca="1">INDEX(Lookup!$A$2:$A$10,RANDBETWEEN(1,9))</f>
        <v>Procurement</v>
      </c>
      <c r="G386" s="16" t="str" cm="1">
        <f t="array" ref="G386" ca="1">_xlfn.LET(_xlpm.Roles,_xlfn._xlws.FILTER(Lookup!$P$2:$P$28,Lookup!$O$2:$O$28=F386),INDEX(_xlpm.Roles,RANDBETWEEN(1,ROWS(_xlpm.Roles))))</f>
        <v>Procurement Officer</v>
      </c>
      <c r="H386" s="16" t="str" cm="1">
        <f t="array" ref="H386" ca="1">INDEX(Lookup!$B$2:$B$7,RANDBETWEEN(1,6))</f>
        <v>Limerick</v>
      </c>
      <c r="I386" s="22">
        <f t="shared" ref="I386:I449" ca="1" si="85">DATE(RANDBETWEEN(2018,2025),RANDBETWEEN(1,12),RANDBETWEEN(1,28))</f>
        <v>45978</v>
      </c>
      <c r="J386" s="22" t="str">
        <f t="shared" ref="J386:J449" ca="1" si="86">IF(K386="Resigned",I386+RANDBETWEEN(180,2000),"")</f>
        <v/>
      </c>
      <c r="K386" s="16" t="str">
        <f t="shared" ref="K386:K449" ca="1" si="87">IF(RANDBETWEEN(1,10)&lt;=8,"Active","Resigned")</f>
        <v>Active</v>
      </c>
      <c r="L386" s="26">
        <f ca="1">_xlfn.XLOOKUP(G386,Lookup!$P$2:$P$28,Lookup!$Q$2:$Q$28)*(1+MIN(X386*3%,30%))</f>
        <v>51750</v>
      </c>
      <c r="M386" s="24">
        <f t="shared" ca="1" si="83"/>
        <v>3</v>
      </c>
      <c r="N386" s="24">
        <f t="shared" ref="N386:N449" ca="1" si="88">RANDBETWEEN(0,80)</f>
        <v>75</v>
      </c>
      <c r="O386" s="24">
        <f t="shared" ref="O386:O449" ca="1" si="89">RANDBETWEEN(0,20)</f>
        <v>18</v>
      </c>
      <c r="P386" s="24">
        <f t="shared" ref="P386:P449" ca="1" si="90">RANDBETWEEN(0,60)</f>
        <v>29</v>
      </c>
      <c r="Q386" s="16" t="str">
        <f t="shared" ref="Q386:Q449" ca="1" si="91">IF(AND(L386&gt;=4,X386&gt;=2,K386="Active"),"Promoted","Not Promoted")</f>
        <v>Promoted</v>
      </c>
      <c r="R386" s="16" t="str" cm="1">
        <f t="array" ref="R386" ca="1">INDEX(Lookup!$E$2:$E$6,RANDBETWEEN(1,5))</f>
        <v>PhD</v>
      </c>
      <c r="S386" s="16" t="str" cm="1">
        <f t="array" ref="S386" ca="1">INDEX(Lookup!$J$2:$J$11,RANDBETWEEN(1,10))</f>
        <v>Sarah Johnson</v>
      </c>
      <c r="T386" s="16" t="str">
        <f t="shared" ref="T386:T449" ca="1" si="92">LOWER(B386&amp;"."&amp;C386&amp;"@hranalytics.com")</f>
        <v>alex.nelson@hranalytics.com</v>
      </c>
      <c r="U386" s="16" t="str">
        <f t="shared" ref="U386:U449" ca="1" si="93">"08"&amp;RANDBETWEEN(3,9)&amp;TEXT(RANDBETWEEN(1000000,9999999),"0000000")</f>
        <v>0877652739</v>
      </c>
      <c r="V386" s="16" t="str" cm="1">
        <f t="array" ref="V386" ca="1">_xlfn.LET(_xlpm.r,RANDBETWEEN(1,100),_xlfn.IFS(_xlpm.r&lt;=70,"Full-Time",_xlpm.r&lt;=85,"Part-Time",_xlpm.r&lt;=95,"Contract",TRUE,"Intern"))</f>
        <v>Full-Time</v>
      </c>
      <c r="W386" s="16" cm="1">
        <f t="array" ref="W386" ca="1">IF(K386&lt;&gt;"Active",0,_xlfn.IFS(M386=5,L386*15%,M386=4,L386*10%,M386=3,L386*5%,M386=2,L386*2%,TRUE,0))</f>
        <v>5175</v>
      </c>
      <c r="X386" s="24">
        <f t="shared" ref="X386:X449" ca="1" si="94">DATEDIF(I386,TODAY(),"Y")</f>
        <v>0</v>
      </c>
      <c r="Y386" s="24">
        <f t="shared" ref="Y386:Y449" ca="1" si="95">RANDBETWEEN(1,3)</f>
        <v>2</v>
      </c>
    </row>
    <row r="387" spans="1:25">
      <c r="A387" s="16" t="str">
        <f t="shared" ref="A387:A450" si="96">"EMP"&amp;TEXT(ROW()-1,"000")</f>
        <v>EMP386</v>
      </c>
      <c r="B387" s="16" t="str" cm="1">
        <f t="array" ref="B387" ca="1">IF(D387="Male",INDEX(Lookup!$L$2:$L$13,RANDBETWEEN(1,12)),IF(D387="Female",INDEX(Lookup!$M$2:$M$13,RANDBETWEEN(1,12)),INDEX(Lookup!$N$2:$N$13,RANDBETWEEN(1,12))))</f>
        <v>Noah</v>
      </c>
      <c r="C387" s="16" t="str" cm="1">
        <f t="array" ref="C387" ca="1">INDEX(Lookup!$K$2:$K$31,RANDBETWEEN(1,30))</f>
        <v>Murphy</v>
      </c>
      <c r="D387" s="16" t="str" cm="1">
        <f t="array" ref="D387" ca="1">INDEX(Lookup!$H$2:$H$4,RANDBETWEEN(1,3))</f>
        <v>Male</v>
      </c>
      <c r="E387" s="16">
        <f t="shared" ca="1" si="84"/>
        <v>56</v>
      </c>
      <c r="F387" s="16" t="str" cm="1">
        <f t="array" ref="F387" ca="1">INDEX(Lookup!$A$2:$A$10,RANDBETWEEN(1,9))</f>
        <v>Customer Support</v>
      </c>
      <c r="G387" s="16" t="str" cm="1">
        <f t="array" ref="G387" ca="1">_xlfn.LET(_xlpm.Roles,_xlfn._xlws.FILTER(Lookup!$P$2:$P$28,Lookup!$O$2:$O$28=F387),INDEX(_xlpm.Roles,RANDBETWEEN(1,ROWS(_xlpm.Roles))))</f>
        <v>Technical Support Specialist</v>
      </c>
      <c r="H387" s="16" t="str" cm="1">
        <f t="array" ref="H387" ca="1">INDEX(Lookup!$B$2:$B$7,RANDBETWEEN(1,6))</f>
        <v>Waterford</v>
      </c>
      <c r="I387" s="22">
        <f t="shared" ca="1" si="85"/>
        <v>45032</v>
      </c>
      <c r="J387" s="22" t="str">
        <f t="shared" ca="1" si="86"/>
        <v/>
      </c>
      <c r="K387" s="16" t="str">
        <f t="shared" ca="1" si="87"/>
        <v>Active</v>
      </c>
      <c r="L387" s="26">
        <f ca="1">_xlfn.XLOOKUP(G387,Lookup!$P$2:$P$28,Lookup!$Q$2:$Q$28)*(1+MIN(X387*3%,30%))</f>
        <v>54450</v>
      </c>
      <c r="M387" s="24">
        <f t="shared" ref="M387:M450" ca="1" si="97">RANDBETWEEN(1,5)</f>
        <v>4</v>
      </c>
      <c r="N387" s="24">
        <f t="shared" ca="1" si="88"/>
        <v>67</v>
      </c>
      <c r="O387" s="24">
        <f t="shared" ca="1" si="89"/>
        <v>5</v>
      </c>
      <c r="P387" s="24">
        <f t="shared" ca="1" si="90"/>
        <v>16</v>
      </c>
      <c r="Q387" s="16" t="str">
        <f t="shared" ca="1" si="91"/>
        <v>Promoted</v>
      </c>
      <c r="R387" s="16" t="str" cm="1">
        <f t="array" ref="R387" ca="1">INDEX(Lookup!$E$2:$E$6,RANDBETWEEN(1,5))</f>
        <v>Master's</v>
      </c>
      <c r="S387" s="16" t="str" cm="1">
        <f t="array" ref="S387" ca="1">INDEX(Lookup!$J$2:$J$11,RANDBETWEEN(1,10))</f>
        <v>Daniel Kelly</v>
      </c>
      <c r="T387" s="16" t="str">
        <f t="shared" ca="1" si="92"/>
        <v>noah.murphy@hranalytics.com</v>
      </c>
      <c r="U387" s="16" t="str">
        <f t="shared" ca="1" si="93"/>
        <v>0878121766</v>
      </c>
      <c r="V387" s="16" t="str" cm="1">
        <f t="array" ref="V387" ca="1">_xlfn.LET(_xlpm.r,RANDBETWEEN(1,100),_xlfn.IFS(_xlpm.r&lt;=70,"Full-Time",_xlpm.r&lt;=85,"Part-Time",_xlpm.r&lt;=95,"Contract",TRUE,"Intern"))</f>
        <v>Full-Time</v>
      </c>
      <c r="W387" s="16" cm="1">
        <f t="array" ref="W387" ca="1">IF(K387&lt;&gt;"Active",0,_xlfn.IFS(M387=5,L387*15%,M387=4,L387*10%,M387=3,L387*5%,M387=2,L387*2%,TRUE,0))</f>
        <v>1089</v>
      </c>
      <c r="X387" s="24">
        <f t="shared" ca="1" si="94"/>
        <v>3</v>
      </c>
      <c r="Y387" s="24">
        <f t="shared" ca="1" si="95"/>
        <v>1</v>
      </c>
    </row>
    <row r="388" spans="1:25">
      <c r="A388" s="16" t="str">
        <f t="shared" si="96"/>
        <v>EMP387</v>
      </c>
      <c r="B388" s="16" t="str" cm="1">
        <f t="array" ref="B388" ca="1">IF(D388="Male",INDEX(Lookup!$L$2:$L$13,RANDBETWEEN(1,12)),IF(D388="Female",INDEX(Lookup!$M$2:$M$13,RANDBETWEEN(1,12)),INDEX(Lookup!$N$2:$N$13,RANDBETWEEN(1,12))))</f>
        <v>John</v>
      </c>
      <c r="C388" s="16" t="str" cm="1">
        <f t="array" ref="C388" ca="1">INDEX(Lookup!$K$2:$K$31,RANDBETWEEN(1,30))</f>
        <v>Murphy</v>
      </c>
      <c r="D388" s="16" t="str" cm="1">
        <f t="array" ref="D388" ca="1">INDEX(Lookup!$H$2:$H$4,RANDBETWEEN(1,3))</f>
        <v>Male</v>
      </c>
      <c r="E388" s="16">
        <f t="shared" ca="1" si="84"/>
        <v>36</v>
      </c>
      <c r="F388" s="16" t="str" cm="1">
        <f t="array" ref="F388" ca="1">INDEX(Lookup!$A$2:$A$10,RANDBETWEEN(1,9))</f>
        <v>Sales</v>
      </c>
      <c r="G388" s="16" t="str" cm="1">
        <f t="array" ref="G388" ca="1">_xlfn.LET(_xlpm.Roles,_xlfn._xlws.FILTER(Lookup!$P$2:$P$28,Lookup!$O$2:$O$28=F388),INDEX(_xlpm.Roles,RANDBETWEEN(1,ROWS(_xlpm.Roles))))</f>
        <v>Business Development Executive</v>
      </c>
      <c r="H388" s="16" t="str" cm="1">
        <f t="array" ref="H388" ca="1">INDEX(Lookup!$B$2:$B$7,RANDBETWEEN(1,6))</f>
        <v>Waterford</v>
      </c>
      <c r="I388" s="22">
        <f t="shared" ca="1" si="85"/>
        <v>45435</v>
      </c>
      <c r="J388" s="22">
        <f t="shared" ca="1" si="86"/>
        <v>46931</v>
      </c>
      <c r="K388" s="16" t="str">
        <f t="shared" ca="1" si="87"/>
        <v>Resigned</v>
      </c>
      <c r="L388" s="26">
        <f ca="1">_xlfn.XLOOKUP(G388,Lookup!$P$2:$P$28,Lookup!$Q$2:$Q$28)*(1+MIN(X388*3%,30%))</f>
        <v>56640</v>
      </c>
      <c r="M388" s="24">
        <f t="shared" ca="1" si="97"/>
        <v>1</v>
      </c>
      <c r="N388" s="24">
        <f t="shared" ca="1" si="88"/>
        <v>72</v>
      </c>
      <c r="O388" s="24">
        <f t="shared" ca="1" si="89"/>
        <v>16</v>
      </c>
      <c r="P388" s="24">
        <f t="shared" ca="1" si="90"/>
        <v>1</v>
      </c>
      <c r="Q388" s="16" t="str">
        <f t="shared" ca="1" si="91"/>
        <v>Promoted</v>
      </c>
      <c r="R388" s="16" t="str" cm="1">
        <f t="array" ref="R388" ca="1">INDEX(Lookup!$E$2:$E$6,RANDBETWEEN(1,5))</f>
        <v>Bachelor's</v>
      </c>
      <c r="S388" s="16" t="str" cm="1">
        <f t="array" ref="S388" ca="1">INDEX(Lookup!$J$2:$J$11,RANDBETWEEN(1,10))</f>
        <v>Grace O'Connor</v>
      </c>
      <c r="T388" s="16" t="str">
        <f t="shared" ca="1" si="92"/>
        <v>john.murphy@hranalytics.com</v>
      </c>
      <c r="U388" s="16" t="str">
        <f t="shared" ca="1" si="93"/>
        <v>0837347246</v>
      </c>
      <c r="V388" s="16" t="str" cm="1">
        <f t="array" ref="V388" ca="1">_xlfn.LET(_xlpm.r,RANDBETWEEN(1,100),_xlfn.IFS(_xlpm.r&lt;=70,"Full-Time",_xlpm.r&lt;=85,"Part-Time",_xlpm.r&lt;=95,"Contract",TRUE,"Intern"))</f>
        <v>Full-Time</v>
      </c>
      <c r="W388" s="16" cm="1">
        <f t="array" ref="W388" ca="1">IF(K388&lt;&gt;"Active",0,_xlfn.IFS(M388=5,L388*15%,M388=4,L388*10%,M388=3,L388*5%,M388=2,L388*2%,TRUE,0))</f>
        <v>0</v>
      </c>
      <c r="X388" s="24">
        <f t="shared" ca="1" si="94"/>
        <v>2</v>
      </c>
      <c r="Y388" s="24">
        <f t="shared" ca="1" si="95"/>
        <v>1</v>
      </c>
    </row>
    <row r="389" spans="1:25">
      <c r="A389" s="16" t="str">
        <f t="shared" si="96"/>
        <v>EMP388</v>
      </c>
      <c r="B389" s="16" t="str" cm="1">
        <f t="array" ref="B389" ca="1">IF(D389="Male",INDEX(Lookup!$L$2:$L$13,RANDBETWEEN(1,12)),IF(D389="Female",INDEX(Lookup!$M$2:$M$13,RANDBETWEEN(1,12)),INDEX(Lookup!$N$2:$N$13,RANDBETWEEN(1,12))))</f>
        <v>Ella</v>
      </c>
      <c r="C389" s="16" t="str" cm="1">
        <f t="array" ref="C389" ca="1">INDEX(Lookup!$K$2:$K$31,RANDBETWEEN(1,30))</f>
        <v>Murphy</v>
      </c>
      <c r="D389" s="16" t="str" cm="1">
        <f t="array" ref="D389" ca="1">INDEX(Lookup!$H$2:$H$4,RANDBETWEEN(1,3))</f>
        <v>Female</v>
      </c>
      <c r="E389" s="16">
        <f t="shared" ca="1" si="84"/>
        <v>37</v>
      </c>
      <c r="F389" s="16" t="str" cm="1">
        <f t="array" ref="F389" ca="1">INDEX(Lookup!$A$2:$A$10,RANDBETWEEN(1,9))</f>
        <v>Marketing</v>
      </c>
      <c r="G389" s="16" t="str" cm="1">
        <f t="array" ref="G389" ca="1">_xlfn.LET(_xlpm.Roles,_xlfn._xlws.FILTER(Lookup!$P$2:$P$28,Lookup!$O$2:$O$28=F389),INDEX(_xlpm.Roles,RANDBETWEEN(1,ROWS(_xlpm.Roles))))</f>
        <v>Marketing Executive</v>
      </c>
      <c r="H389" s="16" t="str" cm="1">
        <f t="array" ref="H389" ca="1">INDEX(Lookup!$B$2:$B$7,RANDBETWEEN(1,6))</f>
        <v>Waterford</v>
      </c>
      <c r="I389" s="22">
        <f t="shared" ca="1" si="85"/>
        <v>45792</v>
      </c>
      <c r="J389" s="22">
        <f t="shared" ca="1" si="86"/>
        <v>46889</v>
      </c>
      <c r="K389" s="16" t="str">
        <f t="shared" ca="1" si="87"/>
        <v>Resigned</v>
      </c>
      <c r="L389" s="26">
        <f ca="1">_xlfn.XLOOKUP(G389,Lookup!$P$2:$P$28,Lookup!$Q$2:$Q$28)*(1+MIN(X389*3%,30%))</f>
        <v>44520</v>
      </c>
      <c r="M389" s="24">
        <f t="shared" ca="1" si="97"/>
        <v>1</v>
      </c>
      <c r="N389" s="24">
        <f t="shared" ca="1" si="88"/>
        <v>10</v>
      </c>
      <c r="O389" s="24">
        <f t="shared" ca="1" si="89"/>
        <v>7</v>
      </c>
      <c r="P389" s="24">
        <f t="shared" ca="1" si="90"/>
        <v>25</v>
      </c>
      <c r="Q389" s="16" t="str">
        <f t="shared" ca="1" si="91"/>
        <v>Promoted</v>
      </c>
      <c r="R389" s="16" t="str" cm="1">
        <f t="array" ref="R389" ca="1">INDEX(Lookup!$E$2:$E$6,RANDBETWEEN(1,5))</f>
        <v>High School</v>
      </c>
      <c r="S389" s="16" t="str" cm="1">
        <f t="array" ref="S389" ca="1">INDEX(Lookup!$J$2:$J$11,RANDBETWEEN(1,10))</f>
        <v>David Murphy</v>
      </c>
      <c r="T389" s="16" t="str">
        <f t="shared" ca="1" si="92"/>
        <v>ella.murphy@hranalytics.com</v>
      </c>
      <c r="U389" s="16" t="str">
        <f t="shared" ca="1" si="93"/>
        <v>0879594229</v>
      </c>
      <c r="V389" s="16" t="str" cm="1">
        <f t="array" ref="V389" ca="1">_xlfn.LET(_xlpm.r,RANDBETWEEN(1,100),_xlfn.IFS(_xlpm.r&lt;=70,"Full-Time",_xlpm.r&lt;=85,"Part-Time",_xlpm.r&lt;=95,"Contract",TRUE,"Intern"))</f>
        <v>Part-Time</v>
      </c>
      <c r="W389" s="16" cm="1">
        <f t="array" ref="W389" ca="1">IF(K389&lt;&gt;"Active",0,_xlfn.IFS(M389=5,L389*15%,M389=4,L389*10%,M389=3,L389*5%,M389=2,L389*2%,TRUE,0))</f>
        <v>4452</v>
      </c>
      <c r="X389" s="24">
        <f t="shared" ca="1" si="94"/>
        <v>1</v>
      </c>
      <c r="Y389" s="24">
        <f t="shared" ca="1" si="95"/>
        <v>1</v>
      </c>
    </row>
    <row r="390" spans="1:25">
      <c r="A390" s="16" t="str">
        <f t="shared" si="96"/>
        <v>EMP389</v>
      </c>
      <c r="B390" s="16" t="str" cm="1">
        <f t="array" ref="B390" ca="1">IF(D390="Male",INDEX(Lookup!$L$2:$L$13,RANDBETWEEN(1,12)),IF(D390="Female",INDEX(Lookup!$M$2:$M$13,RANDBETWEEN(1,12)),INDEX(Lookup!$N$2:$N$13,RANDBETWEEN(1,12))))</f>
        <v>Ella</v>
      </c>
      <c r="C390" s="16" t="str" cm="1">
        <f t="array" ref="C390" ca="1">INDEX(Lookup!$K$2:$K$31,RANDBETWEEN(1,30))</f>
        <v>Baker</v>
      </c>
      <c r="D390" s="16" t="str" cm="1">
        <f t="array" ref="D390" ca="1">INDEX(Lookup!$H$2:$H$4,RANDBETWEEN(1,3))</f>
        <v>Female</v>
      </c>
      <c r="E390" s="16">
        <f t="shared" ca="1" si="84"/>
        <v>60</v>
      </c>
      <c r="F390" s="16" t="str" cm="1">
        <f t="array" ref="F390" ca="1">INDEX(Lookup!$A$2:$A$10,RANDBETWEEN(1,9))</f>
        <v>Sales</v>
      </c>
      <c r="G390" s="16" t="str" cm="1">
        <f t="array" ref="G390" ca="1">_xlfn.LET(_xlpm.Roles,_xlfn._xlws.FILTER(Lookup!$P$2:$P$28,Lookup!$O$2:$O$28=F390),INDEX(_xlpm.Roles,RANDBETWEEN(1,ROWS(_xlpm.Roles))))</f>
        <v>Business Development Executive</v>
      </c>
      <c r="H390" s="16" t="str" cm="1">
        <f t="array" ref="H390" ca="1">INDEX(Lookup!$B$2:$B$7,RANDBETWEEN(1,6))</f>
        <v>Waterford</v>
      </c>
      <c r="I390" s="22">
        <f t="shared" ca="1" si="85"/>
        <v>44155</v>
      </c>
      <c r="J390" s="22">
        <f t="shared" ca="1" si="86"/>
        <v>45588</v>
      </c>
      <c r="K390" s="16" t="str">
        <f t="shared" ca="1" si="87"/>
        <v>Resigned</v>
      </c>
      <c r="L390" s="26">
        <f ca="1">_xlfn.XLOOKUP(G390,Lookup!$P$2:$P$28,Lookup!$Q$2:$Q$28)*(1+MIN(X390*3%,30%))</f>
        <v>59520</v>
      </c>
      <c r="M390" s="24">
        <f t="shared" ca="1" si="97"/>
        <v>1</v>
      </c>
      <c r="N390" s="24">
        <f t="shared" ca="1" si="88"/>
        <v>48</v>
      </c>
      <c r="O390" s="24">
        <f t="shared" ca="1" si="89"/>
        <v>13</v>
      </c>
      <c r="P390" s="24">
        <f t="shared" ca="1" si="90"/>
        <v>16</v>
      </c>
      <c r="Q390" s="16" t="str">
        <f t="shared" ca="1" si="91"/>
        <v>Promoted</v>
      </c>
      <c r="R390" s="16" t="str" cm="1">
        <f t="array" ref="R390" ca="1">INDEX(Lookup!$E$2:$E$6,RANDBETWEEN(1,5))</f>
        <v>Bachelor's</v>
      </c>
      <c r="S390" s="16" t="str" cm="1">
        <f t="array" ref="S390" ca="1">INDEX(Lookup!$J$2:$J$11,RANDBETWEEN(1,10))</f>
        <v>Liam Byrne</v>
      </c>
      <c r="T390" s="16" t="str">
        <f t="shared" ca="1" si="92"/>
        <v>ella.baker@hranalytics.com</v>
      </c>
      <c r="U390" s="16" t="str">
        <f t="shared" ca="1" si="93"/>
        <v>0833663808</v>
      </c>
      <c r="V390" s="16" t="str" cm="1">
        <f t="array" ref="V390" ca="1">_xlfn.LET(_xlpm.r,RANDBETWEEN(1,100),_xlfn.IFS(_xlpm.r&lt;=70,"Full-Time",_xlpm.r&lt;=85,"Part-Time",_xlpm.r&lt;=95,"Contract",TRUE,"Intern"))</f>
        <v>Full-Time</v>
      </c>
      <c r="W390" s="16" cm="1">
        <f t="array" ref="W390" ca="1">IF(K390&lt;&gt;"Active",0,_xlfn.IFS(M390=5,L390*15%,M390=4,L390*10%,M390=3,L390*5%,M390=2,L390*2%,TRUE,0))</f>
        <v>1190.4000000000001</v>
      </c>
      <c r="X390" s="24">
        <f t="shared" ca="1" si="94"/>
        <v>5</v>
      </c>
      <c r="Y390" s="24">
        <f t="shared" ca="1" si="95"/>
        <v>2</v>
      </c>
    </row>
    <row r="391" spans="1:25">
      <c r="A391" s="16" t="str">
        <f t="shared" si="96"/>
        <v>EMP390</v>
      </c>
      <c r="B391" s="16" t="str" cm="1">
        <f t="array" ref="B391" ca="1">IF(D391="Male",INDEX(Lookup!$L$2:$L$13,RANDBETWEEN(1,12)),IF(D391="Female",INDEX(Lookup!$M$2:$M$13,RANDBETWEEN(1,12)),INDEX(Lookup!$N$2:$N$13,RANDBETWEEN(1,12))))</f>
        <v>Quinn</v>
      </c>
      <c r="C391" s="16" t="str" cm="1">
        <f t="array" ref="C391" ca="1">INDEX(Lookup!$K$2:$K$31,RANDBETWEEN(1,30))</f>
        <v>Hall</v>
      </c>
      <c r="D391" s="16" t="str" cm="1">
        <f t="array" ref="D391" ca="1">INDEX(Lookup!$H$2:$H$4,RANDBETWEEN(1,3))</f>
        <v>Other</v>
      </c>
      <c r="E391" s="16">
        <f t="shared" ca="1" si="84"/>
        <v>56</v>
      </c>
      <c r="F391" s="16" t="str" cm="1">
        <f t="array" ref="F391" ca="1">INDEX(Lookup!$A$2:$A$10,RANDBETWEEN(1,9))</f>
        <v>Finance</v>
      </c>
      <c r="G391" s="16" t="str" cm="1">
        <f t="array" ref="G391" ca="1">_xlfn.LET(_xlpm.Roles,_xlfn._xlws.FILTER(Lookup!$P$2:$P$28,Lookup!$O$2:$O$28=F391),INDEX(_xlpm.Roles,RANDBETWEEN(1,ROWS(_xlpm.Roles))))</f>
        <v>Accountant</v>
      </c>
      <c r="H391" s="16" t="str" cm="1">
        <f t="array" ref="H391" ca="1">INDEX(Lookup!$B$2:$B$7,RANDBETWEEN(1,6))</f>
        <v>Belfast</v>
      </c>
      <c r="I391" s="22">
        <f t="shared" ca="1" si="85"/>
        <v>43867</v>
      </c>
      <c r="J391" s="22" t="str">
        <f t="shared" ca="1" si="86"/>
        <v/>
      </c>
      <c r="K391" s="16" t="str">
        <f t="shared" ca="1" si="87"/>
        <v>Active</v>
      </c>
      <c r="L391" s="26">
        <f ca="1">_xlfn.XLOOKUP(G391,Lookup!$P$2:$P$28,Lookup!$Q$2:$Q$28)*(1+MIN(X391*3%,30%))</f>
        <v>56000</v>
      </c>
      <c r="M391" s="24">
        <f t="shared" ca="1" si="97"/>
        <v>3</v>
      </c>
      <c r="N391" s="24">
        <f t="shared" ca="1" si="88"/>
        <v>31</v>
      </c>
      <c r="O391" s="24">
        <f t="shared" ca="1" si="89"/>
        <v>18</v>
      </c>
      <c r="P391" s="24">
        <f t="shared" ca="1" si="90"/>
        <v>13</v>
      </c>
      <c r="Q391" s="16" t="str">
        <f t="shared" ca="1" si="91"/>
        <v>Promoted</v>
      </c>
      <c r="R391" s="16" t="str" cm="1">
        <f t="array" ref="R391" ca="1">INDEX(Lookup!$E$2:$E$6,RANDBETWEEN(1,5))</f>
        <v>PhD</v>
      </c>
      <c r="S391" s="16" t="str" cm="1">
        <f t="array" ref="S391" ca="1">INDEX(Lookup!$J$2:$J$11,RANDBETWEEN(1,10))</f>
        <v>Emma Wilson</v>
      </c>
      <c r="T391" s="16" t="str">
        <f t="shared" ca="1" si="92"/>
        <v>quinn.hall@hranalytics.com</v>
      </c>
      <c r="U391" s="16" t="str">
        <f t="shared" ca="1" si="93"/>
        <v>0862786861</v>
      </c>
      <c r="V391" s="16" t="str" cm="1">
        <f t="array" ref="V391" ca="1">_xlfn.LET(_xlpm.r,RANDBETWEEN(1,100),_xlfn.IFS(_xlpm.r&lt;=70,"Full-Time",_xlpm.r&lt;=85,"Part-Time",_xlpm.r&lt;=95,"Contract",TRUE,"Intern"))</f>
        <v>Full-Time</v>
      </c>
      <c r="W391" s="16" cm="1">
        <f t="array" ref="W391" ca="1">IF(K391&lt;&gt;"Active",0,_xlfn.IFS(M391=5,L391*15%,M391=4,L391*10%,M391=3,L391*5%,M391=2,L391*2%,TRUE,0))</f>
        <v>2800</v>
      </c>
      <c r="X391" s="24">
        <f t="shared" ca="1" si="94"/>
        <v>6</v>
      </c>
      <c r="Y391" s="24">
        <f t="shared" ca="1" si="95"/>
        <v>2</v>
      </c>
    </row>
    <row r="392" spans="1:25">
      <c r="A392" s="16" t="str">
        <f t="shared" si="96"/>
        <v>EMP391</v>
      </c>
      <c r="B392" s="16" t="str" cm="1">
        <f t="array" ref="B392" ca="1">IF(D392="Male",INDEX(Lookup!$L$2:$L$13,RANDBETWEEN(1,12)),IF(D392="Female",INDEX(Lookup!$M$2:$M$13,RANDBETWEEN(1,12)),INDEX(Lookup!$N$2:$N$13,RANDBETWEEN(1,12))))</f>
        <v>Quinn</v>
      </c>
      <c r="C392" s="16" t="str" cm="1">
        <f t="array" ref="C392" ca="1">INDEX(Lookup!$K$2:$K$31,RANDBETWEEN(1,30))</f>
        <v>Wilson</v>
      </c>
      <c r="D392" s="16" t="str" cm="1">
        <f t="array" ref="D392" ca="1">INDEX(Lookup!$H$2:$H$4,RANDBETWEEN(1,3))</f>
        <v>Other</v>
      </c>
      <c r="E392" s="16">
        <f t="shared" ca="1" si="84"/>
        <v>25</v>
      </c>
      <c r="F392" s="16" t="str" cm="1">
        <f t="array" ref="F392" ca="1">INDEX(Lookup!$A$2:$A$10,RANDBETWEEN(1,9))</f>
        <v>Legal</v>
      </c>
      <c r="G392" s="16" t="str" cm="1">
        <f t="array" ref="G392" ca="1">_xlfn.LET(_xlpm.Roles,_xlfn._xlws.FILTER(Lookup!$P$2:$P$28,Lookup!$O$2:$O$28=F392),INDEX(_xlpm.Roles,RANDBETWEEN(1,ROWS(_xlpm.Roles))))</f>
        <v>Compliance Officer</v>
      </c>
      <c r="H392" s="16" t="str" cm="1">
        <f t="array" ref="H392" ca="1">INDEX(Lookup!$B$2:$B$7,RANDBETWEEN(1,6))</f>
        <v>Dublin</v>
      </c>
      <c r="I392" s="22">
        <f t="shared" ca="1" si="85"/>
        <v>43365</v>
      </c>
      <c r="J392" s="22" t="str">
        <f t="shared" ca="1" si="86"/>
        <v/>
      </c>
      <c r="K392" s="16" t="str">
        <f t="shared" ca="1" si="87"/>
        <v>Active</v>
      </c>
      <c r="L392" s="26">
        <f ca="1">_xlfn.XLOOKUP(G392,Lookup!$P$2:$P$28,Lookup!$Q$2:$Q$28)*(1+MIN(X392*3%,30%))</f>
        <v>70800</v>
      </c>
      <c r="M392" s="24">
        <f t="shared" ca="1" si="97"/>
        <v>1</v>
      </c>
      <c r="N392" s="24">
        <f t="shared" ca="1" si="88"/>
        <v>25</v>
      </c>
      <c r="O392" s="24">
        <f t="shared" ca="1" si="89"/>
        <v>20</v>
      </c>
      <c r="P392" s="24">
        <f t="shared" ca="1" si="90"/>
        <v>27</v>
      </c>
      <c r="Q392" s="16" t="str">
        <f t="shared" ca="1" si="91"/>
        <v>Not Promoted</v>
      </c>
      <c r="R392" s="16" t="str" cm="1">
        <f t="array" ref="R392" ca="1">INDEX(Lookup!$E$2:$E$6,RANDBETWEEN(1,5))</f>
        <v>PhD</v>
      </c>
      <c r="S392" s="16" t="str" cm="1">
        <f t="array" ref="S392" ca="1">INDEX(Lookup!$J$2:$J$11,RANDBETWEEN(1,10))</f>
        <v>Grace O'Connor</v>
      </c>
      <c r="T392" s="16" t="str">
        <f t="shared" ca="1" si="92"/>
        <v>quinn.wilson@hranalytics.com</v>
      </c>
      <c r="U392" s="16" t="str">
        <f t="shared" ca="1" si="93"/>
        <v>0867586163</v>
      </c>
      <c r="V392" s="16" t="str" cm="1">
        <f t="array" ref="V392" ca="1">_xlfn.LET(_xlpm.r,RANDBETWEEN(1,100),_xlfn.IFS(_xlpm.r&lt;=70,"Full-Time",_xlpm.r&lt;=85,"Part-Time",_xlpm.r&lt;=95,"Contract",TRUE,"Intern"))</f>
        <v>Part-Time</v>
      </c>
      <c r="W392" s="16" cm="1">
        <f t="array" ref="W392" ca="1">IF(K392&lt;&gt;"Active",0,_xlfn.IFS(M392=5,L392*15%,M392=4,L392*10%,M392=3,L392*5%,M392=2,L392*2%,TRUE,0))</f>
        <v>0</v>
      </c>
      <c r="X392" s="24">
        <f t="shared" ca="1" si="94"/>
        <v>7</v>
      </c>
      <c r="Y392" s="24">
        <f t="shared" ca="1" si="95"/>
        <v>3</v>
      </c>
    </row>
    <row r="393" spans="1:25">
      <c r="A393" s="16" t="str">
        <f t="shared" si="96"/>
        <v>EMP392</v>
      </c>
      <c r="B393" s="16" t="str" cm="1">
        <f t="array" ref="B393" ca="1">IF(D393="Male",INDEX(Lookup!$L$2:$L$13,RANDBETWEEN(1,12)),IF(D393="Female",INDEX(Lookup!$M$2:$M$13,RANDBETWEEN(1,12)),INDEX(Lookup!$N$2:$N$13,RANDBETWEEN(1,12))))</f>
        <v>Morgan</v>
      </c>
      <c r="C393" s="16" t="str" cm="1">
        <f t="array" ref="C393" ca="1">INDEX(Lookup!$K$2:$K$31,RANDBETWEEN(1,30))</f>
        <v>Nelson</v>
      </c>
      <c r="D393" s="16" t="str" cm="1">
        <f t="array" ref="D393" ca="1">INDEX(Lookup!$H$2:$H$4,RANDBETWEEN(1,3))</f>
        <v>Other</v>
      </c>
      <c r="E393" s="16">
        <f t="shared" ca="1" si="84"/>
        <v>45</v>
      </c>
      <c r="F393" s="16" t="str" cm="1">
        <f t="array" ref="F393" ca="1">INDEX(Lookup!$A$2:$A$10,RANDBETWEEN(1,9))</f>
        <v>Sales</v>
      </c>
      <c r="G393" s="16" t="str" cm="1">
        <f t="array" ref="G393" ca="1">_xlfn.LET(_xlpm.Roles,_xlfn._xlws.FILTER(Lookup!$P$2:$P$28,Lookup!$O$2:$O$28=F393),INDEX(_xlpm.Roles,RANDBETWEEN(1,ROWS(_xlpm.Roles))))</f>
        <v>Business Development Executive</v>
      </c>
      <c r="H393" s="16" t="str" cm="1">
        <f t="array" ref="H393" ca="1">INDEX(Lookup!$B$2:$B$7,RANDBETWEEN(1,6))</f>
        <v>Belfast</v>
      </c>
      <c r="I393" s="22">
        <f t="shared" ca="1" si="85"/>
        <v>44340</v>
      </c>
      <c r="J393" s="22" t="str">
        <f t="shared" ca="1" si="86"/>
        <v/>
      </c>
      <c r="K393" s="16" t="str">
        <f t="shared" ca="1" si="87"/>
        <v>Active</v>
      </c>
      <c r="L393" s="26">
        <f ca="1">_xlfn.XLOOKUP(G393,Lookup!$P$2:$P$28,Lookup!$Q$2:$Q$28)*(1+MIN(X393*3%,30%))</f>
        <v>58080</v>
      </c>
      <c r="M393" s="24">
        <f t="shared" ca="1" si="97"/>
        <v>3</v>
      </c>
      <c r="N393" s="24">
        <f t="shared" ca="1" si="88"/>
        <v>63</v>
      </c>
      <c r="O393" s="24">
        <f t="shared" ca="1" si="89"/>
        <v>13</v>
      </c>
      <c r="P393" s="24">
        <f t="shared" ca="1" si="90"/>
        <v>34</v>
      </c>
      <c r="Q393" s="16" t="str">
        <f t="shared" ca="1" si="91"/>
        <v>Promoted</v>
      </c>
      <c r="R393" s="16" t="str" cm="1">
        <f t="array" ref="R393" ca="1">INDEX(Lookup!$E$2:$E$6,RANDBETWEEN(1,5))</f>
        <v>PhD</v>
      </c>
      <c r="S393" s="16" t="str" cm="1">
        <f t="array" ref="S393" ca="1">INDEX(Lookup!$J$2:$J$11,RANDBETWEEN(1,10))</f>
        <v>Sophia Martin</v>
      </c>
      <c r="T393" s="16" t="str">
        <f t="shared" ca="1" si="92"/>
        <v>morgan.nelson@hranalytics.com</v>
      </c>
      <c r="U393" s="16" t="str">
        <f t="shared" ca="1" si="93"/>
        <v>0834053705</v>
      </c>
      <c r="V393" s="16" t="str" cm="1">
        <f t="array" ref="V393" ca="1">_xlfn.LET(_xlpm.r,RANDBETWEEN(1,100),_xlfn.IFS(_xlpm.r&lt;=70,"Full-Time",_xlpm.r&lt;=85,"Part-Time",_xlpm.r&lt;=95,"Contract",TRUE,"Intern"))</f>
        <v>Part-Time</v>
      </c>
      <c r="W393" s="16" cm="1">
        <f t="array" ref="W393" ca="1">IF(K393&lt;&gt;"Active",0,_xlfn.IFS(M393=5,L393*15%,M393=4,L393*10%,M393=3,L393*5%,M393=2,L393*2%,TRUE,0))</f>
        <v>1161.5999999999999</v>
      </c>
      <c r="X393" s="24">
        <f t="shared" ca="1" si="94"/>
        <v>5</v>
      </c>
      <c r="Y393" s="24">
        <f t="shared" ca="1" si="95"/>
        <v>3</v>
      </c>
    </row>
    <row r="394" spans="1:25">
      <c r="A394" s="16" t="str">
        <f t="shared" si="96"/>
        <v>EMP393</v>
      </c>
      <c r="B394" s="16" t="str" cm="1">
        <f t="array" ref="B394" ca="1">IF(D394="Male",INDEX(Lookup!$L$2:$L$13,RANDBETWEEN(1,12)),IF(D394="Female",INDEX(Lookup!$M$2:$M$13,RANDBETWEEN(1,12)),INDEX(Lookup!$N$2:$N$13,RANDBETWEEN(1,12))))</f>
        <v>Avery</v>
      </c>
      <c r="C394" s="16" t="str" cm="1">
        <f t="array" ref="C394" ca="1">INDEX(Lookup!$K$2:$K$31,RANDBETWEEN(1,30))</f>
        <v>Wilson</v>
      </c>
      <c r="D394" s="16" t="str" cm="1">
        <f t="array" ref="D394" ca="1">INDEX(Lookup!$H$2:$H$4,RANDBETWEEN(1,3))</f>
        <v>Other</v>
      </c>
      <c r="E394" s="16">
        <f t="shared" ca="1" si="84"/>
        <v>41</v>
      </c>
      <c r="F394" s="16" t="str" cm="1">
        <f t="array" ref="F394" ca="1">INDEX(Lookup!$A$2:$A$10,RANDBETWEEN(1,9))</f>
        <v>IT</v>
      </c>
      <c r="G394" s="16" t="str" cm="1">
        <f t="array" ref="G394" ca="1">_xlfn.LET(_xlpm.Roles,_xlfn._xlws.FILTER(Lookup!$P$2:$P$28,Lookup!$O$2:$O$28=F394),INDEX(_xlpm.Roles,RANDBETWEEN(1,ROWS(_xlpm.Roles))))</f>
        <v>Data Analyst</v>
      </c>
      <c r="H394" s="16" t="str" cm="1">
        <f t="array" ref="H394" ca="1">INDEX(Lookup!$B$2:$B$7,RANDBETWEEN(1,6))</f>
        <v>Belfast</v>
      </c>
      <c r="I394" s="22">
        <f t="shared" ca="1" si="85"/>
        <v>45375</v>
      </c>
      <c r="J394" s="22" t="str">
        <f t="shared" ca="1" si="86"/>
        <v/>
      </c>
      <c r="K394" s="16" t="str">
        <f t="shared" ca="1" si="87"/>
        <v>Active</v>
      </c>
      <c r="L394" s="26">
        <f ca="1">_xlfn.XLOOKUP(G394,Lookup!$P$2:$P$28,Lookup!$Q$2:$Q$28)*(1+MIN(X394*3%,30%))</f>
        <v>68200</v>
      </c>
      <c r="M394" s="24">
        <f t="shared" ca="1" si="97"/>
        <v>1</v>
      </c>
      <c r="N394" s="24">
        <f t="shared" ca="1" si="88"/>
        <v>80</v>
      </c>
      <c r="O394" s="24">
        <f t="shared" ca="1" si="89"/>
        <v>2</v>
      </c>
      <c r="P394" s="24">
        <f t="shared" ca="1" si="90"/>
        <v>33</v>
      </c>
      <c r="Q394" s="16" t="str">
        <f t="shared" ca="1" si="91"/>
        <v>Promoted</v>
      </c>
      <c r="R394" s="16" t="str" cm="1">
        <f t="array" ref="R394" ca="1">INDEX(Lookup!$E$2:$E$6,RANDBETWEEN(1,5))</f>
        <v>Bachelor's</v>
      </c>
      <c r="S394" s="16" t="str" cm="1">
        <f t="array" ref="S394" ca="1">INDEX(Lookup!$J$2:$J$11,RANDBETWEEN(1,10))</f>
        <v>Michael Brown</v>
      </c>
      <c r="T394" s="16" t="str">
        <f t="shared" ca="1" si="92"/>
        <v>avery.wilson@hranalytics.com</v>
      </c>
      <c r="U394" s="16" t="str">
        <f t="shared" ca="1" si="93"/>
        <v>0859083731</v>
      </c>
      <c r="V394" s="16" t="str" cm="1">
        <f t="array" ref="V394" ca="1">_xlfn.LET(_xlpm.r,RANDBETWEEN(1,100),_xlfn.IFS(_xlpm.r&lt;=70,"Full-Time",_xlpm.r&lt;=85,"Part-Time",_xlpm.r&lt;=95,"Contract",TRUE,"Intern"))</f>
        <v>Full-Time</v>
      </c>
      <c r="W394" s="16" cm="1">
        <f t="array" ref="W394" ca="1">IF(K394&lt;&gt;"Active",0,_xlfn.IFS(M394=5,L394*15%,M394=4,L394*10%,M394=3,L394*5%,M394=2,L394*2%,TRUE,0))</f>
        <v>10230</v>
      </c>
      <c r="X394" s="24">
        <f t="shared" ca="1" si="94"/>
        <v>2</v>
      </c>
      <c r="Y394" s="24">
        <f t="shared" ca="1" si="95"/>
        <v>2</v>
      </c>
    </row>
    <row r="395" spans="1:25">
      <c r="A395" s="16" t="str">
        <f t="shared" si="96"/>
        <v>EMP394</v>
      </c>
      <c r="B395" s="16" t="str" cm="1">
        <f t="array" ref="B395" ca="1">IF(D395="Male",INDEX(Lookup!$L$2:$L$13,RANDBETWEEN(1,12)),IF(D395="Female",INDEX(Lookup!$M$2:$M$13,RANDBETWEEN(1,12)),INDEX(Lookup!$N$2:$N$13,RANDBETWEEN(1,12))))</f>
        <v>Daniel</v>
      </c>
      <c r="C395" s="16" t="str" cm="1">
        <f t="array" ref="C395" ca="1">INDEX(Lookup!$K$2:$K$31,RANDBETWEEN(1,30))</f>
        <v>Nelson</v>
      </c>
      <c r="D395" s="16" t="str" cm="1">
        <f t="array" ref="D395" ca="1">INDEX(Lookup!$H$2:$H$4,RANDBETWEEN(1,3))</f>
        <v>Male</v>
      </c>
      <c r="E395" s="16">
        <f t="shared" ca="1" si="84"/>
        <v>50</v>
      </c>
      <c r="F395" s="16" t="str" cm="1">
        <f t="array" ref="F395" ca="1">INDEX(Lookup!$A$2:$A$10,RANDBETWEEN(1,9))</f>
        <v>Marketing</v>
      </c>
      <c r="G395" s="16" t="str" cm="1">
        <f t="array" ref="G395" ca="1">_xlfn.LET(_xlpm.Roles,_xlfn._xlws.FILTER(Lookup!$P$2:$P$28,Lookup!$O$2:$O$28=F395),INDEX(_xlpm.Roles,RANDBETWEEN(1,ROWS(_xlpm.Roles))))</f>
        <v>Brand Executive</v>
      </c>
      <c r="H395" s="16" t="str" cm="1">
        <f t="array" ref="H395" ca="1">INDEX(Lookup!$B$2:$B$7,RANDBETWEEN(1,6))</f>
        <v>Belfast</v>
      </c>
      <c r="I395" s="22">
        <f t="shared" ca="1" si="85"/>
        <v>44575</v>
      </c>
      <c r="J395" s="22" t="str">
        <f t="shared" ca="1" si="86"/>
        <v/>
      </c>
      <c r="K395" s="16" t="str">
        <f t="shared" ca="1" si="87"/>
        <v>Active</v>
      </c>
      <c r="L395" s="26">
        <f ca="1">_xlfn.XLOOKUP(G395,Lookup!$P$2:$P$28,Lookup!$Q$2:$Q$28)*(1+MIN(X395*3%,30%))</f>
        <v>57040</v>
      </c>
      <c r="M395" s="24">
        <f t="shared" ca="1" si="97"/>
        <v>4</v>
      </c>
      <c r="N395" s="24">
        <f t="shared" ca="1" si="88"/>
        <v>73</v>
      </c>
      <c r="O395" s="24">
        <f t="shared" ca="1" si="89"/>
        <v>3</v>
      </c>
      <c r="P395" s="24">
        <f t="shared" ca="1" si="90"/>
        <v>9</v>
      </c>
      <c r="Q395" s="16" t="str">
        <f t="shared" ca="1" si="91"/>
        <v>Not Promoted</v>
      </c>
      <c r="R395" s="16" t="str" cm="1">
        <f t="array" ref="R395" ca="1">INDEX(Lookup!$E$2:$E$6,RANDBETWEEN(1,5))</f>
        <v>Master's</v>
      </c>
      <c r="S395" s="16" t="str" cm="1">
        <f t="array" ref="S395" ca="1">INDEX(Lookup!$J$2:$J$11,RANDBETWEEN(1,10))</f>
        <v>James Taylor</v>
      </c>
      <c r="T395" s="16" t="str">
        <f t="shared" ca="1" si="92"/>
        <v>daniel.nelson@hranalytics.com</v>
      </c>
      <c r="U395" s="16" t="str">
        <f t="shared" ca="1" si="93"/>
        <v>0867739216</v>
      </c>
      <c r="V395" s="16" t="str" cm="1">
        <f t="array" ref="V395" ca="1">_xlfn.LET(_xlpm.r,RANDBETWEEN(1,100),_xlfn.IFS(_xlpm.r&lt;=70,"Full-Time",_xlpm.r&lt;=85,"Part-Time",_xlpm.r&lt;=95,"Contract",TRUE,"Intern"))</f>
        <v>Full-Time</v>
      </c>
      <c r="W395" s="16" cm="1">
        <f t="array" ref="W395" ca="1">IF(K395&lt;&gt;"Active",0,_xlfn.IFS(M395=5,L395*15%,M395=4,L395*10%,M395=3,L395*5%,M395=2,L395*2%,TRUE,0))</f>
        <v>0</v>
      </c>
      <c r="X395" s="24">
        <f t="shared" ca="1" si="94"/>
        <v>4</v>
      </c>
      <c r="Y395" s="24">
        <f t="shared" ca="1" si="95"/>
        <v>3</v>
      </c>
    </row>
    <row r="396" spans="1:25">
      <c r="A396" s="16" t="str">
        <f t="shared" si="96"/>
        <v>EMP395</v>
      </c>
      <c r="B396" s="16" t="str" cm="1">
        <f t="array" ref="B396" ca="1">IF(D396="Male",INDEX(Lookup!$L$2:$L$13,RANDBETWEEN(1,12)),IF(D396="Female",INDEX(Lookup!$M$2:$M$13,RANDBETWEEN(1,12)),INDEX(Lookup!$N$2:$N$13,RANDBETWEEN(1,12))))</f>
        <v>Jack</v>
      </c>
      <c r="C396" s="16" t="str" cm="1">
        <f t="array" ref="C396" ca="1">INDEX(Lookup!$K$2:$K$31,RANDBETWEEN(1,30))</f>
        <v>Adams</v>
      </c>
      <c r="D396" s="16" t="str" cm="1">
        <f t="array" ref="D396" ca="1">INDEX(Lookup!$H$2:$H$4,RANDBETWEEN(1,3))</f>
        <v>Male</v>
      </c>
      <c r="E396" s="16">
        <f t="shared" ca="1" si="84"/>
        <v>31</v>
      </c>
      <c r="F396" s="16" t="str" cm="1">
        <f t="array" ref="F396" ca="1">INDEX(Lookup!$A$2:$A$10,RANDBETWEEN(1,9))</f>
        <v>Customer Support</v>
      </c>
      <c r="G396" s="16" t="str" cm="1">
        <f t="array" ref="G396" ca="1">_xlfn.LET(_xlpm.Roles,_xlfn._xlws.FILTER(Lookup!$P$2:$P$28,Lookup!$O$2:$O$28=F396),INDEX(_xlpm.Roles,RANDBETWEEN(1,ROWS(_xlpm.Roles))))</f>
        <v>Technical Support Specialist</v>
      </c>
      <c r="H396" s="16" t="str" cm="1">
        <f t="array" ref="H396" ca="1">INDEX(Lookup!$B$2:$B$7,RANDBETWEEN(1,6))</f>
        <v>Waterford</v>
      </c>
      <c r="I396" s="22">
        <f t="shared" ca="1" si="85"/>
        <v>44639</v>
      </c>
      <c r="J396" s="22">
        <f t="shared" ca="1" si="86"/>
        <v>46402</v>
      </c>
      <c r="K396" s="16" t="str">
        <f t="shared" ca="1" si="87"/>
        <v>Resigned</v>
      </c>
      <c r="L396" s="26">
        <f ca="1">_xlfn.XLOOKUP(G396,Lookup!$P$2:$P$28,Lookup!$Q$2:$Q$28)*(1+MIN(X396*3%,30%))</f>
        <v>54450</v>
      </c>
      <c r="M396" s="24">
        <f t="shared" ca="1" si="97"/>
        <v>2</v>
      </c>
      <c r="N396" s="24">
        <f t="shared" ca="1" si="88"/>
        <v>17</v>
      </c>
      <c r="O396" s="24">
        <f t="shared" ca="1" si="89"/>
        <v>4</v>
      </c>
      <c r="P396" s="24">
        <f t="shared" ca="1" si="90"/>
        <v>44</v>
      </c>
      <c r="Q396" s="16" t="str">
        <f t="shared" ca="1" si="91"/>
        <v>Promoted</v>
      </c>
      <c r="R396" s="16" t="str" cm="1">
        <f t="array" ref="R396" ca="1">INDEX(Lookup!$E$2:$E$6,RANDBETWEEN(1,5))</f>
        <v>Master's</v>
      </c>
      <c r="S396" s="16" t="str" cm="1">
        <f t="array" ref="S396" ca="1">INDEX(Lookup!$J$2:$J$11,RANDBETWEEN(1,10))</f>
        <v>Sophia Martin</v>
      </c>
      <c r="T396" s="16" t="str">
        <f t="shared" ca="1" si="92"/>
        <v>jack.adams@hranalytics.com</v>
      </c>
      <c r="U396" s="16" t="str">
        <f t="shared" ca="1" si="93"/>
        <v>0891099729</v>
      </c>
      <c r="V396" s="16" t="str" cm="1">
        <f t="array" ref="V396" ca="1">_xlfn.LET(_xlpm.r,RANDBETWEEN(1,100),_xlfn.IFS(_xlpm.r&lt;=70,"Full-Time",_xlpm.r&lt;=85,"Part-Time",_xlpm.r&lt;=95,"Contract",TRUE,"Intern"))</f>
        <v>Full-Time</v>
      </c>
      <c r="W396" s="16" cm="1">
        <f t="array" ref="W396" ca="1">IF(K396&lt;&gt;"Active",0,_xlfn.IFS(M396=5,L396*15%,M396=4,L396*10%,M396=3,L396*5%,M396=2,L396*2%,TRUE,0))</f>
        <v>1089</v>
      </c>
      <c r="X396" s="24">
        <f t="shared" ca="1" si="94"/>
        <v>4</v>
      </c>
      <c r="Y396" s="24">
        <f t="shared" ca="1" si="95"/>
        <v>1</v>
      </c>
    </row>
    <row r="397" spans="1:25">
      <c r="A397" s="16" t="str">
        <f t="shared" si="96"/>
        <v>EMP396</v>
      </c>
      <c r="B397" s="16" t="str" cm="1">
        <f t="array" ref="B397" ca="1">IF(D397="Male",INDEX(Lookup!$L$2:$L$13,RANDBETWEEN(1,12)),IF(D397="Female",INDEX(Lookup!$M$2:$M$13,RANDBETWEEN(1,12)),INDEX(Lookup!$N$2:$N$13,RANDBETWEEN(1,12))))</f>
        <v>Taylor</v>
      </c>
      <c r="C397" s="16" t="str" cm="1">
        <f t="array" ref="C397" ca="1">INDEX(Lookup!$K$2:$K$31,RANDBETWEEN(1,30))</f>
        <v>Cooper</v>
      </c>
      <c r="D397" s="16" t="str" cm="1">
        <f t="array" ref="D397" ca="1">INDEX(Lookup!$H$2:$H$4,RANDBETWEEN(1,3))</f>
        <v>Other</v>
      </c>
      <c r="E397" s="16">
        <f t="shared" ca="1" si="84"/>
        <v>59</v>
      </c>
      <c r="F397" s="16" t="str" cm="1">
        <f t="array" ref="F397" ca="1">INDEX(Lookup!$A$2:$A$10,RANDBETWEEN(1,9))</f>
        <v>Procurement</v>
      </c>
      <c r="G397" s="16" t="str" cm="1">
        <f t="array" ref="G397" ca="1">_xlfn.LET(_xlpm.Roles,_xlfn._xlws.FILTER(Lookup!$P$2:$P$28,Lookup!$O$2:$O$28=F397),INDEX(_xlpm.Roles,RANDBETWEEN(1,ROWS(_xlpm.Roles))))</f>
        <v>Procurement Analyst</v>
      </c>
      <c r="H397" s="16" t="str" cm="1">
        <f t="array" ref="H397" ca="1">INDEX(Lookup!$B$2:$B$7,RANDBETWEEN(1,6))</f>
        <v>Limerick</v>
      </c>
      <c r="I397" s="22">
        <f t="shared" ca="1" si="85"/>
        <v>45946</v>
      </c>
      <c r="J397" s="22" t="str">
        <f t="shared" ca="1" si="86"/>
        <v/>
      </c>
      <c r="K397" s="16" t="str">
        <f t="shared" ca="1" si="87"/>
        <v>Active</v>
      </c>
      <c r="L397" s="26">
        <f ca="1">_xlfn.XLOOKUP(G397,Lookup!$P$2:$P$28,Lookup!$Q$2:$Q$28)*(1+MIN(X397*3%,30%))</f>
        <v>59000</v>
      </c>
      <c r="M397" s="24">
        <f t="shared" ca="1" si="97"/>
        <v>1</v>
      </c>
      <c r="N397" s="24">
        <f t="shared" ca="1" si="88"/>
        <v>38</v>
      </c>
      <c r="O397" s="24">
        <f t="shared" ca="1" si="89"/>
        <v>10</v>
      </c>
      <c r="P397" s="24">
        <f t="shared" ca="1" si="90"/>
        <v>57</v>
      </c>
      <c r="Q397" s="16" t="str">
        <f t="shared" ca="1" si="91"/>
        <v>Promoted</v>
      </c>
      <c r="R397" s="16" t="str" cm="1">
        <f t="array" ref="R397" ca="1">INDEX(Lookup!$E$2:$E$6,RANDBETWEEN(1,5))</f>
        <v>Master's</v>
      </c>
      <c r="S397" s="16" t="str" cm="1">
        <f t="array" ref="S397" ca="1">INDEX(Lookup!$J$2:$J$11,RANDBETWEEN(1,10))</f>
        <v>Daniel Kelly</v>
      </c>
      <c r="T397" s="16" t="str">
        <f t="shared" ca="1" si="92"/>
        <v>taylor.cooper@hranalytics.com</v>
      </c>
      <c r="U397" s="16" t="str">
        <f t="shared" ca="1" si="93"/>
        <v>0862819535</v>
      </c>
      <c r="V397" s="16" t="str" cm="1">
        <f t="array" ref="V397" ca="1">_xlfn.LET(_xlpm.r,RANDBETWEEN(1,100),_xlfn.IFS(_xlpm.r&lt;=70,"Full-Time",_xlpm.r&lt;=85,"Part-Time",_xlpm.r&lt;=95,"Contract",TRUE,"Intern"))</f>
        <v>Full-Time</v>
      </c>
      <c r="W397" s="16" cm="1">
        <f t="array" ref="W397" ca="1">IF(K397&lt;&gt;"Active",0,_xlfn.IFS(M397=5,L397*15%,M397=4,L397*10%,M397=3,L397*5%,M397=2,L397*2%,TRUE,0))</f>
        <v>0</v>
      </c>
      <c r="X397" s="24">
        <f t="shared" ca="1" si="94"/>
        <v>0</v>
      </c>
      <c r="Y397" s="24">
        <f t="shared" ca="1" si="95"/>
        <v>2</v>
      </c>
    </row>
    <row r="398" spans="1:25">
      <c r="A398" s="16" t="str">
        <f t="shared" si="96"/>
        <v>EMP397</v>
      </c>
      <c r="B398" s="16" t="str" cm="1">
        <f t="array" ref="B398" ca="1">IF(D398="Male",INDEX(Lookup!$L$2:$L$13,RANDBETWEEN(1,12)),IF(D398="Female",INDEX(Lookup!$M$2:$M$13,RANDBETWEEN(1,12)),INDEX(Lookup!$N$2:$N$13,RANDBETWEEN(1,12))))</f>
        <v>Avery</v>
      </c>
      <c r="C398" s="16" t="str" cm="1">
        <f t="array" ref="C398" ca="1">INDEX(Lookup!$K$2:$K$31,RANDBETWEEN(1,30))</f>
        <v>Edwards</v>
      </c>
      <c r="D398" s="16" t="str" cm="1">
        <f t="array" ref="D398" ca="1">INDEX(Lookup!$H$2:$H$4,RANDBETWEEN(1,3))</f>
        <v>Other</v>
      </c>
      <c r="E398" s="16">
        <f t="shared" ca="1" si="84"/>
        <v>46</v>
      </c>
      <c r="F398" s="16" t="str" cm="1">
        <f t="array" ref="F398" ca="1">INDEX(Lookup!$A$2:$A$10,RANDBETWEEN(1,9))</f>
        <v>Procurement</v>
      </c>
      <c r="G398" s="16" t="str" cm="1">
        <f t="array" ref="G398" ca="1">_xlfn.LET(_xlpm.Roles,_xlfn._xlws.FILTER(Lookup!$P$2:$P$28,Lookup!$O$2:$O$28=F398),INDEX(_xlpm.Roles,RANDBETWEEN(1,ROWS(_xlpm.Roles))))</f>
        <v>Procurement Officer</v>
      </c>
      <c r="H398" s="16" t="str" cm="1">
        <f t="array" ref="H398" ca="1">INDEX(Lookup!$B$2:$B$7,RANDBETWEEN(1,6))</f>
        <v>Dublin</v>
      </c>
      <c r="I398" s="22">
        <f t="shared" ca="1" si="85"/>
        <v>44448</v>
      </c>
      <c r="J398" s="22" t="str">
        <f t="shared" ca="1" si="86"/>
        <v/>
      </c>
      <c r="K398" s="16" t="str">
        <f t="shared" ca="1" si="87"/>
        <v>Active</v>
      </c>
      <c r="L398" s="26">
        <f ca="1">_xlfn.XLOOKUP(G398,Lookup!$P$2:$P$28,Lookup!$Q$2:$Q$28)*(1+MIN(X398*3%,30%))</f>
        <v>50400</v>
      </c>
      <c r="M398" s="24">
        <f t="shared" ca="1" si="97"/>
        <v>1</v>
      </c>
      <c r="N398" s="24">
        <f t="shared" ca="1" si="88"/>
        <v>79</v>
      </c>
      <c r="O398" s="24">
        <f t="shared" ca="1" si="89"/>
        <v>12</v>
      </c>
      <c r="P398" s="24">
        <f t="shared" ca="1" si="90"/>
        <v>39</v>
      </c>
      <c r="Q398" s="16" t="str">
        <f t="shared" ca="1" si="91"/>
        <v>Not Promoted</v>
      </c>
      <c r="R398" s="16" t="str" cm="1">
        <f t="array" ref="R398" ca="1">INDEX(Lookup!$E$2:$E$6,RANDBETWEEN(1,5))</f>
        <v>PhD</v>
      </c>
      <c r="S398" s="16" t="str" cm="1">
        <f t="array" ref="S398" ca="1">INDEX(Lookup!$J$2:$J$11,RANDBETWEEN(1,10))</f>
        <v>Liam Byrne</v>
      </c>
      <c r="T398" s="16" t="str">
        <f t="shared" ca="1" si="92"/>
        <v>avery.edwards@hranalytics.com</v>
      </c>
      <c r="U398" s="16" t="str">
        <f t="shared" ca="1" si="93"/>
        <v>0873460034</v>
      </c>
      <c r="V398" s="16" t="str" cm="1">
        <f t="array" ref="V398" ca="1">_xlfn.LET(_xlpm.r,RANDBETWEEN(1,100),_xlfn.IFS(_xlpm.r&lt;=70,"Full-Time",_xlpm.r&lt;=85,"Part-Time",_xlpm.r&lt;=95,"Contract",TRUE,"Intern"))</f>
        <v>Contract</v>
      </c>
      <c r="W398" s="16" cm="1">
        <f t="array" ref="W398" ca="1">IF(K398&lt;&gt;"Active",0,_xlfn.IFS(M398=5,L398*15%,M398=4,L398*10%,M398=3,L398*5%,M398=2,L398*2%,TRUE,0))</f>
        <v>0</v>
      </c>
      <c r="X398" s="24">
        <f t="shared" ca="1" si="94"/>
        <v>4</v>
      </c>
      <c r="Y398" s="24">
        <f t="shared" ca="1" si="95"/>
        <v>3</v>
      </c>
    </row>
    <row r="399" spans="1:25">
      <c r="A399" s="16" t="str">
        <f t="shared" si="96"/>
        <v>EMP398</v>
      </c>
      <c r="B399" s="16" t="str" cm="1">
        <f t="array" ref="B399" ca="1">IF(D399="Male",INDEX(Lookup!$L$2:$L$13,RANDBETWEEN(1,12)),IF(D399="Female",INDEX(Lookup!$M$2:$M$13,RANDBETWEEN(1,12)),INDEX(Lookup!$N$2:$N$13,RANDBETWEEN(1,12))))</f>
        <v>Quinn</v>
      </c>
      <c r="C399" s="16" t="str" cm="1">
        <f t="array" ref="C399" ca="1">INDEX(Lookup!$K$2:$K$31,RANDBETWEEN(1,30))</f>
        <v>Wilson</v>
      </c>
      <c r="D399" s="16" t="str" cm="1">
        <f t="array" ref="D399" ca="1">INDEX(Lookup!$H$2:$H$4,RANDBETWEEN(1,3))</f>
        <v>Other</v>
      </c>
      <c r="E399" s="16">
        <f t="shared" ca="1" si="84"/>
        <v>31</v>
      </c>
      <c r="F399" s="16" t="str" cm="1">
        <f t="array" ref="F399" ca="1">INDEX(Lookup!$A$2:$A$10,RANDBETWEEN(1,9))</f>
        <v>Operations</v>
      </c>
      <c r="G399" s="16" t="str" cm="1">
        <f t="array" ref="G399" ca="1">_xlfn.LET(_xlpm.Roles,_xlfn._xlws.FILTER(Lookup!$P$2:$P$28,Lookup!$O$2:$O$28=F399),INDEX(_xlpm.Roles,RANDBETWEEN(1,ROWS(_xlpm.Roles))))</f>
        <v>Operations Manager</v>
      </c>
      <c r="H399" s="16" t="str" cm="1">
        <f t="array" ref="H399" ca="1">INDEX(Lookup!$B$2:$B$7,RANDBETWEEN(1,6))</f>
        <v>Belfast</v>
      </c>
      <c r="I399" s="22">
        <f t="shared" ca="1" si="85"/>
        <v>44923</v>
      </c>
      <c r="J399" s="22" t="str">
        <f t="shared" ca="1" si="86"/>
        <v/>
      </c>
      <c r="K399" s="16" t="str">
        <f t="shared" ca="1" si="87"/>
        <v>Active</v>
      </c>
      <c r="L399" s="26">
        <f ca="1">_xlfn.XLOOKUP(G399,Lookup!$P$2:$P$28,Lookup!$Q$2:$Q$28)*(1+MIN(X399*3%,30%))</f>
        <v>75020</v>
      </c>
      <c r="M399" s="24">
        <f t="shared" ca="1" si="97"/>
        <v>1</v>
      </c>
      <c r="N399" s="24">
        <f t="shared" ca="1" si="88"/>
        <v>67</v>
      </c>
      <c r="O399" s="24">
        <f t="shared" ca="1" si="89"/>
        <v>0</v>
      </c>
      <c r="P399" s="24">
        <f t="shared" ca="1" si="90"/>
        <v>6</v>
      </c>
      <c r="Q399" s="16" t="str">
        <f t="shared" ca="1" si="91"/>
        <v>Promoted</v>
      </c>
      <c r="R399" s="16" t="str" cm="1">
        <f t="array" ref="R399" ca="1">INDEX(Lookup!$E$2:$E$6,RANDBETWEEN(1,5))</f>
        <v>Bachelor's</v>
      </c>
      <c r="S399" s="16" t="str" cm="1">
        <f t="array" ref="S399" ca="1">INDEX(Lookup!$J$2:$J$11,RANDBETWEEN(1,10))</f>
        <v>Liam Byrne</v>
      </c>
      <c r="T399" s="16" t="str">
        <f t="shared" ca="1" si="92"/>
        <v>quinn.wilson@hranalytics.com</v>
      </c>
      <c r="U399" s="16" t="str">
        <f t="shared" ca="1" si="93"/>
        <v>0867845685</v>
      </c>
      <c r="V399" s="16" t="str" cm="1">
        <f t="array" ref="V399" ca="1">_xlfn.LET(_xlpm.r,RANDBETWEEN(1,100),_xlfn.IFS(_xlpm.r&lt;=70,"Full-Time",_xlpm.r&lt;=85,"Part-Time",_xlpm.r&lt;=95,"Contract",TRUE,"Intern"))</f>
        <v>Full-Time</v>
      </c>
      <c r="W399" s="16" cm="1">
        <f t="array" ref="W399" ca="1">IF(K399&lt;&gt;"Active",0,_xlfn.IFS(M399=5,L399*15%,M399=4,L399*10%,M399=3,L399*5%,M399=2,L399*2%,TRUE,0))</f>
        <v>11253</v>
      </c>
      <c r="X399" s="24">
        <f t="shared" ca="1" si="94"/>
        <v>3</v>
      </c>
      <c r="Y399" s="24">
        <f t="shared" ca="1" si="95"/>
        <v>1</v>
      </c>
    </row>
    <row r="400" spans="1:25">
      <c r="A400" s="16" t="str">
        <f t="shared" si="96"/>
        <v>EMP399</v>
      </c>
      <c r="B400" s="16" t="str" cm="1">
        <f t="array" ref="B400" ca="1">IF(D400="Male",INDEX(Lookup!$L$2:$L$13,RANDBETWEEN(1,12)),IF(D400="Female",INDEX(Lookup!$M$2:$M$13,RANDBETWEEN(1,12)),INDEX(Lookup!$N$2:$N$13,RANDBETWEEN(1,12))))</f>
        <v>Jamie</v>
      </c>
      <c r="C400" s="16" t="str" cm="1">
        <f t="array" ref="C400" ca="1">INDEX(Lookup!$K$2:$K$31,RANDBETWEEN(1,30))</f>
        <v>Murphy</v>
      </c>
      <c r="D400" s="16" t="str" cm="1">
        <f t="array" ref="D400" ca="1">INDEX(Lookup!$H$2:$H$4,RANDBETWEEN(1,3))</f>
        <v>Other</v>
      </c>
      <c r="E400" s="16">
        <f t="shared" ca="1" si="84"/>
        <v>47</v>
      </c>
      <c r="F400" s="16" t="str" cm="1">
        <f t="array" ref="F400" ca="1">INDEX(Lookup!$A$2:$A$10,RANDBETWEEN(1,9))</f>
        <v>Marketing</v>
      </c>
      <c r="G400" s="16" t="str" cm="1">
        <f t="array" ref="G400" ca="1">_xlfn.LET(_xlpm.Roles,_xlfn._xlws.FILTER(Lookup!$P$2:$P$28,Lookup!$O$2:$O$28=F400),INDEX(_xlpm.Roles,RANDBETWEEN(1,ROWS(_xlpm.Roles))))</f>
        <v>Marketing Executive</v>
      </c>
      <c r="H400" s="16" t="str" cm="1">
        <f t="array" ref="H400" ca="1">INDEX(Lookup!$B$2:$B$7,RANDBETWEEN(1,6))</f>
        <v>Dublin</v>
      </c>
      <c r="I400" s="22">
        <f t="shared" ca="1" si="85"/>
        <v>43840</v>
      </c>
      <c r="J400" s="22">
        <f t="shared" ca="1" si="86"/>
        <v>45685</v>
      </c>
      <c r="K400" s="16" t="str">
        <f t="shared" ca="1" si="87"/>
        <v>Resigned</v>
      </c>
      <c r="L400" s="26">
        <f ca="1">_xlfn.XLOOKUP(G400,Lookup!$P$2:$P$28,Lookup!$Q$2:$Q$28)*(1+MIN(X400*3%,30%))</f>
        <v>45780</v>
      </c>
      <c r="M400" s="24">
        <f t="shared" ca="1" si="97"/>
        <v>2</v>
      </c>
      <c r="N400" s="24">
        <f t="shared" ca="1" si="88"/>
        <v>57</v>
      </c>
      <c r="O400" s="24">
        <f t="shared" ca="1" si="89"/>
        <v>16</v>
      </c>
      <c r="P400" s="24">
        <f t="shared" ca="1" si="90"/>
        <v>52</v>
      </c>
      <c r="Q400" s="16" t="str">
        <f t="shared" ca="1" si="91"/>
        <v>Promoted</v>
      </c>
      <c r="R400" s="16" t="str" cm="1">
        <f t="array" ref="R400" ca="1">INDEX(Lookup!$E$2:$E$6,RANDBETWEEN(1,5))</f>
        <v>High School</v>
      </c>
      <c r="S400" s="16" t="str" cm="1">
        <f t="array" ref="S400" ca="1">INDEX(Lookup!$J$2:$J$11,RANDBETWEEN(1,10))</f>
        <v>Olivia Smith</v>
      </c>
      <c r="T400" s="16" t="str">
        <f t="shared" ca="1" si="92"/>
        <v>jamie.murphy@hranalytics.com</v>
      </c>
      <c r="U400" s="16" t="str">
        <f t="shared" ca="1" si="93"/>
        <v>0857251711</v>
      </c>
      <c r="V400" s="16" t="str" cm="1">
        <f t="array" ref="V400" ca="1">_xlfn.LET(_xlpm.r,RANDBETWEEN(1,100),_xlfn.IFS(_xlpm.r&lt;=70,"Full-Time",_xlpm.r&lt;=85,"Part-Time",_xlpm.r&lt;=95,"Contract",TRUE,"Intern"))</f>
        <v>Full-Time</v>
      </c>
      <c r="W400" s="16" cm="1">
        <f t="array" ref="W400" ca="1">IF(K400&lt;&gt;"Active",0,_xlfn.IFS(M400=5,L400*15%,M400=4,L400*10%,M400=3,L400*5%,M400=2,L400*2%,TRUE,0))</f>
        <v>6867</v>
      </c>
      <c r="X400" s="24">
        <f t="shared" ca="1" si="94"/>
        <v>6</v>
      </c>
      <c r="Y400" s="24">
        <f t="shared" ca="1" si="95"/>
        <v>1</v>
      </c>
    </row>
    <row r="401" spans="1:25">
      <c r="A401" s="16" t="str">
        <f t="shared" si="96"/>
        <v>EMP400</v>
      </c>
      <c r="B401" s="16" t="str" cm="1">
        <f t="array" ref="B401" ca="1">IF(D401="Male",INDEX(Lookup!$L$2:$L$13,RANDBETWEEN(1,12)),IF(D401="Female",INDEX(Lookup!$M$2:$M$13,RANDBETWEEN(1,12)),INDEX(Lookup!$N$2:$N$13,RANDBETWEEN(1,12))))</f>
        <v>Riley</v>
      </c>
      <c r="C401" s="16" t="str" cm="1">
        <f t="array" ref="C401" ca="1">INDEX(Lookup!$K$2:$K$31,RANDBETWEEN(1,30))</f>
        <v>Cooper</v>
      </c>
      <c r="D401" s="16" t="str" cm="1">
        <f t="array" ref="D401" ca="1">INDEX(Lookup!$H$2:$H$4,RANDBETWEEN(1,3))</f>
        <v>Other</v>
      </c>
      <c r="E401" s="16">
        <f t="shared" ca="1" si="84"/>
        <v>57</v>
      </c>
      <c r="F401" s="16" t="str" cm="1">
        <f t="array" ref="F401" ca="1">INDEX(Lookup!$A$2:$A$10,RANDBETWEEN(1,9))</f>
        <v>HR</v>
      </c>
      <c r="G401" s="16" t="str" cm="1">
        <f t="array" ref="G401" ca="1">_xlfn.LET(_xlpm.Roles,_xlfn._xlws.FILTER(Lookup!$P$2:$P$28,Lookup!$O$2:$O$28=F401),INDEX(_xlpm.Roles,RANDBETWEEN(1,ROWS(_xlpm.Roles))))</f>
        <v>HR Executive</v>
      </c>
      <c r="H401" s="16" t="str" cm="1">
        <f t="array" ref="H401" ca="1">INDEX(Lookup!$B$2:$B$7,RANDBETWEEN(1,6))</f>
        <v>Dublin</v>
      </c>
      <c r="I401" s="22">
        <f t="shared" ca="1" si="85"/>
        <v>44083</v>
      </c>
      <c r="J401" s="22">
        <f t="shared" ca="1" si="86"/>
        <v>45926</v>
      </c>
      <c r="K401" s="16" t="str">
        <f t="shared" ca="1" si="87"/>
        <v>Resigned</v>
      </c>
      <c r="L401" s="26">
        <f ca="1">_xlfn.XLOOKUP(G401,Lookup!$P$2:$P$28,Lookup!$Q$2:$Q$28)*(1+MIN(X401*3%,30%))</f>
        <v>47040</v>
      </c>
      <c r="M401" s="24">
        <f t="shared" ca="1" si="97"/>
        <v>5</v>
      </c>
      <c r="N401" s="24">
        <f t="shared" ca="1" si="88"/>
        <v>59</v>
      </c>
      <c r="O401" s="24">
        <f t="shared" ca="1" si="89"/>
        <v>12</v>
      </c>
      <c r="P401" s="24">
        <f t="shared" ca="1" si="90"/>
        <v>46</v>
      </c>
      <c r="Q401" s="16" t="str">
        <f t="shared" ca="1" si="91"/>
        <v>Promoted</v>
      </c>
      <c r="R401" s="16" t="str" cm="1">
        <f t="array" ref="R401" ca="1">INDEX(Lookup!$E$2:$E$6,RANDBETWEEN(1,5))</f>
        <v>Bachelor's</v>
      </c>
      <c r="S401" s="16" t="str" cm="1">
        <f t="array" ref="S401" ca="1">INDEX(Lookup!$J$2:$J$11,RANDBETWEEN(1,10))</f>
        <v>Liam Byrne</v>
      </c>
      <c r="T401" s="16" t="str">
        <f t="shared" ca="1" si="92"/>
        <v>riley.cooper@hranalytics.com</v>
      </c>
      <c r="U401" s="16" t="str">
        <f t="shared" ca="1" si="93"/>
        <v>0857625234</v>
      </c>
      <c r="V401" s="16" t="str" cm="1">
        <f t="array" ref="V401" ca="1">_xlfn.LET(_xlpm.r,RANDBETWEEN(1,100),_xlfn.IFS(_xlpm.r&lt;=70,"Full-Time",_xlpm.r&lt;=85,"Part-Time",_xlpm.r&lt;=95,"Contract",TRUE,"Intern"))</f>
        <v>Full-Time</v>
      </c>
      <c r="W401" s="16" cm="1">
        <f t="array" ref="W401" ca="1">IF(K401&lt;&gt;"Active",0,_xlfn.IFS(M401=5,L401*15%,M401=4,L401*10%,M401=3,L401*5%,M401=2,L401*2%,TRUE,0))</f>
        <v>0</v>
      </c>
      <c r="X401" s="24">
        <f t="shared" ca="1" si="94"/>
        <v>5</v>
      </c>
      <c r="Y401" s="24">
        <f t="shared" ca="1" si="95"/>
        <v>2</v>
      </c>
    </row>
    <row r="402" spans="1:25">
      <c r="A402" s="16" t="str">
        <f t="shared" si="96"/>
        <v>EMP401</v>
      </c>
      <c r="B402" s="16" t="str" cm="1">
        <f t="array" ref="B402" ca="1">IF(D402="Male",INDEX(Lookup!$L$2:$L$13,RANDBETWEEN(1,12)),IF(D402="Female",INDEX(Lookup!$M$2:$M$13,RANDBETWEEN(1,12)),INDEX(Lookup!$N$2:$N$13,RANDBETWEEN(1,12))))</f>
        <v>Cameron</v>
      </c>
      <c r="C402" s="16" t="str" cm="1">
        <f t="array" ref="C402" ca="1">INDEX(Lookup!$K$2:$K$31,RANDBETWEEN(1,30))</f>
        <v>Hall</v>
      </c>
      <c r="D402" s="16" t="str" cm="1">
        <f t="array" ref="D402" ca="1">INDEX(Lookup!$H$2:$H$4,RANDBETWEEN(1,3))</f>
        <v>Other</v>
      </c>
      <c r="E402" s="16">
        <f t="shared" ca="1" si="84"/>
        <v>24</v>
      </c>
      <c r="F402" s="16" t="str" cm="1">
        <f t="array" ref="F402" ca="1">INDEX(Lookup!$A$2:$A$10,RANDBETWEEN(1,9))</f>
        <v>Legal</v>
      </c>
      <c r="G402" s="16" t="str" cm="1">
        <f t="array" ref="G402" ca="1">_xlfn.LET(_xlpm.Roles,_xlfn._xlws.FILTER(Lookup!$P$2:$P$28,Lookup!$O$2:$O$28=F402),INDEX(_xlpm.Roles,RANDBETWEEN(1,ROWS(_xlpm.Roles))))</f>
        <v>Compliance Officer</v>
      </c>
      <c r="H402" s="16" t="str" cm="1">
        <f t="array" ref="H402" ca="1">INDEX(Lookup!$B$2:$B$7,RANDBETWEEN(1,6))</f>
        <v>Dublin</v>
      </c>
      <c r="I402" s="22">
        <f t="shared" ca="1" si="85"/>
        <v>45968</v>
      </c>
      <c r="J402" s="22" t="str">
        <f t="shared" ca="1" si="86"/>
        <v/>
      </c>
      <c r="K402" s="16" t="str">
        <f t="shared" ca="1" si="87"/>
        <v>Active</v>
      </c>
      <c r="L402" s="26">
        <f ca="1">_xlfn.XLOOKUP(G402,Lookup!$P$2:$P$28,Lookup!$Q$2:$Q$28)*(1+MIN(X402*3%,30%))</f>
        <v>63600</v>
      </c>
      <c r="M402" s="24">
        <f t="shared" ca="1" si="97"/>
        <v>2</v>
      </c>
      <c r="N402" s="24">
        <f t="shared" ca="1" si="88"/>
        <v>61</v>
      </c>
      <c r="O402" s="24">
        <f t="shared" ca="1" si="89"/>
        <v>7</v>
      </c>
      <c r="P402" s="24">
        <f t="shared" ca="1" si="90"/>
        <v>32</v>
      </c>
      <c r="Q402" s="16" t="str">
        <f t="shared" ca="1" si="91"/>
        <v>Promoted</v>
      </c>
      <c r="R402" s="16" t="str" cm="1">
        <f t="array" ref="R402" ca="1">INDEX(Lookup!$E$2:$E$6,RANDBETWEEN(1,5))</f>
        <v>Dipolma</v>
      </c>
      <c r="S402" s="16" t="str" cm="1">
        <f t="array" ref="S402" ca="1">INDEX(Lookup!$J$2:$J$11,RANDBETWEEN(1,10))</f>
        <v>Michael Brown</v>
      </c>
      <c r="T402" s="16" t="str">
        <f t="shared" ca="1" si="92"/>
        <v>cameron.hall@hranalytics.com</v>
      </c>
      <c r="U402" s="16" t="str">
        <f t="shared" ca="1" si="93"/>
        <v>0852510552</v>
      </c>
      <c r="V402" s="16" t="str" cm="1">
        <f t="array" ref="V402" ca="1">_xlfn.LET(_xlpm.r,RANDBETWEEN(1,100),_xlfn.IFS(_xlpm.r&lt;=70,"Full-Time",_xlpm.r&lt;=85,"Part-Time",_xlpm.r&lt;=95,"Contract",TRUE,"Intern"))</f>
        <v>Full-Time</v>
      </c>
      <c r="W402" s="16" cm="1">
        <f t="array" ref="W402" ca="1">IF(K402&lt;&gt;"Active",0,_xlfn.IFS(M402=5,L402*15%,M402=4,L402*10%,M402=3,L402*5%,M402=2,L402*2%,TRUE,0))</f>
        <v>9540</v>
      </c>
      <c r="X402" s="24">
        <f t="shared" ca="1" si="94"/>
        <v>0</v>
      </c>
      <c r="Y402" s="24">
        <f t="shared" ca="1" si="95"/>
        <v>3</v>
      </c>
    </row>
    <row r="403" spans="1:25">
      <c r="A403" s="16" t="str">
        <f t="shared" si="96"/>
        <v>EMP402</v>
      </c>
      <c r="B403" s="16" t="str" cm="1">
        <f t="array" ref="B403" ca="1">IF(D403="Male",INDEX(Lookup!$L$2:$L$13,RANDBETWEEN(1,12)),IF(D403="Female",INDEX(Lookup!$M$2:$M$13,RANDBETWEEN(1,12)),INDEX(Lookup!$N$2:$N$13,RANDBETWEEN(1,12))))</f>
        <v>James</v>
      </c>
      <c r="C403" s="16" t="str" cm="1">
        <f t="array" ref="C403" ca="1">INDEX(Lookup!$K$2:$K$31,RANDBETWEEN(1,30))</f>
        <v>Taylor</v>
      </c>
      <c r="D403" s="16" t="str" cm="1">
        <f t="array" ref="D403" ca="1">INDEX(Lookup!$H$2:$H$4,RANDBETWEEN(1,3))</f>
        <v>Male</v>
      </c>
      <c r="E403" s="16">
        <f t="shared" ca="1" si="84"/>
        <v>35</v>
      </c>
      <c r="F403" s="16" t="str" cm="1">
        <f t="array" ref="F403" ca="1">INDEX(Lookup!$A$2:$A$10,RANDBETWEEN(1,9))</f>
        <v>Finance</v>
      </c>
      <c r="G403" s="16" t="str" cm="1">
        <f t="array" ref="G403" ca="1">_xlfn.LET(_xlpm.Roles,_xlfn._xlws.FILTER(Lookup!$P$2:$P$28,Lookup!$O$2:$O$28=F403),INDEX(_xlpm.Roles,RANDBETWEEN(1,ROWS(_xlpm.Roles))))</f>
        <v>Accountant</v>
      </c>
      <c r="H403" s="16" t="str" cm="1">
        <f t="array" ref="H403" ca="1">INDEX(Lookup!$B$2:$B$7,RANDBETWEEN(1,6))</f>
        <v>Belfast</v>
      </c>
      <c r="I403" s="22">
        <f t="shared" ca="1" si="85"/>
        <v>44900</v>
      </c>
      <c r="J403" s="22">
        <f t="shared" ca="1" si="86"/>
        <v>46798</v>
      </c>
      <c r="K403" s="16" t="str">
        <f t="shared" ca="1" si="87"/>
        <v>Resigned</v>
      </c>
      <c r="L403" s="26">
        <f ca="1">_xlfn.XLOOKUP(G403,Lookup!$P$2:$P$28,Lookup!$Q$2:$Q$28)*(1+MIN(X403*3%,30%))</f>
        <v>54500</v>
      </c>
      <c r="M403" s="24">
        <f t="shared" ca="1" si="97"/>
        <v>3</v>
      </c>
      <c r="N403" s="24">
        <f t="shared" ca="1" si="88"/>
        <v>70</v>
      </c>
      <c r="O403" s="24">
        <f t="shared" ca="1" si="89"/>
        <v>3</v>
      </c>
      <c r="P403" s="24">
        <f t="shared" ca="1" si="90"/>
        <v>7</v>
      </c>
      <c r="Q403" s="16" t="str">
        <f t="shared" ca="1" si="91"/>
        <v>Promoted</v>
      </c>
      <c r="R403" s="16" t="str" cm="1">
        <f t="array" ref="R403" ca="1">INDEX(Lookup!$E$2:$E$6,RANDBETWEEN(1,5))</f>
        <v>Bachelor's</v>
      </c>
      <c r="S403" s="16" t="str" cm="1">
        <f t="array" ref="S403" ca="1">INDEX(Lookup!$J$2:$J$11,RANDBETWEEN(1,10))</f>
        <v>Sarah Johnson</v>
      </c>
      <c r="T403" s="16" t="str">
        <f t="shared" ca="1" si="92"/>
        <v>james.taylor@hranalytics.com</v>
      </c>
      <c r="U403" s="16" t="str">
        <f t="shared" ca="1" si="93"/>
        <v>0848349427</v>
      </c>
      <c r="V403" s="16" t="str" cm="1">
        <f t="array" ref="V403" ca="1">_xlfn.LET(_xlpm.r,RANDBETWEEN(1,100),_xlfn.IFS(_xlpm.r&lt;=70,"Full-Time",_xlpm.r&lt;=85,"Part-Time",_xlpm.r&lt;=95,"Contract",TRUE,"Intern"))</f>
        <v>Full-Time</v>
      </c>
      <c r="W403" s="16" cm="1">
        <f t="array" ref="W403" ca="1">IF(K403&lt;&gt;"Active",0,_xlfn.IFS(M403=5,L403*15%,M403=4,L403*10%,M403=3,L403*5%,M403=2,L403*2%,TRUE,0))</f>
        <v>2725</v>
      </c>
      <c r="X403" s="24">
        <f t="shared" ca="1" si="94"/>
        <v>3</v>
      </c>
      <c r="Y403" s="24">
        <f t="shared" ca="1" si="95"/>
        <v>3</v>
      </c>
    </row>
    <row r="404" spans="1:25">
      <c r="A404" s="16" t="str">
        <f t="shared" si="96"/>
        <v>EMP403</v>
      </c>
      <c r="B404" s="16" t="str" cm="1">
        <f t="array" ref="B404" ca="1">IF(D404="Male",INDEX(Lookup!$L$2:$L$13,RANDBETWEEN(1,12)),IF(D404="Female",INDEX(Lookup!$M$2:$M$13,RANDBETWEEN(1,12)),INDEX(Lookup!$N$2:$N$13,RANDBETWEEN(1,12))))</f>
        <v>Avery</v>
      </c>
      <c r="C404" s="16" t="str" cm="1">
        <f t="array" ref="C404" ca="1">INDEX(Lookup!$K$2:$K$31,RANDBETWEEN(1,30))</f>
        <v>Green</v>
      </c>
      <c r="D404" s="16" t="str" cm="1">
        <f t="array" ref="D404" ca="1">INDEX(Lookup!$H$2:$H$4,RANDBETWEEN(1,3))</f>
        <v>Other</v>
      </c>
      <c r="E404" s="16">
        <f t="shared" ca="1" si="84"/>
        <v>56</v>
      </c>
      <c r="F404" s="16" t="str" cm="1">
        <f t="array" ref="F404" ca="1">INDEX(Lookup!$A$2:$A$10,RANDBETWEEN(1,9))</f>
        <v>Operations</v>
      </c>
      <c r="G404" s="16" t="str" cm="1">
        <f t="array" ref="G404" ca="1">_xlfn.LET(_xlpm.Roles,_xlfn._xlws.FILTER(Lookup!$P$2:$P$28,Lookup!$O$2:$O$28=F404),INDEX(_xlpm.Roles,RANDBETWEEN(1,ROWS(_xlpm.Roles))))</f>
        <v>Operations Manager</v>
      </c>
      <c r="H404" s="16" t="str" cm="1">
        <f t="array" ref="H404" ca="1">INDEX(Lookup!$B$2:$B$7,RANDBETWEEN(1,6))</f>
        <v>Dublin</v>
      </c>
      <c r="I404" s="22">
        <f t="shared" ca="1" si="85"/>
        <v>45759</v>
      </c>
      <c r="J404" s="22">
        <f t="shared" ca="1" si="86"/>
        <v>46594</v>
      </c>
      <c r="K404" s="16" t="str">
        <f t="shared" ca="1" si="87"/>
        <v>Resigned</v>
      </c>
      <c r="L404" s="26">
        <f ca="1">_xlfn.XLOOKUP(G404,Lookup!$P$2:$P$28,Lookup!$Q$2:$Q$28)*(1+MIN(X404*3%,30%))</f>
        <v>67580</v>
      </c>
      <c r="M404" s="24">
        <f t="shared" ca="1" si="97"/>
        <v>1</v>
      </c>
      <c r="N404" s="24">
        <f t="shared" ca="1" si="88"/>
        <v>63</v>
      </c>
      <c r="O404" s="24">
        <f t="shared" ca="1" si="89"/>
        <v>7</v>
      </c>
      <c r="P404" s="24">
        <f t="shared" ca="1" si="90"/>
        <v>52</v>
      </c>
      <c r="Q404" s="16" t="str">
        <f t="shared" ca="1" si="91"/>
        <v>Promoted</v>
      </c>
      <c r="R404" s="16" t="str" cm="1">
        <f t="array" ref="R404" ca="1">INDEX(Lookup!$E$2:$E$6,RANDBETWEEN(1,5))</f>
        <v>Master's</v>
      </c>
      <c r="S404" s="16" t="str" cm="1">
        <f t="array" ref="S404" ca="1">INDEX(Lookup!$J$2:$J$11,RANDBETWEEN(1,10))</f>
        <v>Olivia Smith</v>
      </c>
      <c r="T404" s="16" t="str">
        <f t="shared" ca="1" si="92"/>
        <v>avery.green@hranalytics.com</v>
      </c>
      <c r="U404" s="16" t="str">
        <f t="shared" ca="1" si="93"/>
        <v>0837479381</v>
      </c>
      <c r="V404" s="16" t="str" cm="1">
        <f t="array" ref="V404" ca="1">_xlfn.LET(_xlpm.r,RANDBETWEEN(1,100),_xlfn.IFS(_xlpm.r&lt;=70,"Full-Time",_xlpm.r&lt;=85,"Part-Time",_xlpm.r&lt;=95,"Contract",TRUE,"Intern"))</f>
        <v>Full-Time</v>
      </c>
      <c r="W404" s="16" cm="1">
        <f t="array" ref="W404" ca="1">IF(K404&lt;&gt;"Active",0,_xlfn.IFS(M404=5,L404*15%,M404=4,L404*10%,M404=3,L404*5%,M404=2,L404*2%,TRUE,0))</f>
        <v>6758</v>
      </c>
      <c r="X404" s="24">
        <f t="shared" ca="1" si="94"/>
        <v>1</v>
      </c>
      <c r="Y404" s="24">
        <f t="shared" ca="1" si="95"/>
        <v>1</v>
      </c>
    </row>
    <row r="405" spans="1:25">
      <c r="A405" s="16" t="str">
        <f t="shared" si="96"/>
        <v>EMP404</v>
      </c>
      <c r="B405" s="16" t="str" cm="1">
        <f t="array" ref="B405" ca="1">IF(D405="Male",INDEX(Lookup!$L$2:$L$13,RANDBETWEEN(1,12)),IF(D405="Female",INDEX(Lookup!$M$2:$M$13,RANDBETWEEN(1,12)),INDEX(Lookup!$N$2:$N$13,RANDBETWEEN(1,12))))</f>
        <v>Hannah</v>
      </c>
      <c r="C405" s="16" t="str" cm="1">
        <f t="array" ref="C405" ca="1">INDEX(Lookup!$K$2:$K$31,RANDBETWEEN(1,30))</f>
        <v>Thomas</v>
      </c>
      <c r="D405" s="16" t="str" cm="1">
        <f t="array" ref="D405" ca="1">INDEX(Lookup!$H$2:$H$4,RANDBETWEEN(1,3))</f>
        <v>Female</v>
      </c>
      <c r="E405" s="16">
        <f t="shared" ca="1" si="84"/>
        <v>23</v>
      </c>
      <c r="F405" s="16" t="str" cm="1">
        <f t="array" ref="F405" ca="1">INDEX(Lookup!$A$2:$A$10,RANDBETWEEN(1,9))</f>
        <v>Procurement</v>
      </c>
      <c r="G405" s="16" t="str" cm="1">
        <f t="array" ref="G405" ca="1">_xlfn.LET(_xlpm.Roles,_xlfn._xlws.FILTER(Lookup!$P$2:$P$28,Lookup!$O$2:$O$28=F405),INDEX(_xlpm.Roles,RANDBETWEEN(1,ROWS(_xlpm.Roles))))</f>
        <v>Purchasing Executive</v>
      </c>
      <c r="H405" s="16" t="str" cm="1">
        <f t="array" ref="H405" ca="1">INDEX(Lookup!$B$2:$B$7,RANDBETWEEN(1,6))</f>
        <v>Dublin</v>
      </c>
      <c r="I405" s="22">
        <f t="shared" ca="1" si="85"/>
        <v>45033</v>
      </c>
      <c r="J405" s="22">
        <f t="shared" ca="1" si="86"/>
        <v>45598</v>
      </c>
      <c r="K405" s="16" t="str">
        <f t="shared" ca="1" si="87"/>
        <v>Resigned</v>
      </c>
      <c r="L405" s="26">
        <f ca="1">_xlfn.XLOOKUP(G405,Lookup!$P$2:$P$28,Lookup!$Q$2:$Q$28)*(1+MIN(X405*3%,30%))</f>
        <v>52080</v>
      </c>
      <c r="M405" s="24">
        <f t="shared" ca="1" si="97"/>
        <v>5</v>
      </c>
      <c r="N405" s="24">
        <f t="shared" ca="1" si="88"/>
        <v>9</v>
      </c>
      <c r="O405" s="24">
        <f t="shared" ca="1" si="89"/>
        <v>19</v>
      </c>
      <c r="P405" s="24">
        <f t="shared" ca="1" si="90"/>
        <v>22</v>
      </c>
      <c r="Q405" s="16" t="str">
        <f t="shared" ca="1" si="91"/>
        <v>Not Promoted</v>
      </c>
      <c r="R405" s="16" t="str" cm="1">
        <f t="array" ref="R405" ca="1">INDEX(Lookup!$E$2:$E$6,RANDBETWEEN(1,5))</f>
        <v>Dipolma</v>
      </c>
      <c r="S405" s="16" t="str" cm="1">
        <f t="array" ref="S405" ca="1">INDEX(Lookup!$J$2:$J$11,RANDBETWEEN(1,10))</f>
        <v>Emma Wilson</v>
      </c>
      <c r="T405" s="16" t="str">
        <f t="shared" ca="1" si="92"/>
        <v>hannah.thomas@hranalytics.com</v>
      </c>
      <c r="U405" s="16" t="str">
        <f t="shared" ca="1" si="93"/>
        <v>0889614281</v>
      </c>
      <c r="V405" s="16" t="str" cm="1">
        <f t="array" ref="V405" ca="1">_xlfn.LET(_xlpm.r,RANDBETWEEN(1,100),_xlfn.IFS(_xlpm.r&lt;=70,"Full-Time",_xlpm.r&lt;=85,"Part-Time",_xlpm.r&lt;=95,"Contract",TRUE,"Intern"))</f>
        <v>Full-Time</v>
      </c>
      <c r="W405" s="16" cm="1">
        <f t="array" ref="W405" ca="1">IF(K405&lt;&gt;"Active",0,_xlfn.IFS(M405=5,L405*15%,M405=4,L405*10%,M405=3,L405*5%,M405=2,L405*2%,TRUE,0))</f>
        <v>0</v>
      </c>
      <c r="X405" s="24">
        <f t="shared" ca="1" si="94"/>
        <v>3</v>
      </c>
      <c r="Y405" s="24">
        <f t="shared" ca="1" si="95"/>
        <v>2</v>
      </c>
    </row>
    <row r="406" spans="1:25">
      <c r="A406" s="16" t="str">
        <f t="shared" si="96"/>
        <v>EMP405</v>
      </c>
      <c r="B406" s="16" t="str" cm="1">
        <f t="array" ref="B406" ca="1">IF(D406="Male",INDEX(Lookup!$L$2:$L$13,RANDBETWEEN(1,12)),IF(D406="Female",INDEX(Lookup!$M$2:$M$13,RANDBETWEEN(1,12)),INDEX(Lookup!$N$2:$N$13,RANDBETWEEN(1,12))))</f>
        <v>Noah</v>
      </c>
      <c r="C406" s="16" t="str" cm="1">
        <f t="array" ref="C406" ca="1">INDEX(Lookup!$K$2:$K$31,RANDBETWEEN(1,30))</f>
        <v>Walker</v>
      </c>
      <c r="D406" s="16" t="str" cm="1">
        <f t="array" ref="D406" ca="1">INDEX(Lookup!$H$2:$H$4,RANDBETWEEN(1,3))</f>
        <v>Male</v>
      </c>
      <c r="E406" s="16">
        <f t="shared" ca="1" si="84"/>
        <v>45</v>
      </c>
      <c r="F406" s="16" t="str" cm="1">
        <f t="array" ref="F406" ca="1">INDEX(Lookup!$A$2:$A$10,RANDBETWEEN(1,9))</f>
        <v>Finance</v>
      </c>
      <c r="G406" s="16" t="str" cm="1">
        <f t="array" ref="G406" ca="1">_xlfn.LET(_xlpm.Roles,_xlfn._xlws.FILTER(Lookup!$P$2:$P$28,Lookup!$O$2:$O$28=F406),INDEX(_xlpm.Roles,RANDBETWEEN(1,ROWS(_xlpm.Roles))))</f>
        <v>Financial Analyst</v>
      </c>
      <c r="H406" s="16" t="str" cm="1">
        <f t="array" ref="H406" ca="1">INDEX(Lookup!$B$2:$B$7,RANDBETWEEN(1,6))</f>
        <v>Dublin</v>
      </c>
      <c r="I406" s="22">
        <f t="shared" ca="1" si="85"/>
        <v>44588</v>
      </c>
      <c r="J406" s="22" t="str">
        <f t="shared" ca="1" si="86"/>
        <v/>
      </c>
      <c r="K406" s="16" t="str">
        <f t="shared" ca="1" si="87"/>
        <v>Active</v>
      </c>
      <c r="L406" s="26">
        <f ca="1">_xlfn.XLOOKUP(G406,Lookup!$P$2:$P$28,Lookup!$Q$2:$Q$28)*(1+MIN(X406*3%,30%))</f>
        <v>61480</v>
      </c>
      <c r="M406" s="24">
        <f t="shared" ca="1" si="97"/>
        <v>5</v>
      </c>
      <c r="N406" s="24">
        <f t="shared" ca="1" si="88"/>
        <v>42</v>
      </c>
      <c r="O406" s="24">
        <f t="shared" ca="1" si="89"/>
        <v>18</v>
      </c>
      <c r="P406" s="24">
        <f t="shared" ca="1" si="90"/>
        <v>25</v>
      </c>
      <c r="Q406" s="16" t="str">
        <f t="shared" ca="1" si="91"/>
        <v>Promoted</v>
      </c>
      <c r="R406" s="16" t="str" cm="1">
        <f t="array" ref="R406" ca="1">INDEX(Lookup!$E$2:$E$6,RANDBETWEEN(1,5))</f>
        <v>Bachelor's</v>
      </c>
      <c r="S406" s="16" t="str" cm="1">
        <f t="array" ref="S406" ca="1">INDEX(Lookup!$J$2:$J$11,RANDBETWEEN(1,10))</f>
        <v>Michael Brown</v>
      </c>
      <c r="T406" s="16" t="str">
        <f t="shared" ca="1" si="92"/>
        <v>noah.walker@hranalytics.com</v>
      </c>
      <c r="U406" s="16" t="str">
        <f t="shared" ca="1" si="93"/>
        <v>0848285284</v>
      </c>
      <c r="V406" s="16" t="str" cm="1">
        <f t="array" ref="V406" ca="1">_xlfn.LET(_xlpm.r,RANDBETWEEN(1,100),_xlfn.IFS(_xlpm.r&lt;=70,"Full-Time",_xlpm.r&lt;=85,"Part-Time",_xlpm.r&lt;=95,"Contract",TRUE,"Intern"))</f>
        <v>Full-Time</v>
      </c>
      <c r="W406" s="16" cm="1">
        <f t="array" ref="W406" ca="1">IF(K406&lt;&gt;"Active",0,_xlfn.IFS(M406=5,L406*15%,M406=4,L406*10%,M406=3,L406*5%,M406=2,L406*2%,TRUE,0))</f>
        <v>0</v>
      </c>
      <c r="X406" s="24">
        <f t="shared" ca="1" si="94"/>
        <v>4</v>
      </c>
      <c r="Y406" s="24">
        <f t="shared" ca="1" si="95"/>
        <v>1</v>
      </c>
    </row>
    <row r="407" spans="1:25">
      <c r="A407" s="16" t="str">
        <f t="shared" si="96"/>
        <v>EMP406</v>
      </c>
      <c r="B407" s="16" t="str" cm="1">
        <f t="array" ref="B407" ca="1">IF(D407="Male",INDEX(Lookup!$L$2:$L$13,RANDBETWEEN(1,12)),IF(D407="Female",INDEX(Lookup!$M$2:$M$13,RANDBETWEEN(1,12)),INDEX(Lookup!$N$2:$N$13,RANDBETWEEN(1,12))))</f>
        <v>Mia</v>
      </c>
      <c r="C407" s="16" t="str" cm="1">
        <f t="array" ref="C407" ca="1">INDEX(Lookup!$K$2:$K$31,RANDBETWEEN(1,30))</f>
        <v>Allen</v>
      </c>
      <c r="D407" s="16" t="str" cm="1">
        <f t="array" ref="D407" ca="1">INDEX(Lookup!$H$2:$H$4,RANDBETWEEN(1,3))</f>
        <v>Female</v>
      </c>
      <c r="E407" s="16">
        <f t="shared" ca="1" si="84"/>
        <v>48</v>
      </c>
      <c r="F407" s="16" t="str" cm="1">
        <f t="array" ref="F407" ca="1">INDEX(Lookup!$A$2:$A$10,RANDBETWEEN(1,9))</f>
        <v>Marketing</v>
      </c>
      <c r="G407" s="16" t="str" cm="1">
        <f t="array" ref="G407" ca="1">_xlfn.LET(_xlpm.Roles,_xlfn._xlws.FILTER(Lookup!$P$2:$P$28,Lookup!$O$2:$O$28=F407),INDEX(_xlpm.Roles,RANDBETWEEN(1,ROWS(_xlpm.Roles))))</f>
        <v>Digital Marketing Specialist</v>
      </c>
      <c r="H407" s="16" t="str" cm="1">
        <f t="array" ref="H407" ca="1">INDEX(Lookup!$B$2:$B$7,RANDBETWEEN(1,6))</f>
        <v>Waterford</v>
      </c>
      <c r="I407" s="22">
        <f t="shared" ca="1" si="85"/>
        <v>44319</v>
      </c>
      <c r="J407" s="22" t="str">
        <f t="shared" ca="1" si="86"/>
        <v/>
      </c>
      <c r="K407" s="16" t="str">
        <f t="shared" ca="1" si="87"/>
        <v>Active</v>
      </c>
      <c r="L407" s="26">
        <f ca="1">_xlfn.XLOOKUP(G407,Lookup!$P$2:$P$28,Lookup!$Q$2:$Q$28)*(1+MIN(X407*3%,30%))</f>
        <v>56000</v>
      </c>
      <c r="M407" s="24">
        <f t="shared" ca="1" si="97"/>
        <v>5</v>
      </c>
      <c r="N407" s="24">
        <f t="shared" ca="1" si="88"/>
        <v>55</v>
      </c>
      <c r="O407" s="24">
        <f t="shared" ca="1" si="89"/>
        <v>3</v>
      </c>
      <c r="P407" s="24">
        <f t="shared" ca="1" si="90"/>
        <v>1</v>
      </c>
      <c r="Q407" s="16" t="str">
        <f t="shared" ca="1" si="91"/>
        <v>Promoted</v>
      </c>
      <c r="R407" s="16" t="str" cm="1">
        <f t="array" ref="R407" ca="1">INDEX(Lookup!$E$2:$E$6,RANDBETWEEN(1,5))</f>
        <v>Bachelor's</v>
      </c>
      <c r="S407" s="16" t="str" cm="1">
        <f t="array" ref="S407" ca="1">INDEX(Lookup!$J$2:$J$11,RANDBETWEEN(1,10))</f>
        <v>David Murphy</v>
      </c>
      <c r="T407" s="16" t="str">
        <f t="shared" ca="1" si="92"/>
        <v>mia.allen@hranalytics.com</v>
      </c>
      <c r="U407" s="16" t="str">
        <f t="shared" ca="1" si="93"/>
        <v>0856916931</v>
      </c>
      <c r="V407" s="16" t="str" cm="1">
        <f t="array" ref="V407" ca="1">_xlfn.LET(_xlpm.r,RANDBETWEEN(1,100),_xlfn.IFS(_xlpm.r&lt;=70,"Full-Time",_xlpm.r&lt;=85,"Part-Time",_xlpm.r&lt;=95,"Contract",TRUE,"Intern"))</f>
        <v>Part-Time</v>
      </c>
      <c r="W407" s="16" cm="1">
        <f t="array" ref="W407" ca="1">IF(K407&lt;&gt;"Active",0,_xlfn.IFS(M407=5,L407*15%,M407=4,L407*10%,M407=3,L407*5%,M407=2,L407*2%,TRUE,0))</f>
        <v>1120</v>
      </c>
      <c r="X407" s="24">
        <f t="shared" ca="1" si="94"/>
        <v>5</v>
      </c>
      <c r="Y407" s="24">
        <f t="shared" ca="1" si="95"/>
        <v>1</v>
      </c>
    </row>
    <row r="408" spans="1:25">
      <c r="A408" s="16" t="str">
        <f t="shared" si="96"/>
        <v>EMP407</v>
      </c>
      <c r="B408" s="16" t="str" cm="1">
        <f t="array" ref="B408" ca="1">IF(D408="Male",INDEX(Lookup!$L$2:$L$13,RANDBETWEEN(1,12)),IF(D408="Female",INDEX(Lookup!$M$2:$M$13,RANDBETWEEN(1,12)),INDEX(Lookup!$N$2:$N$13,RANDBETWEEN(1,12))))</f>
        <v>Ava</v>
      </c>
      <c r="C408" s="16" t="str" cm="1">
        <f t="array" ref="C408" ca="1">INDEX(Lookup!$K$2:$K$31,RANDBETWEEN(1,30))</f>
        <v>Hall</v>
      </c>
      <c r="D408" s="16" t="str" cm="1">
        <f t="array" ref="D408" ca="1">INDEX(Lookup!$H$2:$H$4,RANDBETWEEN(1,3))</f>
        <v>Female</v>
      </c>
      <c r="E408" s="16">
        <f t="shared" ca="1" si="84"/>
        <v>34</v>
      </c>
      <c r="F408" s="16" t="str" cm="1">
        <f t="array" ref="F408" ca="1">INDEX(Lookup!$A$2:$A$10,RANDBETWEEN(1,9))</f>
        <v>Procurement</v>
      </c>
      <c r="G408" s="16" t="str" cm="1">
        <f t="array" ref="G408" ca="1">_xlfn.LET(_xlpm.Roles,_xlfn._xlws.FILTER(Lookup!$P$2:$P$28,Lookup!$O$2:$O$28=F408),INDEX(_xlpm.Roles,RANDBETWEEN(1,ROWS(_xlpm.Roles))))</f>
        <v>Purchasing Executive</v>
      </c>
      <c r="H408" s="16" t="str" cm="1">
        <f t="array" ref="H408" ca="1">INDEX(Lookup!$B$2:$B$7,RANDBETWEEN(1,6))</f>
        <v>Belfast</v>
      </c>
      <c r="I408" s="22">
        <f t="shared" ca="1" si="85"/>
        <v>45128</v>
      </c>
      <c r="J408" s="22" t="str">
        <f t="shared" ca="1" si="86"/>
        <v/>
      </c>
      <c r="K408" s="16" t="str">
        <f t="shared" ca="1" si="87"/>
        <v>Active</v>
      </c>
      <c r="L408" s="26">
        <f ca="1">_xlfn.XLOOKUP(G408,Lookup!$P$2:$P$28,Lookup!$Q$2:$Q$28)*(1+MIN(X408*3%,30%))</f>
        <v>48300</v>
      </c>
      <c r="M408" s="24">
        <f t="shared" ca="1" si="97"/>
        <v>3</v>
      </c>
      <c r="N408" s="24">
        <f t="shared" ca="1" si="88"/>
        <v>19</v>
      </c>
      <c r="O408" s="24">
        <f t="shared" ca="1" si="89"/>
        <v>7</v>
      </c>
      <c r="P408" s="24">
        <f t="shared" ca="1" si="90"/>
        <v>27</v>
      </c>
      <c r="Q408" s="16" t="str">
        <f t="shared" ca="1" si="91"/>
        <v>Promoted</v>
      </c>
      <c r="R408" s="16" t="str" cm="1">
        <f t="array" ref="R408" ca="1">INDEX(Lookup!$E$2:$E$6,RANDBETWEEN(1,5))</f>
        <v>Bachelor's</v>
      </c>
      <c r="S408" s="16" t="str" cm="1">
        <f t="array" ref="S408" ca="1">INDEX(Lookup!$J$2:$J$11,RANDBETWEEN(1,10))</f>
        <v>Sarah Johnson</v>
      </c>
      <c r="T408" s="16" t="str">
        <f t="shared" ca="1" si="92"/>
        <v>ava.hall@hranalytics.com</v>
      </c>
      <c r="U408" s="16" t="str">
        <f t="shared" ca="1" si="93"/>
        <v>0888442830</v>
      </c>
      <c r="V408" s="16" t="str" cm="1">
        <f t="array" ref="V408" ca="1">_xlfn.LET(_xlpm.r,RANDBETWEEN(1,100),_xlfn.IFS(_xlpm.r&lt;=70,"Full-Time",_xlpm.r&lt;=85,"Part-Time",_xlpm.r&lt;=95,"Contract",TRUE,"Intern"))</f>
        <v>Full-Time</v>
      </c>
      <c r="W408" s="16" cm="1">
        <f t="array" ref="W408" ca="1">IF(K408&lt;&gt;"Active",0,_xlfn.IFS(M408=5,L408*15%,M408=4,L408*10%,M408=3,L408*5%,M408=2,L408*2%,TRUE,0))</f>
        <v>0</v>
      </c>
      <c r="X408" s="24">
        <f t="shared" ca="1" si="94"/>
        <v>3</v>
      </c>
      <c r="Y408" s="24">
        <f t="shared" ca="1" si="95"/>
        <v>1</v>
      </c>
    </row>
    <row r="409" spans="1:25">
      <c r="A409" s="16" t="str">
        <f t="shared" si="96"/>
        <v>EMP408</v>
      </c>
      <c r="B409" s="16" t="str" cm="1">
        <f t="array" ref="B409" ca="1">IF(D409="Male",INDEX(Lookup!$L$2:$L$13,RANDBETWEEN(1,12)),IF(D409="Female",INDEX(Lookup!$M$2:$M$13,RANDBETWEEN(1,12)),INDEX(Lookup!$N$2:$N$13,RANDBETWEEN(1,12))))</f>
        <v>Taylor</v>
      </c>
      <c r="C409" s="16" t="str" cm="1">
        <f t="array" ref="C409" ca="1">INDEX(Lookup!$K$2:$K$31,RANDBETWEEN(1,30))</f>
        <v>Kelly</v>
      </c>
      <c r="D409" s="16" t="str" cm="1">
        <f t="array" ref="D409" ca="1">INDEX(Lookup!$H$2:$H$4,RANDBETWEEN(1,3))</f>
        <v>Other</v>
      </c>
      <c r="E409" s="16">
        <f t="shared" ca="1" si="84"/>
        <v>36</v>
      </c>
      <c r="F409" s="16" t="str" cm="1">
        <f t="array" ref="F409" ca="1">INDEX(Lookup!$A$2:$A$10,RANDBETWEEN(1,9))</f>
        <v>IT</v>
      </c>
      <c r="G409" s="16" t="str" cm="1">
        <f t="array" ref="G409" ca="1">_xlfn.LET(_xlpm.Roles,_xlfn._xlws.FILTER(Lookup!$P$2:$P$28,Lookup!$O$2:$O$28=F409),INDEX(_xlpm.Roles,RANDBETWEEN(1,ROWS(_xlpm.Roles))))</f>
        <v>IT Support Specialist</v>
      </c>
      <c r="H409" s="16" t="str" cm="1">
        <f t="array" ref="H409" ca="1">INDEX(Lookup!$B$2:$B$7,RANDBETWEEN(1,6))</f>
        <v>Galway</v>
      </c>
      <c r="I409" s="22">
        <f t="shared" ca="1" si="85"/>
        <v>43779</v>
      </c>
      <c r="J409" s="22" t="str">
        <f t="shared" ca="1" si="86"/>
        <v/>
      </c>
      <c r="K409" s="16" t="str">
        <f t="shared" ca="1" si="87"/>
        <v>Active</v>
      </c>
      <c r="L409" s="26">
        <f ca="1">_xlfn.XLOOKUP(G409,Lookup!$P$2:$P$28,Lookup!$Q$2:$Q$28)*(1+MIN(X409*3%,30%))</f>
        <v>52320</v>
      </c>
      <c r="M409" s="24">
        <f t="shared" ca="1" si="97"/>
        <v>4</v>
      </c>
      <c r="N409" s="24">
        <f t="shared" ca="1" si="88"/>
        <v>69</v>
      </c>
      <c r="O409" s="24">
        <f t="shared" ca="1" si="89"/>
        <v>13</v>
      </c>
      <c r="P409" s="24">
        <f t="shared" ca="1" si="90"/>
        <v>58</v>
      </c>
      <c r="Q409" s="16" t="str">
        <f t="shared" ca="1" si="91"/>
        <v>Promoted</v>
      </c>
      <c r="R409" s="16" t="str" cm="1">
        <f t="array" ref="R409" ca="1">INDEX(Lookup!$E$2:$E$6,RANDBETWEEN(1,5))</f>
        <v>PhD</v>
      </c>
      <c r="S409" s="16" t="str" cm="1">
        <f t="array" ref="S409" ca="1">INDEX(Lookup!$J$2:$J$11,RANDBETWEEN(1,10))</f>
        <v>Emma Wilson</v>
      </c>
      <c r="T409" s="16" t="str">
        <f t="shared" ca="1" si="92"/>
        <v>taylor.kelly@hranalytics.com</v>
      </c>
      <c r="U409" s="16" t="str">
        <f t="shared" ca="1" si="93"/>
        <v>0836998732</v>
      </c>
      <c r="V409" s="16" t="str" cm="1">
        <f t="array" ref="V409" ca="1">_xlfn.LET(_xlpm.r,RANDBETWEEN(1,100),_xlfn.IFS(_xlpm.r&lt;=70,"Full-Time",_xlpm.r&lt;=85,"Part-Time",_xlpm.r&lt;=95,"Contract",TRUE,"Intern"))</f>
        <v>Full-Time</v>
      </c>
      <c r="W409" s="16" cm="1">
        <f t="array" ref="W409" ca="1">IF(K409&lt;&gt;"Active",0,_xlfn.IFS(M409=5,L409*15%,M409=4,L409*10%,M409=3,L409*5%,M409=2,L409*2%,TRUE,0))</f>
        <v>5232</v>
      </c>
      <c r="X409" s="24">
        <f t="shared" ca="1" si="94"/>
        <v>6</v>
      </c>
      <c r="Y409" s="24">
        <f t="shared" ca="1" si="95"/>
        <v>2</v>
      </c>
    </row>
    <row r="410" spans="1:25">
      <c r="A410" s="16" t="str">
        <f t="shared" si="96"/>
        <v>EMP409</v>
      </c>
      <c r="B410" s="16" t="str" cm="1">
        <f t="array" ref="B410" ca="1">IF(D410="Male",INDEX(Lookup!$L$2:$L$13,RANDBETWEEN(1,12)),IF(D410="Female",INDEX(Lookup!$M$2:$M$13,RANDBETWEEN(1,12)),INDEX(Lookup!$N$2:$N$13,RANDBETWEEN(1,12))))</f>
        <v>Emma</v>
      </c>
      <c r="C410" s="16" t="str" cm="1">
        <f t="array" ref="C410" ca="1">INDEX(Lookup!$K$2:$K$31,RANDBETWEEN(1,30))</f>
        <v>Green</v>
      </c>
      <c r="D410" s="16" t="str" cm="1">
        <f t="array" ref="D410" ca="1">INDEX(Lookup!$H$2:$H$4,RANDBETWEEN(1,3))</f>
        <v>Female</v>
      </c>
      <c r="E410" s="16">
        <f t="shared" ca="1" si="84"/>
        <v>44</v>
      </c>
      <c r="F410" s="16" t="str" cm="1">
        <f t="array" ref="F410" ca="1">INDEX(Lookup!$A$2:$A$10,RANDBETWEEN(1,9))</f>
        <v>Customer Support</v>
      </c>
      <c r="G410" s="16" t="str" cm="1">
        <f t="array" ref="G410" ca="1">_xlfn.LET(_xlpm.Roles,_xlfn._xlws.FILTER(Lookup!$P$2:$P$28,Lookup!$O$2:$O$28=F410),INDEX(_xlpm.Roles,RANDBETWEEN(1,ROWS(_xlpm.Roles))))</f>
        <v>Customer Success Specialist</v>
      </c>
      <c r="H410" s="16" t="str" cm="1">
        <f t="array" ref="H410" ca="1">INDEX(Lookup!$B$2:$B$7,RANDBETWEEN(1,6))</f>
        <v>Waterford</v>
      </c>
      <c r="I410" s="22">
        <f t="shared" ca="1" si="85"/>
        <v>43187</v>
      </c>
      <c r="J410" s="22" t="str">
        <f t="shared" ca="1" si="86"/>
        <v/>
      </c>
      <c r="K410" s="16" t="str">
        <f t="shared" ca="1" si="87"/>
        <v>Active</v>
      </c>
      <c r="L410" s="26">
        <f ca="1">_xlfn.XLOOKUP(G410,Lookup!$P$2:$P$28,Lookup!$Q$2:$Q$28)*(1+MIN(X410*3%,30%))</f>
        <v>47040</v>
      </c>
      <c r="M410" s="24">
        <f t="shared" ca="1" si="97"/>
        <v>5</v>
      </c>
      <c r="N410" s="24">
        <f t="shared" ca="1" si="88"/>
        <v>15</v>
      </c>
      <c r="O410" s="24">
        <f t="shared" ca="1" si="89"/>
        <v>5</v>
      </c>
      <c r="P410" s="24">
        <f t="shared" ca="1" si="90"/>
        <v>18</v>
      </c>
      <c r="Q410" s="16" t="str">
        <f t="shared" ca="1" si="91"/>
        <v>Promoted</v>
      </c>
      <c r="R410" s="16" t="str" cm="1">
        <f t="array" ref="R410" ca="1">INDEX(Lookup!$E$2:$E$6,RANDBETWEEN(1,5))</f>
        <v>Bachelor's</v>
      </c>
      <c r="S410" s="16" t="str" cm="1">
        <f t="array" ref="S410" ca="1">INDEX(Lookup!$J$2:$J$11,RANDBETWEEN(1,10))</f>
        <v>Olivia Smith</v>
      </c>
      <c r="T410" s="16" t="str">
        <f t="shared" ca="1" si="92"/>
        <v>emma.green@hranalytics.com</v>
      </c>
      <c r="U410" s="16" t="str">
        <f t="shared" ca="1" si="93"/>
        <v>0869101794</v>
      </c>
      <c r="V410" s="16" t="str" cm="1">
        <f t="array" ref="V410" ca="1">_xlfn.LET(_xlpm.r,RANDBETWEEN(1,100),_xlfn.IFS(_xlpm.r&lt;=70,"Full-Time",_xlpm.r&lt;=85,"Part-Time",_xlpm.r&lt;=95,"Contract",TRUE,"Intern"))</f>
        <v>Full-Time</v>
      </c>
      <c r="W410" s="16" cm="1">
        <f t="array" ref="W410" ca="1">IF(K410&lt;&gt;"Active",0,_xlfn.IFS(M410=5,L410*15%,M410=4,L410*10%,M410=3,L410*5%,M410=2,L410*2%,TRUE,0))</f>
        <v>940.8</v>
      </c>
      <c r="X410" s="24">
        <f t="shared" ca="1" si="94"/>
        <v>8</v>
      </c>
      <c r="Y410" s="24">
        <f t="shared" ca="1" si="95"/>
        <v>3</v>
      </c>
    </row>
    <row r="411" spans="1:25">
      <c r="A411" s="16" t="str">
        <f t="shared" si="96"/>
        <v>EMP410</v>
      </c>
      <c r="B411" s="16" t="str" cm="1">
        <f t="array" ref="B411" ca="1">IF(D411="Male",INDEX(Lookup!$L$2:$L$13,RANDBETWEEN(1,12)),IF(D411="Female",INDEX(Lookup!$M$2:$M$13,RANDBETWEEN(1,12)),INDEX(Lookup!$N$2:$N$13,RANDBETWEEN(1,12))))</f>
        <v>Cameron</v>
      </c>
      <c r="C411" s="16" t="str" cm="1">
        <f t="array" ref="C411" ca="1">INDEX(Lookup!$K$2:$K$31,RANDBETWEEN(1,30))</f>
        <v>Nelson</v>
      </c>
      <c r="D411" s="16" t="str" cm="1">
        <f t="array" ref="D411" ca="1">INDEX(Lookup!$H$2:$H$4,RANDBETWEEN(1,3))</f>
        <v>Other</v>
      </c>
      <c r="E411" s="16">
        <f t="shared" ca="1" si="84"/>
        <v>60</v>
      </c>
      <c r="F411" s="16" t="str" cm="1">
        <f t="array" ref="F411" ca="1">INDEX(Lookup!$A$2:$A$10,RANDBETWEEN(1,9))</f>
        <v>Finance</v>
      </c>
      <c r="G411" s="16" t="str" cm="1">
        <f t="array" ref="G411" ca="1">_xlfn.LET(_xlpm.Roles,_xlfn._xlws.FILTER(Lookup!$P$2:$P$28,Lookup!$O$2:$O$28=F411),INDEX(_xlpm.Roles,RANDBETWEEN(1,ROWS(_xlpm.Roles))))</f>
        <v>Payroll Officer</v>
      </c>
      <c r="H411" s="16" t="str" cm="1">
        <f t="array" ref="H411" ca="1">INDEX(Lookup!$B$2:$B$7,RANDBETWEEN(1,6))</f>
        <v>Dublin</v>
      </c>
      <c r="I411" s="22">
        <f t="shared" ca="1" si="85"/>
        <v>44151</v>
      </c>
      <c r="J411" s="22" t="str">
        <f t="shared" ca="1" si="86"/>
        <v/>
      </c>
      <c r="K411" s="16" t="str">
        <f t="shared" ca="1" si="87"/>
        <v>Active</v>
      </c>
      <c r="L411" s="26">
        <f ca="1">_xlfn.XLOOKUP(G411,Lookup!$P$2:$P$28,Lookup!$Q$2:$Q$28)*(1+MIN(X411*3%,30%))</f>
        <v>50400</v>
      </c>
      <c r="M411" s="24">
        <f t="shared" ca="1" si="97"/>
        <v>5</v>
      </c>
      <c r="N411" s="24">
        <f t="shared" ca="1" si="88"/>
        <v>77</v>
      </c>
      <c r="O411" s="24">
        <f t="shared" ca="1" si="89"/>
        <v>18</v>
      </c>
      <c r="P411" s="24">
        <f t="shared" ca="1" si="90"/>
        <v>19</v>
      </c>
      <c r="Q411" s="16" t="str">
        <f t="shared" ca="1" si="91"/>
        <v>Not Promoted</v>
      </c>
      <c r="R411" s="16" t="str" cm="1">
        <f t="array" ref="R411" ca="1">INDEX(Lookup!$E$2:$E$6,RANDBETWEEN(1,5))</f>
        <v>Dipolma</v>
      </c>
      <c r="S411" s="16" t="str" cm="1">
        <f t="array" ref="S411" ca="1">INDEX(Lookup!$J$2:$J$11,RANDBETWEEN(1,10))</f>
        <v>Sophia Martin</v>
      </c>
      <c r="T411" s="16" t="str">
        <f t="shared" ca="1" si="92"/>
        <v>cameron.nelson@hranalytics.com</v>
      </c>
      <c r="U411" s="16" t="str">
        <f t="shared" ca="1" si="93"/>
        <v>0863450830</v>
      </c>
      <c r="V411" s="16" t="str" cm="1">
        <f t="array" ref="V411" ca="1">_xlfn.LET(_xlpm.r,RANDBETWEEN(1,100),_xlfn.IFS(_xlpm.r&lt;=70,"Full-Time",_xlpm.r&lt;=85,"Part-Time",_xlpm.r&lt;=95,"Contract",TRUE,"Intern"))</f>
        <v>Part-Time</v>
      </c>
      <c r="W411" s="16" cm="1">
        <f t="array" ref="W411" ca="1">IF(K411&lt;&gt;"Active",0,_xlfn.IFS(M411=5,L411*15%,M411=4,L411*10%,M411=3,L411*5%,M411=2,L411*2%,TRUE,0))</f>
        <v>0</v>
      </c>
      <c r="X411" s="24">
        <f t="shared" ca="1" si="94"/>
        <v>5</v>
      </c>
      <c r="Y411" s="24">
        <f t="shared" ca="1" si="95"/>
        <v>2</v>
      </c>
    </row>
    <row r="412" spans="1:25">
      <c r="A412" s="16" t="str">
        <f t="shared" si="96"/>
        <v>EMP411</v>
      </c>
      <c r="B412" s="16" t="str" cm="1">
        <f t="array" ref="B412" ca="1">IF(D412="Male",INDEX(Lookup!$L$2:$L$13,RANDBETWEEN(1,12)),IF(D412="Female",INDEX(Lookup!$M$2:$M$13,RANDBETWEEN(1,12)),INDEX(Lookup!$N$2:$N$13,RANDBETWEEN(1,12))))</f>
        <v>Jamie</v>
      </c>
      <c r="C412" s="16" t="str" cm="1">
        <f t="array" ref="C412" ca="1">INDEX(Lookup!$K$2:$K$31,RANDBETWEEN(1,30))</f>
        <v>Brown</v>
      </c>
      <c r="D412" s="16" t="str" cm="1">
        <f t="array" ref="D412" ca="1">INDEX(Lookup!$H$2:$H$4,RANDBETWEEN(1,3))</f>
        <v>Other</v>
      </c>
      <c r="E412" s="16">
        <f t="shared" ca="1" si="84"/>
        <v>27</v>
      </c>
      <c r="F412" s="16" t="str" cm="1">
        <f t="array" ref="F412" ca="1">INDEX(Lookup!$A$2:$A$10,RANDBETWEEN(1,9))</f>
        <v>IT</v>
      </c>
      <c r="G412" s="16" t="str" cm="1">
        <f t="array" ref="G412" ca="1">_xlfn.LET(_xlpm.Roles,_xlfn._xlws.FILTER(Lookup!$P$2:$P$28,Lookup!$O$2:$O$28=F412),INDEX(_xlpm.Roles,RANDBETWEEN(1,ROWS(_xlpm.Roles))))</f>
        <v>Business Analyst</v>
      </c>
      <c r="H412" s="16" t="str" cm="1">
        <f t="array" ref="H412" ca="1">INDEX(Lookup!$B$2:$B$7,RANDBETWEEN(1,6))</f>
        <v>Limerick</v>
      </c>
      <c r="I412" s="22">
        <f t="shared" ca="1" si="85"/>
        <v>45715</v>
      </c>
      <c r="J412" s="22" t="str">
        <f t="shared" ca="1" si="86"/>
        <v/>
      </c>
      <c r="K412" s="16" t="str">
        <f t="shared" ca="1" si="87"/>
        <v>Active</v>
      </c>
      <c r="L412" s="26">
        <f ca="1">_xlfn.XLOOKUP(G412,Lookup!$P$2:$P$28,Lookup!$Q$2:$Q$28)*(1+MIN(X412*3%,30%))</f>
        <v>72600</v>
      </c>
      <c r="M412" s="24">
        <f t="shared" ca="1" si="97"/>
        <v>5</v>
      </c>
      <c r="N412" s="24">
        <f t="shared" ca="1" si="88"/>
        <v>55</v>
      </c>
      <c r="O412" s="24">
        <f t="shared" ca="1" si="89"/>
        <v>10</v>
      </c>
      <c r="P412" s="24">
        <f t="shared" ca="1" si="90"/>
        <v>20</v>
      </c>
      <c r="Q412" s="16" t="str">
        <f t="shared" ca="1" si="91"/>
        <v>Promoted</v>
      </c>
      <c r="R412" s="16" t="str" cm="1">
        <f t="array" ref="R412" ca="1">INDEX(Lookup!$E$2:$E$6,RANDBETWEEN(1,5))</f>
        <v>Dipolma</v>
      </c>
      <c r="S412" s="16" t="str" cm="1">
        <f t="array" ref="S412" ca="1">INDEX(Lookup!$J$2:$J$11,RANDBETWEEN(1,10))</f>
        <v>Daniel Kelly</v>
      </c>
      <c r="T412" s="16" t="str">
        <f t="shared" ca="1" si="92"/>
        <v>jamie.brown@hranalytics.com</v>
      </c>
      <c r="U412" s="16" t="str">
        <f t="shared" ca="1" si="93"/>
        <v>0881475023</v>
      </c>
      <c r="V412" s="16" t="str" cm="1">
        <f t="array" ref="V412" ca="1">_xlfn.LET(_xlpm.r,RANDBETWEEN(1,100),_xlfn.IFS(_xlpm.r&lt;=70,"Full-Time",_xlpm.r&lt;=85,"Part-Time",_xlpm.r&lt;=95,"Contract",TRUE,"Intern"))</f>
        <v>Part-Time</v>
      </c>
      <c r="W412" s="16" cm="1">
        <f t="array" ref="W412" ca="1">IF(K412&lt;&gt;"Active",0,_xlfn.IFS(M412=5,L412*15%,M412=4,L412*10%,M412=3,L412*5%,M412=2,L412*2%,TRUE,0))</f>
        <v>3630</v>
      </c>
      <c r="X412" s="24">
        <f t="shared" ca="1" si="94"/>
        <v>1</v>
      </c>
      <c r="Y412" s="24">
        <f t="shared" ca="1" si="95"/>
        <v>1</v>
      </c>
    </row>
    <row r="413" spans="1:25">
      <c r="A413" s="16" t="str">
        <f t="shared" si="96"/>
        <v>EMP412</v>
      </c>
      <c r="B413" s="16" t="str" cm="1">
        <f t="array" ref="B413" ca="1">IF(D413="Male",INDEX(Lookup!$L$2:$L$13,RANDBETWEEN(1,12)),IF(D413="Female",INDEX(Lookup!$M$2:$M$13,RANDBETWEEN(1,12)),INDEX(Lookup!$N$2:$N$13,RANDBETWEEN(1,12))))</f>
        <v>Robin</v>
      </c>
      <c r="C413" s="16" t="str" cm="1">
        <f t="array" ref="C413" ca="1">INDEX(Lookup!$K$2:$K$31,RANDBETWEEN(1,30))</f>
        <v>Hall</v>
      </c>
      <c r="D413" s="16" t="str" cm="1">
        <f t="array" ref="D413" ca="1">INDEX(Lookup!$H$2:$H$4,RANDBETWEEN(1,3))</f>
        <v>Other</v>
      </c>
      <c r="E413" s="16">
        <f t="shared" ca="1" si="84"/>
        <v>46</v>
      </c>
      <c r="F413" s="16" t="str" cm="1">
        <f t="array" ref="F413" ca="1">INDEX(Lookup!$A$2:$A$10,RANDBETWEEN(1,9))</f>
        <v>Finance</v>
      </c>
      <c r="G413" s="16" t="str" cm="1">
        <f t="array" ref="G413" ca="1">_xlfn.LET(_xlpm.Roles,_xlfn._xlws.FILTER(Lookup!$P$2:$P$28,Lookup!$O$2:$O$28=F413),INDEX(_xlpm.Roles,RANDBETWEEN(1,ROWS(_xlpm.Roles))))</f>
        <v>Accountant</v>
      </c>
      <c r="H413" s="16" t="str" cm="1">
        <f t="array" ref="H413" ca="1">INDEX(Lookup!$B$2:$B$7,RANDBETWEEN(1,6))</f>
        <v>Limerick</v>
      </c>
      <c r="I413" s="22">
        <f t="shared" ca="1" si="85"/>
        <v>43733</v>
      </c>
      <c r="J413" s="22">
        <f t="shared" ca="1" si="86"/>
        <v>45296</v>
      </c>
      <c r="K413" s="16" t="str">
        <f t="shared" ca="1" si="87"/>
        <v>Resigned</v>
      </c>
      <c r="L413" s="26">
        <f ca="1">_xlfn.XLOOKUP(G413,Lookup!$P$2:$P$28,Lookup!$Q$2:$Q$28)*(1+MIN(X413*3%,30%))</f>
        <v>62000</v>
      </c>
      <c r="M413" s="24">
        <f t="shared" ca="1" si="97"/>
        <v>3</v>
      </c>
      <c r="N413" s="24">
        <f t="shared" ca="1" si="88"/>
        <v>24</v>
      </c>
      <c r="O413" s="24">
        <f t="shared" ca="1" si="89"/>
        <v>18</v>
      </c>
      <c r="P413" s="24">
        <f t="shared" ca="1" si="90"/>
        <v>23</v>
      </c>
      <c r="Q413" s="16" t="str">
        <f t="shared" ca="1" si="91"/>
        <v>Promoted</v>
      </c>
      <c r="R413" s="16" t="str" cm="1">
        <f t="array" ref="R413" ca="1">INDEX(Lookup!$E$2:$E$6,RANDBETWEEN(1,5))</f>
        <v>Bachelor's</v>
      </c>
      <c r="S413" s="16" t="str" cm="1">
        <f t="array" ref="S413" ca="1">INDEX(Lookup!$J$2:$J$11,RANDBETWEEN(1,10))</f>
        <v>Daniel Kelly</v>
      </c>
      <c r="T413" s="16" t="str">
        <f t="shared" ca="1" si="92"/>
        <v>robin.hall@hranalytics.com</v>
      </c>
      <c r="U413" s="16" t="str">
        <f t="shared" ca="1" si="93"/>
        <v>0892044451</v>
      </c>
      <c r="V413" s="16" t="str" cm="1">
        <f t="array" ref="V413" ca="1">_xlfn.LET(_xlpm.r,RANDBETWEEN(1,100),_xlfn.IFS(_xlpm.r&lt;=70,"Full-Time",_xlpm.r&lt;=85,"Part-Time",_xlpm.r&lt;=95,"Contract",TRUE,"Intern"))</f>
        <v>Full-Time</v>
      </c>
      <c r="W413" s="16" cm="1">
        <f t="array" ref="W413" ca="1">IF(K413&lt;&gt;"Active",0,_xlfn.IFS(M413=5,L413*15%,M413=4,L413*10%,M413=3,L413*5%,M413=2,L413*2%,TRUE,0))</f>
        <v>6200</v>
      </c>
      <c r="X413" s="24">
        <f t="shared" ca="1" si="94"/>
        <v>6</v>
      </c>
      <c r="Y413" s="24">
        <f t="shared" ca="1" si="95"/>
        <v>3</v>
      </c>
    </row>
    <row r="414" spans="1:25">
      <c r="A414" s="16" t="str">
        <f t="shared" si="96"/>
        <v>EMP413</v>
      </c>
      <c r="B414" s="16" t="str" cm="1">
        <f t="array" ref="B414" ca="1">IF(D414="Male",INDEX(Lookup!$L$2:$L$13,RANDBETWEEN(1,12)),IF(D414="Female",INDEX(Lookup!$M$2:$M$13,RANDBETWEEN(1,12)),INDEX(Lookup!$N$2:$N$13,RANDBETWEEN(1,12))))</f>
        <v>Oliver</v>
      </c>
      <c r="C414" s="16" t="str" cm="1">
        <f t="array" ref="C414" ca="1">INDEX(Lookup!$K$2:$K$31,RANDBETWEEN(1,30))</f>
        <v>Evans</v>
      </c>
      <c r="D414" s="16" t="str" cm="1">
        <f t="array" ref="D414" ca="1">INDEX(Lookup!$H$2:$H$4,RANDBETWEEN(1,3))</f>
        <v>Male</v>
      </c>
      <c r="E414" s="16">
        <f t="shared" ca="1" si="84"/>
        <v>39</v>
      </c>
      <c r="F414" s="16" t="str" cm="1">
        <f t="array" ref="F414" ca="1">INDEX(Lookup!$A$2:$A$10,RANDBETWEEN(1,9))</f>
        <v>Sales</v>
      </c>
      <c r="G414" s="16" t="str" cm="1">
        <f t="array" ref="G414" ca="1">_xlfn.LET(_xlpm.Roles,_xlfn._xlws.FILTER(Lookup!$P$2:$P$28,Lookup!$O$2:$O$28=F414),INDEX(_xlpm.Roles,RANDBETWEEN(1,ROWS(_xlpm.Roles))))</f>
        <v>Business Development Executive</v>
      </c>
      <c r="H414" s="16" t="str" cm="1">
        <f t="array" ref="H414" ca="1">INDEX(Lookup!$B$2:$B$7,RANDBETWEEN(1,6))</f>
        <v>Dublin</v>
      </c>
      <c r="I414" s="22">
        <f t="shared" ca="1" si="85"/>
        <v>44489</v>
      </c>
      <c r="J414" s="22" t="str">
        <f t="shared" ca="1" si="86"/>
        <v/>
      </c>
      <c r="K414" s="16" t="str">
        <f t="shared" ca="1" si="87"/>
        <v>Active</v>
      </c>
      <c r="L414" s="26">
        <f ca="1">_xlfn.XLOOKUP(G414,Lookup!$P$2:$P$28,Lookup!$Q$2:$Q$28)*(1+MIN(X414*3%,30%))</f>
        <v>59520</v>
      </c>
      <c r="M414" s="24">
        <f t="shared" ca="1" si="97"/>
        <v>4</v>
      </c>
      <c r="N414" s="24">
        <f t="shared" ca="1" si="88"/>
        <v>49</v>
      </c>
      <c r="O414" s="24">
        <f t="shared" ca="1" si="89"/>
        <v>16</v>
      </c>
      <c r="P414" s="24">
        <f t="shared" ca="1" si="90"/>
        <v>6</v>
      </c>
      <c r="Q414" s="16" t="str">
        <f t="shared" ca="1" si="91"/>
        <v>Promoted</v>
      </c>
      <c r="R414" s="16" t="str" cm="1">
        <f t="array" ref="R414" ca="1">INDEX(Lookup!$E$2:$E$6,RANDBETWEEN(1,5))</f>
        <v>PhD</v>
      </c>
      <c r="S414" s="16" t="str" cm="1">
        <f t="array" ref="S414" ca="1">INDEX(Lookup!$J$2:$J$11,RANDBETWEEN(1,10))</f>
        <v>Daniel Kelly</v>
      </c>
      <c r="T414" s="16" t="str">
        <f t="shared" ca="1" si="92"/>
        <v>oliver.evans@hranalytics.com</v>
      </c>
      <c r="U414" s="16" t="str">
        <f t="shared" ca="1" si="93"/>
        <v>0895620263</v>
      </c>
      <c r="V414" s="16" t="str" cm="1">
        <f t="array" ref="V414" ca="1">_xlfn.LET(_xlpm.r,RANDBETWEEN(1,100),_xlfn.IFS(_xlpm.r&lt;=70,"Full-Time",_xlpm.r&lt;=85,"Part-Time",_xlpm.r&lt;=95,"Contract",TRUE,"Intern"))</f>
        <v>Part-Time</v>
      </c>
      <c r="W414" s="16" cm="1">
        <f t="array" ref="W414" ca="1">IF(K414&lt;&gt;"Active",0,_xlfn.IFS(M414=5,L414*15%,M414=4,L414*10%,M414=3,L414*5%,M414=2,L414*2%,TRUE,0))</f>
        <v>1190.4000000000001</v>
      </c>
      <c r="X414" s="24">
        <f t="shared" ca="1" si="94"/>
        <v>4</v>
      </c>
      <c r="Y414" s="24">
        <f t="shared" ca="1" si="95"/>
        <v>2</v>
      </c>
    </row>
    <row r="415" spans="1:25">
      <c r="A415" s="16" t="str">
        <f t="shared" si="96"/>
        <v>EMP414</v>
      </c>
      <c r="B415" s="16" t="str" cm="1">
        <f t="array" ref="B415" ca="1">IF(D415="Male",INDEX(Lookup!$L$2:$L$13,RANDBETWEEN(1,12)),IF(D415="Female",INDEX(Lookup!$M$2:$M$13,RANDBETWEEN(1,12)),INDEX(Lookup!$N$2:$N$13,RANDBETWEEN(1,12))))</f>
        <v>Michael</v>
      </c>
      <c r="C415" s="16" t="str" cm="1">
        <f t="array" ref="C415" ca="1">INDEX(Lookup!$K$2:$K$31,RANDBETWEEN(1,30))</f>
        <v>Baker</v>
      </c>
      <c r="D415" s="16" t="str" cm="1">
        <f t="array" ref="D415" ca="1">INDEX(Lookup!$H$2:$H$4,RANDBETWEEN(1,3))</f>
        <v>Male</v>
      </c>
      <c r="E415" s="16">
        <f t="shared" ca="1" si="84"/>
        <v>44</v>
      </c>
      <c r="F415" s="16" t="str" cm="1">
        <f t="array" ref="F415" ca="1">INDEX(Lookup!$A$2:$A$10,RANDBETWEEN(1,9))</f>
        <v>Procurement</v>
      </c>
      <c r="G415" s="16" t="str" cm="1">
        <f t="array" ref="G415" ca="1">_xlfn.LET(_xlpm.Roles,_xlfn._xlws.FILTER(Lookup!$P$2:$P$28,Lookup!$O$2:$O$28=F415),INDEX(_xlpm.Roles,RANDBETWEEN(1,ROWS(_xlpm.Roles))))</f>
        <v>Procurement Analyst</v>
      </c>
      <c r="H415" s="16" t="str" cm="1">
        <f t="array" ref="H415" ca="1">INDEX(Lookup!$B$2:$B$7,RANDBETWEEN(1,6))</f>
        <v>Cork</v>
      </c>
      <c r="I415" s="22">
        <f t="shared" ca="1" si="85"/>
        <v>44100</v>
      </c>
      <c r="J415" s="22" t="str">
        <f t="shared" ca="1" si="86"/>
        <v/>
      </c>
      <c r="K415" s="16" t="str">
        <f t="shared" ca="1" si="87"/>
        <v>Active</v>
      </c>
      <c r="L415" s="26">
        <f ca="1">_xlfn.XLOOKUP(G415,Lookup!$P$2:$P$28,Lookup!$Q$2:$Q$28)*(1+MIN(X415*3%,30%))</f>
        <v>54500</v>
      </c>
      <c r="M415" s="24">
        <f t="shared" ca="1" si="97"/>
        <v>4</v>
      </c>
      <c r="N415" s="24">
        <f t="shared" ca="1" si="88"/>
        <v>8</v>
      </c>
      <c r="O415" s="24">
        <f t="shared" ca="1" si="89"/>
        <v>6</v>
      </c>
      <c r="P415" s="24">
        <f t="shared" ca="1" si="90"/>
        <v>54</v>
      </c>
      <c r="Q415" s="16" t="str">
        <f t="shared" ca="1" si="91"/>
        <v>Promoted</v>
      </c>
      <c r="R415" s="16" t="str" cm="1">
        <f t="array" ref="R415" ca="1">INDEX(Lookup!$E$2:$E$6,RANDBETWEEN(1,5))</f>
        <v>High School</v>
      </c>
      <c r="S415" s="16" t="str" cm="1">
        <f t="array" ref="S415" ca="1">INDEX(Lookup!$J$2:$J$11,RANDBETWEEN(1,10))</f>
        <v>Sophia Martin</v>
      </c>
      <c r="T415" s="16" t="str">
        <f t="shared" ca="1" si="92"/>
        <v>michael.baker@hranalytics.com</v>
      </c>
      <c r="U415" s="16" t="str">
        <f t="shared" ca="1" si="93"/>
        <v>0835006350</v>
      </c>
      <c r="V415" s="16" t="str" cm="1">
        <f t="array" ref="V415" ca="1">_xlfn.LET(_xlpm.r,RANDBETWEEN(1,100),_xlfn.IFS(_xlpm.r&lt;=70,"Full-Time",_xlpm.r&lt;=85,"Part-Time",_xlpm.r&lt;=95,"Contract",TRUE,"Intern"))</f>
        <v>Full-Time</v>
      </c>
      <c r="W415" s="16" cm="1">
        <f t="array" ref="W415" ca="1">IF(K415&lt;&gt;"Active",0,_xlfn.IFS(M415=5,L415*15%,M415=4,L415*10%,M415=3,L415*5%,M415=2,L415*2%,TRUE,0))</f>
        <v>2725</v>
      </c>
      <c r="X415" s="24">
        <f t="shared" ca="1" si="94"/>
        <v>5</v>
      </c>
      <c r="Y415" s="24">
        <f t="shared" ca="1" si="95"/>
        <v>3</v>
      </c>
    </row>
    <row r="416" spans="1:25">
      <c r="A416" s="16" t="str">
        <f t="shared" si="96"/>
        <v>EMP415</v>
      </c>
      <c r="B416" s="16" t="str" cm="1">
        <f t="array" ref="B416" ca="1">IF(D416="Male",INDEX(Lookup!$L$2:$L$13,RANDBETWEEN(1,12)),IF(D416="Female",INDEX(Lookup!$M$2:$M$13,RANDBETWEEN(1,12)),INDEX(Lookup!$N$2:$N$13,RANDBETWEEN(1,12))))</f>
        <v>Oliver</v>
      </c>
      <c r="C416" s="16" t="str" cm="1">
        <f t="array" ref="C416" ca="1">INDEX(Lookup!$K$2:$K$31,RANDBETWEEN(1,30))</f>
        <v>Lewis</v>
      </c>
      <c r="D416" s="16" t="str" cm="1">
        <f t="array" ref="D416" ca="1">INDEX(Lookup!$H$2:$H$4,RANDBETWEEN(1,3))</f>
        <v>Male</v>
      </c>
      <c r="E416" s="16">
        <f t="shared" ca="1" si="84"/>
        <v>58</v>
      </c>
      <c r="F416" s="16" t="str" cm="1">
        <f t="array" ref="F416" ca="1">INDEX(Lookup!$A$2:$A$10,RANDBETWEEN(1,9))</f>
        <v>Marketing</v>
      </c>
      <c r="G416" s="16" t="str" cm="1">
        <f t="array" ref="G416" ca="1">_xlfn.LET(_xlpm.Roles,_xlfn._xlws.FILTER(Lookup!$P$2:$P$28,Lookup!$O$2:$O$28=F416),INDEX(_xlpm.Roles,RANDBETWEEN(1,ROWS(_xlpm.Roles))))</f>
        <v>Digital Marketing Specialist</v>
      </c>
      <c r="H416" s="16" t="str" cm="1">
        <f t="array" ref="H416" ca="1">INDEX(Lookup!$B$2:$B$7,RANDBETWEEN(1,6))</f>
        <v>Limerick</v>
      </c>
      <c r="I416" s="22">
        <f t="shared" ca="1" si="85"/>
        <v>43839</v>
      </c>
      <c r="J416" s="22" t="str">
        <f t="shared" ca="1" si="86"/>
        <v/>
      </c>
      <c r="K416" s="16" t="str">
        <f t="shared" ca="1" si="87"/>
        <v>Active</v>
      </c>
      <c r="L416" s="26">
        <f ca="1">_xlfn.XLOOKUP(G416,Lookup!$P$2:$P$28,Lookup!$Q$2:$Q$28)*(1+MIN(X416*3%,30%))</f>
        <v>60500</v>
      </c>
      <c r="M416" s="24">
        <f t="shared" ca="1" si="97"/>
        <v>4</v>
      </c>
      <c r="N416" s="24">
        <f t="shared" ca="1" si="88"/>
        <v>10</v>
      </c>
      <c r="O416" s="24">
        <f t="shared" ca="1" si="89"/>
        <v>3</v>
      </c>
      <c r="P416" s="24">
        <f t="shared" ca="1" si="90"/>
        <v>9</v>
      </c>
      <c r="Q416" s="16" t="str">
        <f t="shared" ca="1" si="91"/>
        <v>Promoted</v>
      </c>
      <c r="R416" s="16" t="str" cm="1">
        <f t="array" ref="R416" ca="1">INDEX(Lookup!$E$2:$E$6,RANDBETWEEN(1,5))</f>
        <v>High School</v>
      </c>
      <c r="S416" s="16" t="str" cm="1">
        <f t="array" ref="S416" ca="1">INDEX(Lookup!$J$2:$J$11,RANDBETWEEN(1,10))</f>
        <v>Sarah Johnson</v>
      </c>
      <c r="T416" s="16" t="str">
        <f t="shared" ca="1" si="92"/>
        <v>oliver.lewis@hranalytics.com</v>
      </c>
      <c r="U416" s="16" t="str">
        <f t="shared" ca="1" si="93"/>
        <v>0873125738</v>
      </c>
      <c r="V416" s="16" t="str" cm="1">
        <f t="array" ref="V416" ca="1">_xlfn.LET(_xlpm.r,RANDBETWEEN(1,100),_xlfn.IFS(_xlpm.r&lt;=70,"Full-Time",_xlpm.r&lt;=85,"Part-Time",_xlpm.r&lt;=95,"Contract",TRUE,"Intern"))</f>
        <v>Full-Time</v>
      </c>
      <c r="W416" s="16" cm="1">
        <f t="array" ref="W416" ca="1">IF(K416&lt;&gt;"Active",0,_xlfn.IFS(M416=5,L416*15%,M416=4,L416*10%,M416=3,L416*5%,M416=2,L416*2%,TRUE,0))</f>
        <v>3025</v>
      </c>
      <c r="X416" s="24">
        <f t="shared" ca="1" si="94"/>
        <v>6</v>
      </c>
      <c r="Y416" s="24">
        <f t="shared" ca="1" si="95"/>
        <v>2</v>
      </c>
    </row>
    <row r="417" spans="1:25">
      <c r="A417" s="16" t="str">
        <f t="shared" si="96"/>
        <v>EMP416</v>
      </c>
      <c r="B417" s="16" t="str" cm="1">
        <f t="array" ref="B417" ca="1">IF(D417="Male",INDEX(Lookup!$L$2:$L$13,RANDBETWEEN(1,12)),IF(D417="Female",INDEX(Lookup!$M$2:$M$13,RANDBETWEEN(1,12)),INDEX(Lookup!$N$2:$N$13,RANDBETWEEN(1,12))))</f>
        <v>Riley</v>
      </c>
      <c r="C417" s="16" t="str" cm="1">
        <f t="array" ref="C417" ca="1">INDEX(Lookup!$K$2:$K$31,RANDBETWEEN(1,30))</f>
        <v>Turner</v>
      </c>
      <c r="D417" s="16" t="str" cm="1">
        <f t="array" ref="D417" ca="1">INDEX(Lookup!$H$2:$H$4,RANDBETWEEN(1,3))</f>
        <v>Other</v>
      </c>
      <c r="E417" s="16">
        <f t="shared" ca="1" si="84"/>
        <v>36</v>
      </c>
      <c r="F417" s="16" t="str" cm="1">
        <f t="array" ref="F417" ca="1">INDEX(Lookup!$A$2:$A$10,RANDBETWEEN(1,9))</f>
        <v>Procurement</v>
      </c>
      <c r="G417" s="16" t="str" cm="1">
        <f t="array" ref="G417" ca="1">_xlfn.LET(_xlpm.Roles,_xlfn._xlws.FILTER(Lookup!$P$2:$P$28,Lookup!$O$2:$O$28=F417),INDEX(_xlpm.Roles,RANDBETWEEN(1,ROWS(_xlpm.Roles))))</f>
        <v>Purchasing Executive</v>
      </c>
      <c r="H417" s="16" t="str" cm="1">
        <f t="array" ref="H417" ca="1">INDEX(Lookup!$B$2:$B$7,RANDBETWEEN(1,6))</f>
        <v>Cork</v>
      </c>
      <c r="I417" s="22">
        <f t="shared" ca="1" si="85"/>
        <v>44676</v>
      </c>
      <c r="J417" s="22" t="str">
        <f t="shared" ca="1" si="86"/>
        <v/>
      </c>
      <c r="K417" s="16" t="str">
        <f t="shared" ca="1" si="87"/>
        <v>Active</v>
      </c>
      <c r="L417" s="26">
        <f ca="1">_xlfn.XLOOKUP(G417,Lookup!$P$2:$P$28,Lookup!$Q$2:$Q$28)*(1+MIN(X417*3%,30%))</f>
        <v>42000</v>
      </c>
      <c r="M417" s="24">
        <f t="shared" ca="1" si="97"/>
        <v>4</v>
      </c>
      <c r="N417" s="24">
        <f t="shared" ca="1" si="88"/>
        <v>60</v>
      </c>
      <c r="O417" s="24">
        <f t="shared" ca="1" si="89"/>
        <v>8</v>
      </c>
      <c r="P417" s="24">
        <f t="shared" ca="1" si="90"/>
        <v>60</v>
      </c>
      <c r="Q417" s="16" t="str">
        <f t="shared" ca="1" si="91"/>
        <v>Not Promoted</v>
      </c>
      <c r="R417" s="16" t="str" cm="1">
        <f t="array" ref="R417" ca="1">INDEX(Lookup!$E$2:$E$6,RANDBETWEEN(1,5))</f>
        <v>Master's</v>
      </c>
      <c r="S417" s="16" t="str" cm="1">
        <f t="array" ref="S417" ca="1">INDEX(Lookup!$J$2:$J$11,RANDBETWEEN(1,10))</f>
        <v>David Murphy</v>
      </c>
      <c r="T417" s="16" t="str">
        <f t="shared" ca="1" si="92"/>
        <v>riley.turner@hranalytics.com</v>
      </c>
      <c r="U417" s="16" t="str">
        <f t="shared" ca="1" si="93"/>
        <v>0836644847</v>
      </c>
      <c r="V417" s="16" t="str" cm="1">
        <f t="array" ref="V417" ca="1">_xlfn.LET(_xlpm.r,RANDBETWEEN(1,100),_xlfn.IFS(_xlpm.r&lt;=70,"Full-Time",_xlpm.r&lt;=85,"Part-Time",_xlpm.r&lt;=95,"Contract",TRUE,"Intern"))</f>
        <v>Part-Time</v>
      </c>
      <c r="W417" s="16" cm="1">
        <f t="array" ref="W417" ca="1">IF(K417&lt;&gt;"Active",0,_xlfn.IFS(M417=5,L417*15%,M417=4,L417*10%,M417=3,L417*5%,M417=2,L417*2%,TRUE,0))</f>
        <v>4200</v>
      </c>
      <c r="X417" s="24">
        <f t="shared" ca="1" si="94"/>
        <v>4</v>
      </c>
      <c r="Y417" s="24">
        <f t="shared" ca="1" si="95"/>
        <v>3</v>
      </c>
    </row>
    <row r="418" spans="1:25">
      <c r="A418" s="16" t="str">
        <f t="shared" si="96"/>
        <v>EMP417</v>
      </c>
      <c r="B418" s="16" t="str" cm="1">
        <f t="array" ref="B418" ca="1">IF(D418="Male",INDEX(Lookup!$L$2:$L$13,RANDBETWEEN(1,12)),IF(D418="Female",INDEX(Lookup!$M$2:$M$13,RANDBETWEEN(1,12)),INDEX(Lookup!$N$2:$N$13,RANDBETWEEN(1,12))))</f>
        <v>Grace</v>
      </c>
      <c r="C418" s="16" t="str" cm="1">
        <f t="array" ref="C418" ca="1">INDEX(Lookup!$K$2:$K$31,RANDBETWEEN(1,30))</f>
        <v>Campbell</v>
      </c>
      <c r="D418" s="16" t="str" cm="1">
        <f t="array" ref="D418" ca="1">INDEX(Lookup!$H$2:$H$4,RANDBETWEEN(1,3))</f>
        <v>Female</v>
      </c>
      <c r="E418" s="16">
        <f t="shared" ca="1" si="84"/>
        <v>55</v>
      </c>
      <c r="F418" s="16" t="str" cm="1">
        <f t="array" ref="F418" ca="1">INDEX(Lookup!$A$2:$A$10,RANDBETWEEN(1,9))</f>
        <v>Finance</v>
      </c>
      <c r="G418" s="16" t="str" cm="1">
        <f t="array" ref="G418" ca="1">_xlfn.LET(_xlpm.Roles,_xlfn._xlws.FILTER(Lookup!$P$2:$P$28,Lookup!$O$2:$O$28=F418),INDEX(_xlpm.Roles,RANDBETWEEN(1,ROWS(_xlpm.Roles))))</f>
        <v>Accountant</v>
      </c>
      <c r="H418" s="16" t="str" cm="1">
        <f t="array" ref="H418" ca="1">INDEX(Lookup!$B$2:$B$7,RANDBETWEEN(1,6))</f>
        <v>Galway</v>
      </c>
      <c r="I418" s="22">
        <f t="shared" ca="1" si="85"/>
        <v>44208</v>
      </c>
      <c r="J418" s="22" t="str">
        <f t="shared" ca="1" si="86"/>
        <v/>
      </c>
      <c r="K418" s="16" t="str">
        <f t="shared" ca="1" si="87"/>
        <v>Active</v>
      </c>
      <c r="L418" s="26">
        <f ca="1">_xlfn.XLOOKUP(G418,Lookup!$P$2:$P$28,Lookup!$Q$2:$Q$28)*(1+MIN(X418*3%,30%))</f>
        <v>59000</v>
      </c>
      <c r="M418" s="24">
        <f t="shared" ca="1" si="97"/>
        <v>5</v>
      </c>
      <c r="N418" s="24">
        <f t="shared" ca="1" si="88"/>
        <v>17</v>
      </c>
      <c r="O418" s="24">
        <f t="shared" ca="1" si="89"/>
        <v>10</v>
      </c>
      <c r="P418" s="24">
        <f t="shared" ca="1" si="90"/>
        <v>5</v>
      </c>
      <c r="Q418" s="16" t="str">
        <f t="shared" ca="1" si="91"/>
        <v>Promoted</v>
      </c>
      <c r="R418" s="16" t="str" cm="1">
        <f t="array" ref="R418" ca="1">INDEX(Lookup!$E$2:$E$6,RANDBETWEEN(1,5))</f>
        <v>Master's</v>
      </c>
      <c r="S418" s="16" t="str" cm="1">
        <f t="array" ref="S418" ca="1">INDEX(Lookup!$J$2:$J$11,RANDBETWEEN(1,10))</f>
        <v>Daniel Kelly</v>
      </c>
      <c r="T418" s="16" t="str">
        <f t="shared" ca="1" si="92"/>
        <v>grace.campbell@hranalytics.com</v>
      </c>
      <c r="U418" s="16" t="str">
        <f t="shared" ca="1" si="93"/>
        <v>0884076342</v>
      </c>
      <c r="V418" s="16" t="str" cm="1">
        <f t="array" ref="V418" ca="1">_xlfn.LET(_xlpm.r,RANDBETWEEN(1,100),_xlfn.IFS(_xlpm.r&lt;=70,"Full-Time",_xlpm.r&lt;=85,"Part-Time",_xlpm.r&lt;=95,"Contract",TRUE,"Intern"))</f>
        <v>Full-Time</v>
      </c>
      <c r="W418" s="16" cm="1">
        <f t="array" ref="W418" ca="1">IF(K418&lt;&gt;"Active",0,_xlfn.IFS(M418=5,L418*15%,M418=4,L418*10%,M418=3,L418*5%,M418=2,L418*2%,TRUE,0))</f>
        <v>8850</v>
      </c>
      <c r="X418" s="24">
        <f t="shared" ca="1" si="94"/>
        <v>5</v>
      </c>
      <c r="Y418" s="24">
        <f t="shared" ca="1" si="95"/>
        <v>2</v>
      </c>
    </row>
    <row r="419" spans="1:25">
      <c r="A419" s="16" t="str">
        <f t="shared" si="96"/>
        <v>EMP418</v>
      </c>
      <c r="B419" s="16" t="str" cm="1">
        <f t="array" ref="B419" ca="1">IF(D419="Male",INDEX(Lookup!$L$2:$L$13,RANDBETWEEN(1,12)),IF(D419="Female",INDEX(Lookup!$M$2:$M$13,RANDBETWEEN(1,12)),INDEX(Lookup!$N$2:$N$13,RANDBETWEEN(1,12))))</f>
        <v>Hannah</v>
      </c>
      <c r="C419" s="16" t="str" cm="1">
        <f t="array" ref="C419" ca="1">INDEX(Lookup!$K$2:$K$31,RANDBETWEEN(1,30))</f>
        <v>Martin</v>
      </c>
      <c r="D419" s="16" t="str" cm="1">
        <f t="array" ref="D419" ca="1">INDEX(Lookup!$H$2:$H$4,RANDBETWEEN(1,3))</f>
        <v>Female</v>
      </c>
      <c r="E419" s="16">
        <f t="shared" ca="1" si="84"/>
        <v>35</v>
      </c>
      <c r="F419" s="16" t="str" cm="1">
        <f t="array" ref="F419" ca="1">INDEX(Lookup!$A$2:$A$10,RANDBETWEEN(1,9))</f>
        <v>Legal</v>
      </c>
      <c r="G419" s="16" t="str" cm="1">
        <f t="array" ref="G419" ca="1">_xlfn.LET(_xlpm.Roles,_xlfn._xlws.FILTER(Lookup!$P$2:$P$28,Lookup!$O$2:$O$28=F419),INDEX(_xlpm.Roles,RANDBETWEEN(1,ROWS(_xlpm.Roles))))</f>
        <v>Legal Assistant</v>
      </c>
      <c r="H419" s="16" t="str" cm="1">
        <f t="array" ref="H419" ca="1">INDEX(Lookup!$B$2:$B$7,RANDBETWEEN(1,6))</f>
        <v>Belfast</v>
      </c>
      <c r="I419" s="22">
        <f t="shared" ca="1" si="85"/>
        <v>45257</v>
      </c>
      <c r="J419" s="22" t="str">
        <f t="shared" ca="1" si="86"/>
        <v/>
      </c>
      <c r="K419" s="16" t="str">
        <f t="shared" ca="1" si="87"/>
        <v>Active</v>
      </c>
      <c r="L419" s="26">
        <f ca="1">_xlfn.XLOOKUP(G419,Lookup!$P$2:$P$28,Lookup!$Q$2:$Q$28)*(1+MIN(X419*3%,30%))</f>
        <v>43260</v>
      </c>
      <c r="M419" s="24">
        <f t="shared" ca="1" si="97"/>
        <v>2</v>
      </c>
      <c r="N419" s="24">
        <f t="shared" ca="1" si="88"/>
        <v>21</v>
      </c>
      <c r="O419" s="24">
        <f t="shared" ca="1" si="89"/>
        <v>2</v>
      </c>
      <c r="P419" s="24">
        <f t="shared" ca="1" si="90"/>
        <v>4</v>
      </c>
      <c r="Q419" s="16" t="str">
        <f t="shared" ca="1" si="91"/>
        <v>Not Promoted</v>
      </c>
      <c r="R419" s="16" t="str" cm="1">
        <f t="array" ref="R419" ca="1">INDEX(Lookup!$E$2:$E$6,RANDBETWEEN(1,5))</f>
        <v>Bachelor's</v>
      </c>
      <c r="S419" s="16" t="str" cm="1">
        <f t="array" ref="S419" ca="1">INDEX(Lookup!$J$2:$J$11,RANDBETWEEN(1,10))</f>
        <v>David Murphy</v>
      </c>
      <c r="T419" s="16" t="str">
        <f t="shared" ca="1" si="92"/>
        <v>hannah.martin@hranalytics.com</v>
      </c>
      <c r="U419" s="16" t="str">
        <f t="shared" ca="1" si="93"/>
        <v>0855556263</v>
      </c>
      <c r="V419" s="16" t="str" cm="1">
        <f t="array" ref="V419" ca="1">_xlfn.LET(_xlpm.r,RANDBETWEEN(1,100),_xlfn.IFS(_xlpm.r&lt;=70,"Full-Time",_xlpm.r&lt;=85,"Part-Time",_xlpm.r&lt;=95,"Contract",TRUE,"Intern"))</f>
        <v>Full-Time</v>
      </c>
      <c r="W419" s="16" cm="1">
        <f t="array" ref="W419" ca="1">IF(K419&lt;&gt;"Active",0,_xlfn.IFS(M419=5,L419*15%,M419=4,L419*10%,M419=3,L419*5%,M419=2,L419*2%,TRUE,0))</f>
        <v>865.2</v>
      </c>
      <c r="X419" s="24">
        <f t="shared" ca="1" si="94"/>
        <v>2</v>
      </c>
      <c r="Y419" s="24">
        <f t="shared" ca="1" si="95"/>
        <v>1</v>
      </c>
    </row>
    <row r="420" spans="1:25">
      <c r="A420" s="16" t="str">
        <f t="shared" si="96"/>
        <v>EMP419</v>
      </c>
      <c r="B420" s="16" t="str" cm="1">
        <f t="array" ref="B420" ca="1">IF(D420="Male",INDEX(Lookup!$L$2:$L$13,RANDBETWEEN(1,12)),IF(D420="Female",INDEX(Lookup!$M$2:$M$13,RANDBETWEEN(1,12)),INDEX(Lookup!$N$2:$N$13,RANDBETWEEN(1,12))))</f>
        <v>Quinn</v>
      </c>
      <c r="C420" s="16" t="str" cm="1">
        <f t="array" ref="C420" ca="1">INDEX(Lookup!$K$2:$K$31,RANDBETWEEN(1,30))</f>
        <v>Kelly</v>
      </c>
      <c r="D420" s="16" t="str" cm="1">
        <f t="array" ref="D420" ca="1">INDEX(Lookup!$H$2:$H$4,RANDBETWEEN(1,3))</f>
        <v>Other</v>
      </c>
      <c r="E420" s="16">
        <f t="shared" ca="1" si="84"/>
        <v>57</v>
      </c>
      <c r="F420" s="16" t="str" cm="1">
        <f t="array" ref="F420" ca="1">INDEX(Lookup!$A$2:$A$10,RANDBETWEEN(1,9))</f>
        <v>Sales</v>
      </c>
      <c r="G420" s="16" t="str" cm="1">
        <f t="array" ref="G420" ca="1">_xlfn.LET(_xlpm.Roles,_xlfn._xlws.FILTER(Lookup!$P$2:$P$28,Lookup!$O$2:$O$28=F420),INDEX(_xlpm.Roles,RANDBETWEEN(1,ROWS(_xlpm.Roles))))</f>
        <v>Account Manager</v>
      </c>
      <c r="H420" s="16" t="str" cm="1">
        <f t="array" ref="H420" ca="1">INDEX(Lookup!$B$2:$B$7,RANDBETWEEN(1,6))</f>
        <v>Galway</v>
      </c>
      <c r="I420" s="22">
        <f t="shared" ca="1" si="85"/>
        <v>44526</v>
      </c>
      <c r="J420" s="22" t="str">
        <f t="shared" ca="1" si="86"/>
        <v/>
      </c>
      <c r="K420" s="16" t="str">
        <f t="shared" ca="1" si="87"/>
        <v>Active</v>
      </c>
      <c r="L420" s="26">
        <f ca="1">_xlfn.XLOOKUP(G420,Lookup!$P$2:$P$28,Lookup!$Q$2:$Q$28)*(1+MIN(X420*3%,30%))</f>
        <v>68200</v>
      </c>
      <c r="M420" s="24">
        <f t="shared" ca="1" si="97"/>
        <v>4</v>
      </c>
      <c r="N420" s="24">
        <f t="shared" ca="1" si="88"/>
        <v>66</v>
      </c>
      <c r="O420" s="24">
        <f t="shared" ca="1" si="89"/>
        <v>20</v>
      </c>
      <c r="P420" s="24">
        <f t="shared" ca="1" si="90"/>
        <v>22</v>
      </c>
      <c r="Q420" s="16" t="str">
        <f t="shared" ca="1" si="91"/>
        <v>Promoted</v>
      </c>
      <c r="R420" s="16" t="str" cm="1">
        <f t="array" ref="R420" ca="1">INDEX(Lookup!$E$2:$E$6,RANDBETWEEN(1,5))</f>
        <v>High School</v>
      </c>
      <c r="S420" s="16" t="str" cm="1">
        <f t="array" ref="S420" ca="1">INDEX(Lookup!$J$2:$J$11,RANDBETWEEN(1,10))</f>
        <v>Grace O'Connor</v>
      </c>
      <c r="T420" s="16" t="str">
        <f t="shared" ca="1" si="92"/>
        <v>quinn.kelly@hranalytics.com</v>
      </c>
      <c r="U420" s="16" t="str">
        <f t="shared" ca="1" si="93"/>
        <v>0883775590</v>
      </c>
      <c r="V420" s="16" t="str" cm="1">
        <f t="array" ref="V420" ca="1">_xlfn.LET(_xlpm.r,RANDBETWEEN(1,100),_xlfn.IFS(_xlpm.r&lt;=70,"Full-Time",_xlpm.r&lt;=85,"Part-Time",_xlpm.r&lt;=95,"Contract",TRUE,"Intern"))</f>
        <v>Contract</v>
      </c>
      <c r="W420" s="16" cm="1">
        <f t="array" ref="W420" ca="1">IF(K420&lt;&gt;"Active",0,_xlfn.IFS(M420=5,L420*15%,M420=4,L420*10%,M420=3,L420*5%,M420=2,L420*2%,TRUE,0))</f>
        <v>10230</v>
      </c>
      <c r="X420" s="24">
        <f t="shared" ca="1" si="94"/>
        <v>4</v>
      </c>
      <c r="Y420" s="24">
        <f t="shared" ca="1" si="95"/>
        <v>3</v>
      </c>
    </row>
    <row r="421" spans="1:25">
      <c r="A421" s="16" t="str">
        <f t="shared" si="96"/>
        <v>EMP420</v>
      </c>
      <c r="B421" s="16" t="str" cm="1">
        <f t="array" ref="B421" ca="1">IF(D421="Male",INDEX(Lookup!$L$2:$L$13,RANDBETWEEN(1,12)),IF(D421="Female",INDEX(Lookup!$M$2:$M$13,RANDBETWEEN(1,12)),INDEX(Lookup!$N$2:$N$13,RANDBETWEEN(1,12))))</f>
        <v>David</v>
      </c>
      <c r="C421" s="16" t="str" cm="1">
        <f t="array" ref="C421" ca="1">INDEX(Lookup!$K$2:$K$31,RANDBETWEEN(1,30))</f>
        <v>White</v>
      </c>
      <c r="D421" s="16" t="str" cm="1">
        <f t="array" ref="D421" ca="1">INDEX(Lookup!$H$2:$H$4,RANDBETWEEN(1,3))</f>
        <v>Male</v>
      </c>
      <c r="E421" s="16">
        <f t="shared" ca="1" si="84"/>
        <v>49</v>
      </c>
      <c r="F421" s="16" t="str" cm="1">
        <f t="array" ref="F421" ca="1">INDEX(Lookup!$A$2:$A$10,RANDBETWEEN(1,9))</f>
        <v>Customer Support</v>
      </c>
      <c r="G421" s="16" t="str" cm="1">
        <f t="array" ref="G421" ca="1">_xlfn.LET(_xlpm.Roles,_xlfn._xlws.FILTER(Lookup!$P$2:$P$28,Lookup!$O$2:$O$28=F421),INDEX(_xlpm.Roles,RANDBETWEEN(1,ROWS(_xlpm.Roles))))</f>
        <v>Customer Success Specialist</v>
      </c>
      <c r="H421" s="16" t="str" cm="1">
        <f t="array" ref="H421" ca="1">INDEX(Lookup!$B$2:$B$7,RANDBETWEEN(1,6))</f>
        <v>Belfast</v>
      </c>
      <c r="I421" s="22">
        <f t="shared" ca="1" si="85"/>
        <v>44908</v>
      </c>
      <c r="J421" s="22" t="str">
        <f t="shared" ca="1" si="86"/>
        <v/>
      </c>
      <c r="K421" s="16" t="str">
        <f t="shared" ca="1" si="87"/>
        <v>Active</v>
      </c>
      <c r="L421" s="26">
        <f ca="1">_xlfn.XLOOKUP(G421,Lookup!$P$2:$P$28,Lookup!$Q$2:$Q$28)*(1+MIN(X421*3%,30%))</f>
        <v>52080</v>
      </c>
      <c r="M421" s="24">
        <f t="shared" ca="1" si="97"/>
        <v>3</v>
      </c>
      <c r="N421" s="24">
        <f t="shared" ca="1" si="88"/>
        <v>42</v>
      </c>
      <c r="O421" s="24">
        <f t="shared" ca="1" si="89"/>
        <v>18</v>
      </c>
      <c r="P421" s="24">
        <f t="shared" ca="1" si="90"/>
        <v>32</v>
      </c>
      <c r="Q421" s="16" t="str">
        <f t="shared" ca="1" si="91"/>
        <v>Promoted</v>
      </c>
      <c r="R421" s="16" t="str" cm="1">
        <f t="array" ref="R421" ca="1">INDEX(Lookup!$E$2:$E$6,RANDBETWEEN(1,5))</f>
        <v>Bachelor's</v>
      </c>
      <c r="S421" s="16" t="str" cm="1">
        <f t="array" ref="S421" ca="1">INDEX(Lookup!$J$2:$J$11,RANDBETWEEN(1,10))</f>
        <v>James Taylor</v>
      </c>
      <c r="T421" s="16" t="str">
        <f t="shared" ca="1" si="92"/>
        <v>david.white@hranalytics.com</v>
      </c>
      <c r="U421" s="16" t="str">
        <f t="shared" ca="1" si="93"/>
        <v>0849658812</v>
      </c>
      <c r="V421" s="16" t="str" cm="1">
        <f t="array" ref="V421" ca="1">_xlfn.LET(_xlpm.r,RANDBETWEEN(1,100),_xlfn.IFS(_xlpm.r&lt;=70,"Full-Time",_xlpm.r&lt;=85,"Part-Time",_xlpm.r&lt;=95,"Contract",TRUE,"Intern"))</f>
        <v>Part-Time</v>
      </c>
      <c r="W421" s="16" cm="1">
        <f t="array" ref="W421" ca="1">IF(K421&lt;&gt;"Active",0,_xlfn.IFS(M421=5,L421*15%,M421=4,L421*10%,M421=3,L421*5%,M421=2,L421*2%,TRUE,0))</f>
        <v>5208</v>
      </c>
      <c r="X421" s="24">
        <f t="shared" ca="1" si="94"/>
        <v>3</v>
      </c>
      <c r="Y421" s="24">
        <f t="shared" ca="1" si="95"/>
        <v>1</v>
      </c>
    </row>
    <row r="422" spans="1:25">
      <c r="A422" s="16" t="str">
        <f t="shared" si="96"/>
        <v>EMP421</v>
      </c>
      <c r="B422" s="16" t="str" cm="1">
        <f t="array" ref="B422" ca="1">IF(D422="Male",INDEX(Lookup!$L$2:$L$13,RANDBETWEEN(1,12)),IF(D422="Female",INDEX(Lookup!$M$2:$M$13,RANDBETWEEN(1,12)),INDEX(Lookup!$N$2:$N$13,RANDBETWEEN(1,12))))</f>
        <v>Emily</v>
      </c>
      <c r="C422" s="16" t="str" cm="1">
        <f t="array" ref="C422" ca="1">INDEX(Lookup!$K$2:$K$31,RANDBETWEEN(1,30))</f>
        <v>Edwards</v>
      </c>
      <c r="D422" s="16" t="str" cm="1">
        <f t="array" ref="D422" ca="1">INDEX(Lookup!$H$2:$H$4,RANDBETWEEN(1,3))</f>
        <v>Female</v>
      </c>
      <c r="E422" s="16">
        <f t="shared" ca="1" si="84"/>
        <v>50</v>
      </c>
      <c r="F422" s="16" t="str" cm="1">
        <f t="array" ref="F422" ca="1">INDEX(Lookup!$A$2:$A$10,RANDBETWEEN(1,9))</f>
        <v>Finance</v>
      </c>
      <c r="G422" s="16" t="str" cm="1">
        <f t="array" ref="G422" ca="1">_xlfn.LET(_xlpm.Roles,_xlfn._xlws.FILTER(Lookup!$P$2:$P$28,Lookup!$O$2:$O$28=F422),INDEX(_xlpm.Roles,RANDBETWEEN(1,ROWS(_xlpm.Roles))))</f>
        <v>Financial Analyst</v>
      </c>
      <c r="H422" s="16" t="str" cm="1">
        <f t="array" ref="H422" ca="1">INDEX(Lookup!$B$2:$B$7,RANDBETWEEN(1,6))</f>
        <v>Galway</v>
      </c>
      <c r="I422" s="22">
        <f t="shared" ca="1" si="85"/>
        <v>45266</v>
      </c>
      <c r="J422" s="22" t="str">
        <f t="shared" ca="1" si="86"/>
        <v/>
      </c>
      <c r="K422" s="16" t="str">
        <f t="shared" ca="1" si="87"/>
        <v>Active</v>
      </c>
      <c r="L422" s="26">
        <f ca="1">_xlfn.XLOOKUP(G422,Lookup!$P$2:$P$28,Lookup!$Q$2:$Q$28)*(1+MIN(X422*3%,30%))</f>
        <v>63220</v>
      </c>
      <c r="M422" s="24">
        <f t="shared" ca="1" si="97"/>
        <v>1</v>
      </c>
      <c r="N422" s="24">
        <f t="shared" ca="1" si="88"/>
        <v>64</v>
      </c>
      <c r="O422" s="24">
        <f t="shared" ca="1" si="89"/>
        <v>0</v>
      </c>
      <c r="P422" s="24">
        <f t="shared" ca="1" si="90"/>
        <v>2</v>
      </c>
      <c r="Q422" s="16" t="str">
        <f t="shared" ca="1" si="91"/>
        <v>Not Promoted</v>
      </c>
      <c r="R422" s="16" t="str" cm="1">
        <f t="array" ref="R422" ca="1">INDEX(Lookup!$E$2:$E$6,RANDBETWEEN(1,5))</f>
        <v>Dipolma</v>
      </c>
      <c r="S422" s="16" t="str" cm="1">
        <f t="array" ref="S422" ca="1">INDEX(Lookup!$J$2:$J$11,RANDBETWEEN(1,10))</f>
        <v>Emma Wilson</v>
      </c>
      <c r="T422" s="16" t="str">
        <f t="shared" ca="1" si="92"/>
        <v>emily.edwards@hranalytics.com</v>
      </c>
      <c r="U422" s="16" t="str">
        <f t="shared" ca="1" si="93"/>
        <v>0862826414</v>
      </c>
      <c r="V422" s="16" t="str" cm="1">
        <f t="array" ref="V422" ca="1">_xlfn.LET(_xlpm.r,RANDBETWEEN(1,100),_xlfn.IFS(_xlpm.r&lt;=70,"Full-Time",_xlpm.r&lt;=85,"Part-Time",_xlpm.r&lt;=95,"Contract",TRUE,"Intern"))</f>
        <v>Full-Time</v>
      </c>
      <c r="W422" s="16" cm="1">
        <f t="array" ref="W422" ca="1">IF(K422&lt;&gt;"Active",0,_xlfn.IFS(M422=5,L422*15%,M422=4,L422*10%,M422=3,L422*5%,M422=2,L422*2%,TRUE,0))</f>
        <v>0</v>
      </c>
      <c r="X422" s="24">
        <f t="shared" ca="1" si="94"/>
        <v>2</v>
      </c>
      <c r="Y422" s="24">
        <f t="shared" ca="1" si="95"/>
        <v>2</v>
      </c>
    </row>
    <row r="423" spans="1:25">
      <c r="A423" s="16" t="str">
        <f t="shared" si="96"/>
        <v>EMP422</v>
      </c>
      <c r="B423" s="16" t="str" cm="1">
        <f t="array" ref="B423" ca="1">IF(D423="Male",INDEX(Lookup!$L$2:$L$13,RANDBETWEEN(1,12)),IF(D423="Female",INDEX(Lookup!$M$2:$M$13,RANDBETWEEN(1,12)),INDEX(Lookup!$N$2:$N$13,RANDBETWEEN(1,12))))</f>
        <v>Hannah</v>
      </c>
      <c r="C423" s="16" t="str" cm="1">
        <f t="array" ref="C423" ca="1">INDEX(Lookup!$K$2:$K$31,RANDBETWEEN(1,30))</f>
        <v>Nelson</v>
      </c>
      <c r="D423" s="16" t="str" cm="1">
        <f t="array" ref="D423" ca="1">INDEX(Lookup!$H$2:$H$4,RANDBETWEEN(1,3))</f>
        <v>Female</v>
      </c>
      <c r="E423" s="16">
        <f t="shared" ca="1" si="84"/>
        <v>60</v>
      </c>
      <c r="F423" s="16" t="str" cm="1">
        <f t="array" ref="F423" ca="1">INDEX(Lookup!$A$2:$A$10,RANDBETWEEN(1,9))</f>
        <v>Legal</v>
      </c>
      <c r="G423" s="16" t="str" cm="1">
        <f t="array" ref="G423" ca="1">_xlfn.LET(_xlpm.Roles,_xlfn._xlws.FILTER(Lookup!$P$2:$P$28,Lookup!$O$2:$O$28=F423),INDEX(_xlpm.Roles,RANDBETWEEN(1,ROWS(_xlpm.Roles))))</f>
        <v>Legal Assistant</v>
      </c>
      <c r="H423" s="16" t="str" cm="1">
        <f t="array" ref="H423" ca="1">INDEX(Lookup!$B$2:$B$7,RANDBETWEEN(1,6))</f>
        <v>Waterford</v>
      </c>
      <c r="I423" s="22">
        <f t="shared" ca="1" si="85"/>
        <v>45191</v>
      </c>
      <c r="J423" s="22" t="str">
        <f t="shared" ca="1" si="86"/>
        <v/>
      </c>
      <c r="K423" s="16" t="str">
        <f t="shared" ca="1" si="87"/>
        <v>Active</v>
      </c>
      <c r="L423" s="26">
        <f ca="1">_xlfn.XLOOKUP(G423,Lookup!$P$2:$P$28,Lookup!$Q$2:$Q$28)*(1+MIN(X423*3%,30%))</f>
        <v>52080</v>
      </c>
      <c r="M423" s="24">
        <f t="shared" ca="1" si="97"/>
        <v>1</v>
      </c>
      <c r="N423" s="24">
        <f t="shared" ca="1" si="88"/>
        <v>0</v>
      </c>
      <c r="O423" s="24">
        <f t="shared" ca="1" si="89"/>
        <v>1</v>
      </c>
      <c r="P423" s="24">
        <f t="shared" ca="1" si="90"/>
        <v>29</v>
      </c>
      <c r="Q423" s="16" t="str">
        <f t="shared" ca="1" si="91"/>
        <v>Promoted</v>
      </c>
      <c r="R423" s="16" t="str" cm="1">
        <f t="array" ref="R423" ca="1">INDEX(Lookup!$E$2:$E$6,RANDBETWEEN(1,5))</f>
        <v>Bachelor's</v>
      </c>
      <c r="S423" s="16" t="str" cm="1">
        <f t="array" ref="S423" ca="1">INDEX(Lookup!$J$2:$J$11,RANDBETWEEN(1,10))</f>
        <v>Emma Wilson</v>
      </c>
      <c r="T423" s="16" t="str">
        <f t="shared" ca="1" si="92"/>
        <v>hannah.nelson@hranalytics.com</v>
      </c>
      <c r="U423" s="16" t="str">
        <f t="shared" ca="1" si="93"/>
        <v>0831448632</v>
      </c>
      <c r="V423" s="16" t="str" cm="1">
        <f t="array" ref="V423" ca="1">_xlfn.LET(_xlpm.r,RANDBETWEEN(1,100),_xlfn.IFS(_xlpm.r&lt;=70,"Full-Time",_xlpm.r&lt;=85,"Part-Time",_xlpm.r&lt;=95,"Contract",TRUE,"Intern"))</f>
        <v>Full-Time</v>
      </c>
      <c r="W423" s="16" cm="1">
        <f t="array" ref="W423" ca="1">IF(K423&lt;&gt;"Active",0,_xlfn.IFS(M423=5,L423*15%,M423=4,L423*10%,M423=3,L423*5%,M423=2,L423*2%,TRUE,0))</f>
        <v>2604</v>
      </c>
      <c r="X423" s="24">
        <f t="shared" ca="1" si="94"/>
        <v>2</v>
      </c>
      <c r="Y423" s="24">
        <f t="shared" ca="1" si="95"/>
        <v>1</v>
      </c>
    </row>
    <row r="424" spans="1:25">
      <c r="A424" s="16" t="str">
        <f t="shared" si="96"/>
        <v>EMP423</v>
      </c>
      <c r="B424" s="16" t="str" cm="1">
        <f t="array" ref="B424" ca="1">IF(D424="Male",INDEX(Lookup!$L$2:$L$13,RANDBETWEEN(1,12)),IF(D424="Female",INDEX(Lookup!$M$2:$M$13,RANDBETWEEN(1,12)),INDEX(Lookup!$N$2:$N$13,RANDBETWEEN(1,12))))</f>
        <v>Michael</v>
      </c>
      <c r="C424" s="16" t="str" cm="1">
        <f t="array" ref="C424" ca="1">INDEX(Lookup!$K$2:$K$31,RANDBETWEEN(1,30))</f>
        <v>Kelly</v>
      </c>
      <c r="D424" s="16" t="str" cm="1">
        <f t="array" ref="D424" ca="1">INDEX(Lookup!$H$2:$H$4,RANDBETWEEN(1,3))</f>
        <v>Male</v>
      </c>
      <c r="E424" s="16">
        <f t="shared" ca="1" si="84"/>
        <v>28</v>
      </c>
      <c r="F424" s="16" t="str" cm="1">
        <f t="array" ref="F424" ca="1">INDEX(Lookup!$A$2:$A$10,RANDBETWEEN(1,9))</f>
        <v>HR</v>
      </c>
      <c r="G424" s="16" t="str" cm="1">
        <f t="array" ref="G424" ca="1">_xlfn.LET(_xlpm.Roles,_xlfn._xlws.FILTER(Lookup!$P$2:$P$28,Lookup!$O$2:$O$28=F424),INDEX(_xlpm.Roles,RANDBETWEEN(1,ROWS(_xlpm.Roles))))</f>
        <v>HR Executive</v>
      </c>
      <c r="H424" s="16" t="str" cm="1">
        <f t="array" ref="H424" ca="1">INDEX(Lookup!$B$2:$B$7,RANDBETWEEN(1,6))</f>
        <v>Belfast</v>
      </c>
      <c r="I424" s="22">
        <f t="shared" ca="1" si="85"/>
        <v>44415</v>
      </c>
      <c r="J424" s="22" t="str">
        <f t="shared" ca="1" si="86"/>
        <v/>
      </c>
      <c r="K424" s="16" t="str">
        <f t="shared" ca="1" si="87"/>
        <v>Active</v>
      </c>
      <c r="L424" s="26">
        <f ca="1">_xlfn.XLOOKUP(G424,Lookup!$P$2:$P$28,Lookup!$Q$2:$Q$28)*(1+MIN(X424*3%,30%))</f>
        <v>47040</v>
      </c>
      <c r="M424" s="24">
        <f t="shared" ca="1" si="97"/>
        <v>3</v>
      </c>
      <c r="N424" s="24">
        <f t="shared" ca="1" si="88"/>
        <v>64</v>
      </c>
      <c r="O424" s="24">
        <f t="shared" ca="1" si="89"/>
        <v>6</v>
      </c>
      <c r="P424" s="24">
        <f t="shared" ca="1" si="90"/>
        <v>54</v>
      </c>
      <c r="Q424" s="16" t="str">
        <f t="shared" ca="1" si="91"/>
        <v>Promoted</v>
      </c>
      <c r="R424" s="16" t="str" cm="1">
        <f t="array" ref="R424" ca="1">INDEX(Lookup!$E$2:$E$6,RANDBETWEEN(1,5))</f>
        <v>Master's</v>
      </c>
      <c r="S424" s="16" t="str" cm="1">
        <f t="array" ref="S424" ca="1">INDEX(Lookup!$J$2:$J$11,RANDBETWEEN(1,10))</f>
        <v>James Taylor</v>
      </c>
      <c r="T424" s="16" t="str">
        <f t="shared" ca="1" si="92"/>
        <v>michael.kelly@hranalytics.com</v>
      </c>
      <c r="U424" s="16" t="str">
        <f t="shared" ca="1" si="93"/>
        <v>0877406951</v>
      </c>
      <c r="V424" s="16" t="str" cm="1">
        <f t="array" ref="V424" ca="1">_xlfn.LET(_xlpm.r,RANDBETWEEN(1,100),_xlfn.IFS(_xlpm.r&lt;=70,"Full-Time",_xlpm.r&lt;=85,"Part-Time",_xlpm.r&lt;=95,"Contract",TRUE,"Intern"))</f>
        <v>Full-Time</v>
      </c>
      <c r="W424" s="16" cm="1">
        <f t="array" ref="W424" ca="1">IF(K424&lt;&gt;"Active",0,_xlfn.IFS(M424=5,L424*15%,M424=4,L424*10%,M424=3,L424*5%,M424=2,L424*2%,TRUE,0))</f>
        <v>2352</v>
      </c>
      <c r="X424" s="24">
        <f t="shared" ca="1" si="94"/>
        <v>5</v>
      </c>
      <c r="Y424" s="24">
        <f t="shared" ca="1" si="95"/>
        <v>1</v>
      </c>
    </row>
    <row r="425" spans="1:25">
      <c r="A425" s="16" t="str">
        <f t="shared" si="96"/>
        <v>EMP424</v>
      </c>
      <c r="B425" s="16" t="str" cm="1">
        <f t="array" ref="B425" ca="1">IF(D425="Male",INDEX(Lookup!$L$2:$L$13,RANDBETWEEN(1,12)),IF(D425="Female",INDEX(Lookup!$M$2:$M$13,RANDBETWEEN(1,12)),INDEX(Lookup!$N$2:$N$13,RANDBETWEEN(1,12))))</f>
        <v>Noah</v>
      </c>
      <c r="C425" s="16" t="str" cm="1">
        <f t="array" ref="C425" ca="1">INDEX(Lookup!$K$2:$K$31,RANDBETWEEN(1,30))</f>
        <v>Scott</v>
      </c>
      <c r="D425" s="16" t="str" cm="1">
        <f t="array" ref="D425" ca="1">INDEX(Lookup!$H$2:$H$4,RANDBETWEEN(1,3))</f>
        <v>Male</v>
      </c>
      <c r="E425" s="16">
        <f t="shared" ca="1" si="84"/>
        <v>34</v>
      </c>
      <c r="F425" s="16" t="str" cm="1">
        <f t="array" ref="F425" ca="1">INDEX(Lookup!$A$2:$A$10,RANDBETWEEN(1,9))</f>
        <v>Sales</v>
      </c>
      <c r="G425" s="16" t="str" cm="1">
        <f t="array" ref="G425" ca="1">_xlfn.LET(_xlpm.Roles,_xlfn._xlws.FILTER(Lookup!$P$2:$P$28,Lookup!$O$2:$O$28=F425),INDEX(_xlpm.Roles,RANDBETWEEN(1,ROWS(_xlpm.Roles))))</f>
        <v>Account Manager</v>
      </c>
      <c r="H425" s="16" t="str" cm="1">
        <f t="array" ref="H425" ca="1">INDEX(Lookup!$B$2:$B$7,RANDBETWEEN(1,6))</f>
        <v>Waterford</v>
      </c>
      <c r="I425" s="22">
        <f t="shared" ca="1" si="85"/>
        <v>44584</v>
      </c>
      <c r="J425" s="22" t="str">
        <f t="shared" ca="1" si="86"/>
        <v/>
      </c>
      <c r="K425" s="16" t="str">
        <f t="shared" ca="1" si="87"/>
        <v>Active</v>
      </c>
      <c r="L425" s="26">
        <f ca="1">_xlfn.XLOOKUP(G425,Lookup!$P$2:$P$28,Lookup!$Q$2:$Q$28)*(1+MIN(X425*3%,30%))</f>
        <v>66550</v>
      </c>
      <c r="M425" s="24">
        <f t="shared" ca="1" si="97"/>
        <v>4</v>
      </c>
      <c r="N425" s="24">
        <f t="shared" ca="1" si="88"/>
        <v>21</v>
      </c>
      <c r="O425" s="24">
        <f t="shared" ca="1" si="89"/>
        <v>19</v>
      </c>
      <c r="P425" s="24">
        <f t="shared" ca="1" si="90"/>
        <v>13</v>
      </c>
      <c r="Q425" s="16" t="str">
        <f t="shared" ca="1" si="91"/>
        <v>Promoted</v>
      </c>
      <c r="R425" s="16" t="str" cm="1">
        <f t="array" ref="R425" ca="1">INDEX(Lookup!$E$2:$E$6,RANDBETWEEN(1,5))</f>
        <v>High School</v>
      </c>
      <c r="S425" s="16" t="str" cm="1">
        <f t="array" ref="S425" ca="1">INDEX(Lookup!$J$2:$J$11,RANDBETWEEN(1,10))</f>
        <v>Grace O'Connor</v>
      </c>
      <c r="T425" s="16" t="str">
        <f t="shared" ca="1" si="92"/>
        <v>noah.scott@hranalytics.com</v>
      </c>
      <c r="U425" s="16" t="str">
        <f t="shared" ca="1" si="93"/>
        <v>0841697119</v>
      </c>
      <c r="V425" s="16" t="str" cm="1">
        <f t="array" ref="V425" ca="1">_xlfn.LET(_xlpm.r,RANDBETWEEN(1,100),_xlfn.IFS(_xlpm.r&lt;=70,"Full-Time",_xlpm.r&lt;=85,"Part-Time",_xlpm.r&lt;=95,"Contract",TRUE,"Intern"))</f>
        <v>Full-Time</v>
      </c>
      <c r="W425" s="16" cm="1">
        <f t="array" ref="W425" ca="1">IF(K425&lt;&gt;"Active",0,_xlfn.IFS(M425=5,L425*15%,M425=4,L425*10%,M425=3,L425*5%,M425=2,L425*2%,TRUE,0))</f>
        <v>1331</v>
      </c>
      <c r="X425" s="24">
        <f t="shared" ca="1" si="94"/>
        <v>4</v>
      </c>
      <c r="Y425" s="24">
        <f t="shared" ca="1" si="95"/>
        <v>3</v>
      </c>
    </row>
    <row r="426" spans="1:25">
      <c r="A426" s="16" t="str">
        <f t="shared" si="96"/>
        <v>EMP425</v>
      </c>
      <c r="B426" s="16" t="str" cm="1">
        <f t="array" ref="B426" ca="1">IF(D426="Male",INDEX(Lookup!$L$2:$L$13,RANDBETWEEN(1,12)),IF(D426="Female",INDEX(Lookup!$M$2:$M$13,RANDBETWEEN(1,12)),INDEX(Lookup!$N$2:$N$13,RANDBETWEEN(1,12))))</f>
        <v>James</v>
      </c>
      <c r="C426" s="16" t="str" cm="1">
        <f t="array" ref="C426" ca="1">INDEX(Lookup!$K$2:$K$31,RANDBETWEEN(1,30))</f>
        <v>Smith</v>
      </c>
      <c r="D426" s="16" t="str" cm="1">
        <f t="array" ref="D426" ca="1">INDEX(Lookup!$H$2:$H$4,RANDBETWEEN(1,3))</f>
        <v>Male</v>
      </c>
      <c r="E426" s="16">
        <f t="shared" ca="1" si="84"/>
        <v>48</v>
      </c>
      <c r="F426" s="16" t="str" cm="1">
        <f t="array" ref="F426" ca="1">INDEX(Lookup!$A$2:$A$10,RANDBETWEEN(1,9))</f>
        <v>IT</v>
      </c>
      <c r="G426" s="16" t="str" cm="1">
        <f t="array" ref="G426" ca="1">_xlfn.LET(_xlpm.Roles,_xlfn._xlws.FILTER(Lookup!$P$2:$P$28,Lookup!$O$2:$O$28=F426),INDEX(_xlpm.Roles,RANDBETWEEN(1,ROWS(_xlpm.Roles))))</f>
        <v>Business Analyst</v>
      </c>
      <c r="H426" s="16" t="str" cm="1">
        <f t="array" ref="H426" ca="1">INDEX(Lookup!$B$2:$B$7,RANDBETWEEN(1,6))</f>
        <v>Dublin</v>
      </c>
      <c r="I426" s="22">
        <f t="shared" ca="1" si="85"/>
        <v>44545</v>
      </c>
      <c r="J426" s="22" t="str">
        <f t="shared" ca="1" si="86"/>
        <v/>
      </c>
      <c r="K426" s="16" t="str">
        <f t="shared" ca="1" si="87"/>
        <v>Active</v>
      </c>
      <c r="L426" s="26">
        <f ca="1">_xlfn.XLOOKUP(G426,Lookup!$P$2:$P$28,Lookup!$Q$2:$Q$28)*(1+MIN(X426*3%,30%))</f>
        <v>70800</v>
      </c>
      <c r="M426" s="24">
        <f t="shared" ca="1" si="97"/>
        <v>1</v>
      </c>
      <c r="N426" s="24">
        <f t="shared" ca="1" si="88"/>
        <v>58</v>
      </c>
      <c r="O426" s="24">
        <f t="shared" ca="1" si="89"/>
        <v>8</v>
      </c>
      <c r="P426" s="24">
        <f t="shared" ca="1" si="90"/>
        <v>11</v>
      </c>
      <c r="Q426" s="16" t="str">
        <f t="shared" ca="1" si="91"/>
        <v>Promoted</v>
      </c>
      <c r="R426" s="16" t="str" cm="1">
        <f t="array" ref="R426" ca="1">INDEX(Lookup!$E$2:$E$6,RANDBETWEEN(1,5))</f>
        <v>Bachelor's</v>
      </c>
      <c r="S426" s="16" t="str" cm="1">
        <f t="array" ref="S426" ca="1">INDEX(Lookup!$J$2:$J$11,RANDBETWEEN(1,10))</f>
        <v>Grace O'Connor</v>
      </c>
      <c r="T426" s="16" t="str">
        <f t="shared" ca="1" si="92"/>
        <v>james.smith@hranalytics.com</v>
      </c>
      <c r="U426" s="16" t="str">
        <f t="shared" ca="1" si="93"/>
        <v>0864745231</v>
      </c>
      <c r="V426" s="16" t="str" cm="1">
        <f t="array" ref="V426" ca="1">_xlfn.LET(_xlpm.r,RANDBETWEEN(1,100),_xlfn.IFS(_xlpm.r&lt;=70,"Full-Time",_xlpm.r&lt;=85,"Part-Time",_xlpm.r&lt;=95,"Contract",TRUE,"Intern"))</f>
        <v>Contract</v>
      </c>
      <c r="W426" s="16" cm="1">
        <f t="array" ref="W426" ca="1">IF(K426&lt;&gt;"Active",0,_xlfn.IFS(M426=5,L426*15%,M426=4,L426*10%,M426=3,L426*5%,M426=2,L426*2%,TRUE,0))</f>
        <v>7080</v>
      </c>
      <c r="X426" s="24">
        <f t="shared" ca="1" si="94"/>
        <v>4</v>
      </c>
      <c r="Y426" s="24">
        <f t="shared" ca="1" si="95"/>
        <v>1</v>
      </c>
    </row>
    <row r="427" spans="1:25">
      <c r="A427" s="16" t="str">
        <f t="shared" si="96"/>
        <v>EMP426</v>
      </c>
      <c r="B427" s="16" t="str" cm="1">
        <f t="array" ref="B427" ca="1">IF(D427="Male",INDEX(Lookup!$L$2:$L$13,RANDBETWEEN(1,12)),IF(D427="Female",INDEX(Lookup!$M$2:$M$13,RANDBETWEEN(1,12)),INDEX(Lookup!$N$2:$N$13,RANDBETWEEN(1,12))))</f>
        <v>Lucas</v>
      </c>
      <c r="C427" s="16" t="str" cm="1">
        <f t="array" ref="C427" ca="1">INDEX(Lookup!$K$2:$K$31,RANDBETWEEN(1,30))</f>
        <v>Murphy</v>
      </c>
      <c r="D427" s="16" t="str" cm="1">
        <f t="array" ref="D427" ca="1">INDEX(Lookup!$H$2:$H$4,RANDBETWEEN(1,3))</f>
        <v>Male</v>
      </c>
      <c r="E427" s="16">
        <f t="shared" ca="1" si="84"/>
        <v>45</v>
      </c>
      <c r="F427" s="16" t="str" cm="1">
        <f t="array" ref="F427" ca="1">INDEX(Lookup!$A$2:$A$10,RANDBETWEEN(1,9))</f>
        <v>Operations</v>
      </c>
      <c r="G427" s="16" t="str" cm="1">
        <f t="array" ref="G427" ca="1">_xlfn.LET(_xlpm.Roles,_xlfn._xlws.FILTER(Lookup!$P$2:$P$28,Lookup!$O$2:$O$28=F427),INDEX(_xlpm.Roles,RANDBETWEEN(1,ROWS(_xlpm.Roles))))</f>
        <v>Operations Executive</v>
      </c>
      <c r="H427" s="16" t="str" cm="1">
        <f t="array" ref="H427" ca="1">INDEX(Lookup!$B$2:$B$7,RANDBETWEEN(1,6))</f>
        <v>Dublin</v>
      </c>
      <c r="I427" s="22">
        <f t="shared" ca="1" si="85"/>
        <v>45717</v>
      </c>
      <c r="J427" s="22" t="str">
        <f t="shared" ca="1" si="86"/>
        <v/>
      </c>
      <c r="K427" s="16" t="str">
        <f t="shared" ca="1" si="87"/>
        <v>Active</v>
      </c>
      <c r="L427" s="26">
        <f ca="1">_xlfn.XLOOKUP(G427,Lookup!$P$2:$P$28,Lookup!$Q$2:$Q$28)*(1+MIN(X427*3%,30%))</f>
        <v>48300</v>
      </c>
      <c r="M427" s="24">
        <f t="shared" ca="1" si="97"/>
        <v>3</v>
      </c>
      <c r="N427" s="24">
        <f t="shared" ca="1" si="88"/>
        <v>50</v>
      </c>
      <c r="O427" s="24">
        <f t="shared" ca="1" si="89"/>
        <v>19</v>
      </c>
      <c r="P427" s="24">
        <f t="shared" ca="1" si="90"/>
        <v>12</v>
      </c>
      <c r="Q427" s="16" t="str">
        <f t="shared" ca="1" si="91"/>
        <v>Promoted</v>
      </c>
      <c r="R427" s="16" t="str" cm="1">
        <f t="array" ref="R427" ca="1">INDEX(Lookup!$E$2:$E$6,RANDBETWEEN(1,5))</f>
        <v>Master's</v>
      </c>
      <c r="S427" s="16" t="str" cm="1">
        <f t="array" ref="S427" ca="1">INDEX(Lookup!$J$2:$J$11,RANDBETWEEN(1,10))</f>
        <v>Emma Wilson</v>
      </c>
      <c r="T427" s="16" t="str">
        <f t="shared" ca="1" si="92"/>
        <v>lucas.murphy@hranalytics.com</v>
      </c>
      <c r="U427" s="16" t="str">
        <f t="shared" ca="1" si="93"/>
        <v>0868263642</v>
      </c>
      <c r="V427" s="16" t="str" cm="1">
        <f t="array" ref="V427" ca="1">_xlfn.LET(_xlpm.r,RANDBETWEEN(1,100),_xlfn.IFS(_xlpm.r&lt;=70,"Full-Time",_xlpm.r&lt;=85,"Part-Time",_xlpm.r&lt;=95,"Contract",TRUE,"Intern"))</f>
        <v>Full-Time</v>
      </c>
      <c r="W427" s="16" cm="1">
        <f t="array" ref="W427" ca="1">IF(K427&lt;&gt;"Active",0,_xlfn.IFS(M427=5,L427*15%,M427=4,L427*10%,M427=3,L427*5%,M427=2,L427*2%,TRUE,0))</f>
        <v>2415</v>
      </c>
      <c r="X427" s="24">
        <f t="shared" ca="1" si="94"/>
        <v>1</v>
      </c>
      <c r="Y427" s="24">
        <f t="shared" ca="1" si="95"/>
        <v>2</v>
      </c>
    </row>
    <row r="428" spans="1:25">
      <c r="A428" s="16" t="str">
        <f t="shared" si="96"/>
        <v>EMP427</v>
      </c>
      <c r="B428" s="16" t="str" cm="1">
        <f t="array" ref="B428" ca="1">IF(D428="Male",INDEX(Lookup!$L$2:$L$13,RANDBETWEEN(1,12)),IF(D428="Female",INDEX(Lookup!$M$2:$M$13,RANDBETWEEN(1,12)),INDEX(Lookup!$N$2:$N$13,RANDBETWEEN(1,12))))</f>
        <v>Avery</v>
      </c>
      <c r="C428" s="16" t="str" cm="1">
        <f t="array" ref="C428" ca="1">INDEX(Lookup!$K$2:$K$31,RANDBETWEEN(1,30))</f>
        <v>Nelson</v>
      </c>
      <c r="D428" s="16" t="str" cm="1">
        <f t="array" ref="D428" ca="1">INDEX(Lookup!$H$2:$H$4,RANDBETWEEN(1,3))</f>
        <v>Other</v>
      </c>
      <c r="E428" s="16">
        <f t="shared" ca="1" si="84"/>
        <v>48</v>
      </c>
      <c r="F428" s="16" t="str" cm="1">
        <f t="array" ref="F428" ca="1">INDEX(Lookup!$A$2:$A$10,RANDBETWEEN(1,9))</f>
        <v>Legal</v>
      </c>
      <c r="G428" s="16" t="str" cm="1">
        <f t="array" ref="G428" ca="1">_xlfn.LET(_xlpm.Roles,_xlfn._xlws.FILTER(Lookup!$P$2:$P$28,Lookup!$O$2:$O$28=F428),INDEX(_xlpm.Roles,RANDBETWEEN(1,ROWS(_xlpm.Roles))))</f>
        <v>Legal Assistant</v>
      </c>
      <c r="H428" s="16" t="str" cm="1">
        <f t="array" ref="H428" ca="1">INDEX(Lookup!$B$2:$B$7,RANDBETWEEN(1,6))</f>
        <v>Waterford</v>
      </c>
      <c r="I428" s="22">
        <f t="shared" ca="1" si="85"/>
        <v>43175</v>
      </c>
      <c r="J428" s="22" t="str">
        <f t="shared" ca="1" si="86"/>
        <v/>
      </c>
      <c r="K428" s="16" t="str">
        <f t="shared" ca="1" si="87"/>
        <v>Active</v>
      </c>
      <c r="L428" s="26">
        <f ca="1">_xlfn.XLOOKUP(G428,Lookup!$P$2:$P$28,Lookup!$Q$2:$Q$28)*(1+MIN(X428*3%,30%))</f>
        <v>48300</v>
      </c>
      <c r="M428" s="24">
        <f t="shared" ca="1" si="97"/>
        <v>1</v>
      </c>
      <c r="N428" s="24">
        <f t="shared" ca="1" si="88"/>
        <v>55</v>
      </c>
      <c r="O428" s="24">
        <f t="shared" ca="1" si="89"/>
        <v>14</v>
      </c>
      <c r="P428" s="24">
        <f t="shared" ca="1" si="90"/>
        <v>1</v>
      </c>
      <c r="Q428" s="16" t="str">
        <f t="shared" ca="1" si="91"/>
        <v>Promoted</v>
      </c>
      <c r="R428" s="16" t="str" cm="1">
        <f t="array" ref="R428" ca="1">INDEX(Lookup!$E$2:$E$6,RANDBETWEEN(1,5))</f>
        <v>Dipolma</v>
      </c>
      <c r="S428" s="16" t="str" cm="1">
        <f t="array" ref="S428" ca="1">INDEX(Lookup!$J$2:$J$11,RANDBETWEEN(1,10))</f>
        <v>David Murphy</v>
      </c>
      <c r="T428" s="16" t="str">
        <f t="shared" ca="1" si="92"/>
        <v>avery.nelson@hranalytics.com</v>
      </c>
      <c r="U428" s="16" t="str">
        <f t="shared" ca="1" si="93"/>
        <v>0889387638</v>
      </c>
      <c r="V428" s="16" t="str" cm="1">
        <f t="array" ref="V428" ca="1">_xlfn.LET(_xlpm.r,RANDBETWEEN(1,100),_xlfn.IFS(_xlpm.r&lt;=70,"Full-Time",_xlpm.r&lt;=85,"Part-Time",_xlpm.r&lt;=95,"Contract",TRUE,"Intern"))</f>
        <v>Intern</v>
      </c>
      <c r="W428" s="16" cm="1">
        <f t="array" ref="W428" ca="1">IF(K428&lt;&gt;"Active",0,_xlfn.IFS(M428=5,L428*15%,M428=4,L428*10%,M428=3,L428*5%,M428=2,L428*2%,TRUE,0))</f>
        <v>4830</v>
      </c>
      <c r="X428" s="24">
        <f t="shared" ca="1" si="94"/>
        <v>8</v>
      </c>
      <c r="Y428" s="24">
        <f t="shared" ca="1" si="95"/>
        <v>2</v>
      </c>
    </row>
    <row r="429" spans="1:25">
      <c r="A429" s="16" t="str">
        <f t="shared" si="96"/>
        <v>EMP428</v>
      </c>
      <c r="B429" s="16" t="str" cm="1">
        <f t="array" ref="B429" ca="1">IF(D429="Male",INDEX(Lookup!$L$2:$L$13,RANDBETWEEN(1,12)),IF(D429="Female",INDEX(Lookup!$M$2:$M$13,RANDBETWEEN(1,12)),INDEX(Lookup!$N$2:$N$13,RANDBETWEEN(1,12))))</f>
        <v>Sophia</v>
      </c>
      <c r="C429" s="16" t="str" cm="1">
        <f t="array" ref="C429" ca="1">INDEX(Lookup!$K$2:$K$31,RANDBETWEEN(1,30))</f>
        <v>Allen</v>
      </c>
      <c r="D429" s="16" t="str" cm="1">
        <f t="array" ref="D429" ca="1">INDEX(Lookup!$H$2:$H$4,RANDBETWEEN(1,3))</f>
        <v>Female</v>
      </c>
      <c r="E429" s="16">
        <f t="shared" ca="1" si="84"/>
        <v>54</v>
      </c>
      <c r="F429" s="16" t="str" cm="1">
        <f t="array" ref="F429" ca="1">INDEX(Lookup!$A$2:$A$10,RANDBETWEEN(1,9))</f>
        <v>Procurement</v>
      </c>
      <c r="G429" s="16" t="str" cm="1">
        <f t="array" ref="G429" ca="1">_xlfn.LET(_xlpm.Roles,_xlfn._xlws.FILTER(Lookup!$P$2:$P$28,Lookup!$O$2:$O$28=F429),INDEX(_xlpm.Roles,RANDBETWEEN(1,ROWS(_xlpm.Roles))))</f>
        <v>Purchasing Executive</v>
      </c>
      <c r="H429" s="16" t="str" cm="1">
        <f t="array" ref="H429" ca="1">INDEX(Lookup!$B$2:$B$7,RANDBETWEEN(1,6))</f>
        <v>Belfast</v>
      </c>
      <c r="I429" s="22">
        <f t="shared" ca="1" si="85"/>
        <v>43308</v>
      </c>
      <c r="J429" s="22" t="str">
        <f t="shared" ca="1" si="86"/>
        <v/>
      </c>
      <c r="K429" s="16" t="str">
        <f t="shared" ca="1" si="87"/>
        <v>Active</v>
      </c>
      <c r="L429" s="26">
        <f ca="1">_xlfn.XLOOKUP(G429,Lookup!$P$2:$P$28,Lookup!$Q$2:$Q$28)*(1+MIN(X429*3%,30%))</f>
        <v>44520</v>
      </c>
      <c r="M429" s="24">
        <f t="shared" ca="1" si="97"/>
        <v>2</v>
      </c>
      <c r="N429" s="24">
        <f t="shared" ca="1" si="88"/>
        <v>21</v>
      </c>
      <c r="O429" s="24">
        <f t="shared" ca="1" si="89"/>
        <v>14</v>
      </c>
      <c r="P429" s="24">
        <f t="shared" ca="1" si="90"/>
        <v>6</v>
      </c>
      <c r="Q429" s="16" t="str">
        <f t="shared" ca="1" si="91"/>
        <v>Promoted</v>
      </c>
      <c r="R429" s="16" t="str" cm="1">
        <f t="array" ref="R429" ca="1">INDEX(Lookup!$E$2:$E$6,RANDBETWEEN(1,5))</f>
        <v>High School</v>
      </c>
      <c r="S429" s="16" t="str" cm="1">
        <f t="array" ref="S429" ca="1">INDEX(Lookup!$J$2:$J$11,RANDBETWEEN(1,10))</f>
        <v>James Taylor</v>
      </c>
      <c r="T429" s="16" t="str">
        <f t="shared" ca="1" si="92"/>
        <v>sophia.allen@hranalytics.com</v>
      </c>
      <c r="U429" s="16" t="str">
        <f t="shared" ca="1" si="93"/>
        <v>0856441118</v>
      </c>
      <c r="V429" s="16" t="str" cm="1">
        <f t="array" ref="V429" ca="1">_xlfn.LET(_xlpm.r,RANDBETWEEN(1,100),_xlfn.IFS(_xlpm.r&lt;=70,"Full-Time",_xlpm.r&lt;=85,"Part-Time",_xlpm.r&lt;=95,"Contract",TRUE,"Intern"))</f>
        <v>Part-Time</v>
      </c>
      <c r="W429" s="16" cm="1">
        <f t="array" ref="W429" ca="1">IF(K429&lt;&gt;"Active",0,_xlfn.IFS(M429=5,L429*15%,M429=4,L429*10%,M429=3,L429*5%,M429=2,L429*2%,TRUE,0))</f>
        <v>4452</v>
      </c>
      <c r="X429" s="24">
        <f t="shared" ca="1" si="94"/>
        <v>8</v>
      </c>
      <c r="Y429" s="24">
        <f t="shared" ca="1" si="95"/>
        <v>1</v>
      </c>
    </row>
    <row r="430" spans="1:25">
      <c r="A430" s="16" t="str">
        <f t="shared" si="96"/>
        <v>EMP429</v>
      </c>
      <c r="B430" s="16" t="str" cm="1">
        <f t="array" ref="B430" ca="1">IF(D430="Male",INDEX(Lookup!$L$2:$L$13,RANDBETWEEN(1,12)),IF(D430="Female",INDEX(Lookup!$M$2:$M$13,RANDBETWEEN(1,12)),INDEX(Lookup!$N$2:$N$13,RANDBETWEEN(1,12))))</f>
        <v>Noah</v>
      </c>
      <c r="C430" s="16" t="str" cm="1">
        <f t="array" ref="C430" ca="1">INDEX(Lookup!$K$2:$K$31,RANDBETWEEN(1,30))</f>
        <v>Cooper</v>
      </c>
      <c r="D430" s="16" t="str" cm="1">
        <f t="array" ref="D430" ca="1">INDEX(Lookup!$H$2:$H$4,RANDBETWEEN(1,3))</f>
        <v>Male</v>
      </c>
      <c r="E430" s="16">
        <f t="shared" ca="1" si="84"/>
        <v>60</v>
      </c>
      <c r="F430" s="16" t="str" cm="1">
        <f t="array" ref="F430" ca="1">INDEX(Lookup!$A$2:$A$10,RANDBETWEEN(1,9))</f>
        <v>Operations</v>
      </c>
      <c r="G430" s="16" t="str" cm="1">
        <f t="array" ref="G430" ca="1">_xlfn.LET(_xlpm.Roles,_xlfn._xlws.FILTER(Lookup!$P$2:$P$28,Lookup!$O$2:$O$28=F430),INDEX(_xlpm.Roles,RANDBETWEEN(1,ROWS(_xlpm.Roles))))</f>
        <v>Operations Executive</v>
      </c>
      <c r="H430" s="16" t="str" cm="1">
        <f t="array" ref="H430" ca="1">INDEX(Lookup!$B$2:$B$7,RANDBETWEEN(1,6))</f>
        <v>Waterford</v>
      </c>
      <c r="I430" s="22">
        <f t="shared" ca="1" si="85"/>
        <v>44791</v>
      </c>
      <c r="J430" s="22" t="str">
        <f t="shared" ca="1" si="86"/>
        <v/>
      </c>
      <c r="K430" s="16" t="str">
        <f t="shared" ca="1" si="87"/>
        <v>Active</v>
      </c>
      <c r="L430" s="26">
        <f ca="1">_xlfn.XLOOKUP(G430,Lookup!$P$2:$P$28,Lookup!$Q$2:$Q$28)*(1+MIN(X430*3%,30%))</f>
        <v>50820</v>
      </c>
      <c r="M430" s="24">
        <f t="shared" ca="1" si="97"/>
        <v>5</v>
      </c>
      <c r="N430" s="24">
        <f t="shared" ca="1" si="88"/>
        <v>37</v>
      </c>
      <c r="O430" s="24">
        <f t="shared" ca="1" si="89"/>
        <v>10</v>
      </c>
      <c r="P430" s="24">
        <f t="shared" ca="1" si="90"/>
        <v>48</v>
      </c>
      <c r="Q430" s="16" t="str">
        <f t="shared" ca="1" si="91"/>
        <v>Promoted</v>
      </c>
      <c r="R430" s="16" t="str" cm="1">
        <f t="array" ref="R430" ca="1">INDEX(Lookup!$E$2:$E$6,RANDBETWEEN(1,5))</f>
        <v>Dipolma</v>
      </c>
      <c r="S430" s="16" t="str" cm="1">
        <f t="array" ref="S430" ca="1">INDEX(Lookup!$J$2:$J$11,RANDBETWEEN(1,10))</f>
        <v>Sarah Johnson</v>
      </c>
      <c r="T430" s="16" t="str">
        <f t="shared" ca="1" si="92"/>
        <v>noah.cooper@hranalytics.com</v>
      </c>
      <c r="U430" s="16" t="str">
        <f t="shared" ca="1" si="93"/>
        <v>0865239422</v>
      </c>
      <c r="V430" s="16" t="str" cm="1">
        <f t="array" ref="V430" ca="1">_xlfn.LET(_xlpm.r,RANDBETWEEN(1,100),_xlfn.IFS(_xlpm.r&lt;=70,"Full-Time",_xlpm.r&lt;=85,"Part-Time",_xlpm.r&lt;=95,"Contract",TRUE,"Intern"))</f>
        <v>Intern</v>
      </c>
      <c r="W430" s="16" cm="1">
        <f t="array" ref="W430" ca="1">IF(K430&lt;&gt;"Active",0,_xlfn.IFS(M430=5,L430*15%,M430=4,L430*10%,M430=3,L430*5%,M430=2,L430*2%,TRUE,0))</f>
        <v>7623</v>
      </c>
      <c r="X430" s="24">
        <f t="shared" ca="1" si="94"/>
        <v>4</v>
      </c>
      <c r="Y430" s="24">
        <f t="shared" ca="1" si="95"/>
        <v>1</v>
      </c>
    </row>
    <row r="431" spans="1:25">
      <c r="A431" s="16" t="str">
        <f t="shared" si="96"/>
        <v>EMP430</v>
      </c>
      <c r="B431" s="16" t="str" cm="1">
        <f t="array" ref="B431" ca="1">IF(D431="Male",INDEX(Lookup!$L$2:$L$13,RANDBETWEEN(1,12)),IF(D431="Female",INDEX(Lookup!$M$2:$M$13,RANDBETWEEN(1,12)),INDEX(Lookup!$N$2:$N$13,RANDBETWEEN(1,12))))</f>
        <v>Grace</v>
      </c>
      <c r="C431" s="16" t="str" cm="1">
        <f t="array" ref="C431" ca="1">INDEX(Lookup!$K$2:$K$31,RANDBETWEEN(1,30))</f>
        <v>Taylor</v>
      </c>
      <c r="D431" s="16" t="str" cm="1">
        <f t="array" ref="D431" ca="1">INDEX(Lookup!$H$2:$H$4,RANDBETWEEN(1,3))</f>
        <v>Female</v>
      </c>
      <c r="E431" s="16">
        <f t="shared" ca="1" si="84"/>
        <v>41</v>
      </c>
      <c r="F431" s="16" t="str" cm="1">
        <f t="array" ref="F431" ca="1">INDEX(Lookup!$A$2:$A$10,RANDBETWEEN(1,9))</f>
        <v>HR</v>
      </c>
      <c r="G431" s="16" t="str" cm="1">
        <f t="array" ref="G431" ca="1">_xlfn.LET(_xlpm.Roles,_xlfn._xlws.FILTER(Lookup!$P$2:$P$28,Lookup!$O$2:$O$28=F431),INDEX(_xlpm.Roles,RANDBETWEEN(1,ROWS(_xlpm.Roles))))</f>
        <v>HR Manager</v>
      </c>
      <c r="H431" s="16" t="str" cm="1">
        <f t="array" ref="H431" ca="1">INDEX(Lookup!$B$2:$B$7,RANDBETWEEN(1,6))</f>
        <v>Belfast</v>
      </c>
      <c r="I431" s="22">
        <f t="shared" ca="1" si="85"/>
        <v>43233</v>
      </c>
      <c r="J431" s="22" t="str">
        <f t="shared" ca="1" si="86"/>
        <v/>
      </c>
      <c r="K431" s="16" t="str">
        <f t="shared" ca="1" si="87"/>
        <v>Active</v>
      </c>
      <c r="L431" s="26">
        <f ca="1">_xlfn.XLOOKUP(G431,Lookup!$P$2:$P$28,Lookup!$Q$2:$Q$28)*(1+MIN(X431*3%,30%))</f>
        <v>78650</v>
      </c>
      <c r="M431" s="24">
        <f t="shared" ca="1" si="97"/>
        <v>5</v>
      </c>
      <c r="N431" s="24">
        <f t="shared" ca="1" si="88"/>
        <v>14</v>
      </c>
      <c r="O431" s="24">
        <f t="shared" ca="1" si="89"/>
        <v>4</v>
      </c>
      <c r="P431" s="24">
        <f t="shared" ca="1" si="90"/>
        <v>41</v>
      </c>
      <c r="Q431" s="16" t="str">
        <f t="shared" ca="1" si="91"/>
        <v>Promoted</v>
      </c>
      <c r="R431" s="16" t="str" cm="1">
        <f t="array" ref="R431" ca="1">INDEX(Lookup!$E$2:$E$6,RANDBETWEEN(1,5))</f>
        <v>Bachelor's</v>
      </c>
      <c r="S431" s="16" t="str" cm="1">
        <f t="array" ref="S431" ca="1">INDEX(Lookup!$J$2:$J$11,RANDBETWEEN(1,10))</f>
        <v>Sophia Martin</v>
      </c>
      <c r="T431" s="16" t="str">
        <f t="shared" ca="1" si="92"/>
        <v>grace.taylor@hranalytics.com</v>
      </c>
      <c r="U431" s="16" t="str">
        <f t="shared" ca="1" si="93"/>
        <v>0857904176</v>
      </c>
      <c r="V431" s="16" t="str" cm="1">
        <f t="array" ref="V431" ca="1">_xlfn.LET(_xlpm.r,RANDBETWEEN(1,100),_xlfn.IFS(_xlpm.r&lt;=70,"Full-Time",_xlpm.r&lt;=85,"Part-Time",_xlpm.r&lt;=95,"Contract",TRUE,"Intern"))</f>
        <v>Full-Time</v>
      </c>
      <c r="W431" s="16" cm="1">
        <f t="array" ref="W431" ca="1">IF(K431&lt;&gt;"Active",0,_xlfn.IFS(M431=5,L431*15%,M431=4,L431*10%,M431=3,L431*5%,M431=2,L431*2%,TRUE,0))</f>
        <v>0</v>
      </c>
      <c r="X431" s="24">
        <f t="shared" ca="1" si="94"/>
        <v>8</v>
      </c>
      <c r="Y431" s="24">
        <f t="shared" ca="1" si="95"/>
        <v>2</v>
      </c>
    </row>
    <row r="432" spans="1:25">
      <c r="A432" s="16" t="str">
        <f t="shared" si="96"/>
        <v>EMP431</v>
      </c>
      <c r="B432" s="16" t="str" cm="1">
        <f t="array" ref="B432" ca="1">IF(D432="Male",INDEX(Lookup!$L$2:$L$13,RANDBETWEEN(1,12)),IF(D432="Female",INDEX(Lookup!$M$2:$M$13,RANDBETWEEN(1,12)),INDEX(Lookup!$N$2:$N$13,RANDBETWEEN(1,12))))</f>
        <v>Hannah</v>
      </c>
      <c r="C432" s="16" t="str" cm="1">
        <f t="array" ref="C432" ca="1">INDEX(Lookup!$K$2:$K$31,RANDBETWEEN(1,30))</f>
        <v>Young</v>
      </c>
      <c r="D432" s="16" t="str" cm="1">
        <f t="array" ref="D432" ca="1">INDEX(Lookup!$H$2:$H$4,RANDBETWEEN(1,3))</f>
        <v>Female</v>
      </c>
      <c r="E432" s="16">
        <f t="shared" ca="1" si="84"/>
        <v>59</v>
      </c>
      <c r="F432" s="16" t="str" cm="1">
        <f t="array" ref="F432" ca="1">INDEX(Lookup!$A$2:$A$10,RANDBETWEEN(1,9))</f>
        <v>Customer Support</v>
      </c>
      <c r="G432" s="16" t="str" cm="1">
        <f t="array" ref="G432" ca="1">_xlfn.LET(_xlpm.Roles,_xlfn._xlws.FILTER(Lookup!$P$2:$P$28,Lookup!$O$2:$O$28=F432),INDEX(_xlpm.Roles,RANDBETWEEN(1,ROWS(_xlpm.Roles))))</f>
        <v>Customer Support Representative</v>
      </c>
      <c r="H432" s="16" t="str" cm="1">
        <f t="array" ref="H432" ca="1">INDEX(Lookup!$B$2:$B$7,RANDBETWEEN(1,6))</f>
        <v>Dublin</v>
      </c>
      <c r="I432" s="22">
        <f t="shared" ca="1" si="85"/>
        <v>45798</v>
      </c>
      <c r="J432" s="22">
        <f t="shared" ca="1" si="86"/>
        <v>46845</v>
      </c>
      <c r="K432" s="16" t="str">
        <f t="shared" ca="1" si="87"/>
        <v>Resigned</v>
      </c>
      <c r="L432" s="26">
        <f ca="1">_xlfn.XLOOKUP(G432,Lookup!$P$2:$P$28,Lookup!$Q$2:$Q$28)*(1+MIN(X432*3%,30%))</f>
        <v>42480</v>
      </c>
      <c r="M432" s="24">
        <f t="shared" ca="1" si="97"/>
        <v>1</v>
      </c>
      <c r="N432" s="24">
        <f t="shared" ca="1" si="88"/>
        <v>51</v>
      </c>
      <c r="O432" s="24">
        <f t="shared" ca="1" si="89"/>
        <v>3</v>
      </c>
      <c r="P432" s="24">
        <f t="shared" ca="1" si="90"/>
        <v>2</v>
      </c>
      <c r="Q432" s="16" t="str">
        <f t="shared" ca="1" si="91"/>
        <v>Promoted</v>
      </c>
      <c r="R432" s="16" t="str" cm="1">
        <f t="array" ref="R432" ca="1">INDEX(Lookup!$E$2:$E$6,RANDBETWEEN(1,5))</f>
        <v>PhD</v>
      </c>
      <c r="S432" s="16" t="str" cm="1">
        <f t="array" ref="S432" ca="1">INDEX(Lookup!$J$2:$J$11,RANDBETWEEN(1,10))</f>
        <v>Michael Brown</v>
      </c>
      <c r="T432" s="16" t="str">
        <f t="shared" ca="1" si="92"/>
        <v>hannah.young@hranalytics.com</v>
      </c>
      <c r="U432" s="16" t="str">
        <f t="shared" ca="1" si="93"/>
        <v>0889000992</v>
      </c>
      <c r="V432" s="16" t="str" cm="1">
        <f t="array" ref="V432" ca="1">_xlfn.LET(_xlpm.r,RANDBETWEEN(1,100),_xlfn.IFS(_xlpm.r&lt;=70,"Full-Time",_xlpm.r&lt;=85,"Part-Time",_xlpm.r&lt;=95,"Contract",TRUE,"Intern"))</f>
        <v>Part-Time</v>
      </c>
      <c r="W432" s="16" cm="1">
        <f t="array" ref="W432" ca="1">IF(K432&lt;&gt;"Active",0,_xlfn.IFS(M432=5,L432*15%,M432=4,L432*10%,M432=3,L432*5%,M432=2,L432*2%,TRUE,0))</f>
        <v>849.6</v>
      </c>
      <c r="X432" s="24">
        <f t="shared" ca="1" si="94"/>
        <v>1</v>
      </c>
      <c r="Y432" s="24">
        <f t="shared" ca="1" si="95"/>
        <v>2</v>
      </c>
    </row>
    <row r="433" spans="1:25">
      <c r="A433" s="16" t="str">
        <f t="shared" si="96"/>
        <v>EMP432</v>
      </c>
      <c r="B433" s="16" t="str" cm="1">
        <f t="array" ref="B433" ca="1">IF(D433="Male",INDEX(Lookup!$L$2:$L$13,RANDBETWEEN(1,12)),IF(D433="Female",INDEX(Lookup!$M$2:$M$13,RANDBETWEEN(1,12)),INDEX(Lookup!$N$2:$N$13,RANDBETWEEN(1,12))))</f>
        <v>Taylor</v>
      </c>
      <c r="C433" s="16" t="str" cm="1">
        <f t="array" ref="C433" ca="1">INDEX(Lookup!$K$2:$K$31,RANDBETWEEN(1,30))</f>
        <v>Hill</v>
      </c>
      <c r="D433" s="16" t="str" cm="1">
        <f t="array" ref="D433" ca="1">INDEX(Lookup!$H$2:$H$4,RANDBETWEEN(1,3))</f>
        <v>Other</v>
      </c>
      <c r="E433" s="16">
        <f t="shared" ca="1" si="84"/>
        <v>52</v>
      </c>
      <c r="F433" s="16" t="str" cm="1">
        <f t="array" ref="F433" ca="1">INDEX(Lookup!$A$2:$A$10,RANDBETWEEN(1,9))</f>
        <v>Sales</v>
      </c>
      <c r="G433" s="16" t="str" cm="1">
        <f t="array" ref="G433" ca="1">_xlfn.LET(_xlpm.Roles,_xlfn._xlws.FILTER(Lookup!$P$2:$P$28,Lookup!$O$2:$O$28=F433),INDEX(_xlpm.Roles,RANDBETWEEN(1,ROWS(_xlpm.Roles))))</f>
        <v>Business Development Executive</v>
      </c>
      <c r="H433" s="16" t="str" cm="1">
        <f t="array" ref="H433" ca="1">INDEX(Lookup!$B$2:$B$7,RANDBETWEEN(1,6))</f>
        <v>Dublin</v>
      </c>
      <c r="I433" s="22">
        <f t="shared" ca="1" si="85"/>
        <v>45040</v>
      </c>
      <c r="J433" s="22" t="str">
        <f t="shared" ca="1" si="86"/>
        <v/>
      </c>
      <c r="K433" s="16" t="str">
        <f t="shared" ca="1" si="87"/>
        <v>Active</v>
      </c>
      <c r="L433" s="26">
        <f ca="1">_xlfn.XLOOKUP(G433,Lookup!$P$2:$P$28,Lookup!$Q$2:$Q$28)*(1+MIN(X433*3%,30%))</f>
        <v>50880</v>
      </c>
      <c r="M433" s="24">
        <f t="shared" ca="1" si="97"/>
        <v>4</v>
      </c>
      <c r="N433" s="24">
        <f t="shared" ca="1" si="88"/>
        <v>60</v>
      </c>
      <c r="O433" s="24">
        <f t="shared" ca="1" si="89"/>
        <v>10</v>
      </c>
      <c r="P433" s="24">
        <f t="shared" ca="1" si="90"/>
        <v>14</v>
      </c>
      <c r="Q433" s="16" t="str">
        <f t="shared" ca="1" si="91"/>
        <v>Promoted</v>
      </c>
      <c r="R433" s="16" t="str" cm="1">
        <f t="array" ref="R433" ca="1">INDEX(Lookup!$E$2:$E$6,RANDBETWEEN(1,5))</f>
        <v>High School</v>
      </c>
      <c r="S433" s="16" t="str" cm="1">
        <f t="array" ref="S433" ca="1">INDEX(Lookup!$J$2:$J$11,RANDBETWEEN(1,10))</f>
        <v>James Taylor</v>
      </c>
      <c r="T433" s="16" t="str">
        <f t="shared" ca="1" si="92"/>
        <v>taylor.hill@hranalytics.com</v>
      </c>
      <c r="U433" s="16" t="str">
        <f t="shared" ca="1" si="93"/>
        <v>0864252022</v>
      </c>
      <c r="V433" s="16" t="str" cm="1">
        <f t="array" ref="V433" ca="1">_xlfn.LET(_xlpm.r,RANDBETWEEN(1,100),_xlfn.IFS(_xlpm.r&lt;=70,"Full-Time",_xlpm.r&lt;=85,"Part-Time",_xlpm.r&lt;=95,"Contract",TRUE,"Intern"))</f>
        <v>Full-Time</v>
      </c>
      <c r="W433" s="16" cm="1">
        <f t="array" ref="W433" ca="1">IF(K433&lt;&gt;"Active",0,_xlfn.IFS(M433=5,L433*15%,M433=4,L433*10%,M433=3,L433*5%,M433=2,L433*2%,TRUE,0))</f>
        <v>0</v>
      </c>
      <c r="X433" s="24">
        <f t="shared" ca="1" si="94"/>
        <v>3</v>
      </c>
      <c r="Y433" s="24">
        <f t="shared" ca="1" si="95"/>
        <v>1</v>
      </c>
    </row>
    <row r="434" spans="1:25">
      <c r="A434" s="16" t="str">
        <f t="shared" si="96"/>
        <v>EMP433</v>
      </c>
      <c r="B434" s="16" t="str" cm="1">
        <f t="array" ref="B434" ca="1">IF(D434="Male",INDEX(Lookup!$L$2:$L$13,RANDBETWEEN(1,12)),IF(D434="Female",INDEX(Lookup!$M$2:$M$13,RANDBETWEEN(1,12)),INDEX(Lookup!$N$2:$N$13,RANDBETWEEN(1,12))))</f>
        <v>David</v>
      </c>
      <c r="C434" s="16" t="str" cm="1">
        <f t="array" ref="C434" ca="1">INDEX(Lookup!$K$2:$K$31,RANDBETWEEN(1,30))</f>
        <v>Baker</v>
      </c>
      <c r="D434" s="16" t="str" cm="1">
        <f t="array" ref="D434" ca="1">INDEX(Lookup!$H$2:$H$4,RANDBETWEEN(1,3))</f>
        <v>Male</v>
      </c>
      <c r="E434" s="16">
        <f t="shared" ca="1" si="84"/>
        <v>41</v>
      </c>
      <c r="F434" s="16" t="str" cm="1">
        <f t="array" ref="F434" ca="1">INDEX(Lookup!$A$2:$A$10,RANDBETWEEN(1,9))</f>
        <v>Sales</v>
      </c>
      <c r="G434" s="16" t="str" cm="1">
        <f t="array" ref="G434" ca="1">_xlfn.LET(_xlpm.Roles,_xlfn._xlws.FILTER(Lookup!$P$2:$P$28,Lookup!$O$2:$O$28=F434),INDEX(_xlpm.Roles,RANDBETWEEN(1,ROWS(_xlpm.Roles))))</f>
        <v>Sales Executive</v>
      </c>
      <c r="H434" s="16" t="str" cm="1">
        <f t="array" ref="H434" ca="1">INDEX(Lookup!$B$2:$B$7,RANDBETWEEN(1,6))</f>
        <v>Galway</v>
      </c>
      <c r="I434" s="22">
        <f t="shared" ca="1" si="85"/>
        <v>43908</v>
      </c>
      <c r="J434" s="22">
        <f t="shared" ca="1" si="86"/>
        <v>44723</v>
      </c>
      <c r="K434" s="16" t="str">
        <f t="shared" ca="1" si="87"/>
        <v>Resigned</v>
      </c>
      <c r="L434" s="26">
        <f ca="1">_xlfn.XLOOKUP(G434,Lookup!$P$2:$P$28,Lookup!$Q$2:$Q$28)*(1+MIN(X434*3%,30%))</f>
        <v>46000</v>
      </c>
      <c r="M434" s="24">
        <f t="shared" ca="1" si="97"/>
        <v>1</v>
      </c>
      <c r="N434" s="24">
        <f t="shared" ca="1" si="88"/>
        <v>60</v>
      </c>
      <c r="O434" s="24">
        <f t="shared" ca="1" si="89"/>
        <v>11</v>
      </c>
      <c r="P434" s="24">
        <f t="shared" ca="1" si="90"/>
        <v>50</v>
      </c>
      <c r="Q434" s="16" t="str">
        <f t="shared" ca="1" si="91"/>
        <v>Promoted</v>
      </c>
      <c r="R434" s="16" t="str" cm="1">
        <f t="array" ref="R434" ca="1">INDEX(Lookup!$E$2:$E$6,RANDBETWEEN(1,5))</f>
        <v>PhD</v>
      </c>
      <c r="S434" s="16" t="str" cm="1">
        <f t="array" ref="S434" ca="1">INDEX(Lookup!$J$2:$J$11,RANDBETWEEN(1,10))</f>
        <v>Daniel Kelly</v>
      </c>
      <c r="T434" s="16" t="str">
        <f t="shared" ca="1" si="92"/>
        <v>david.baker@hranalytics.com</v>
      </c>
      <c r="U434" s="16" t="str">
        <f t="shared" ca="1" si="93"/>
        <v>0871395628</v>
      </c>
      <c r="V434" s="16" t="str" cm="1">
        <f t="array" ref="V434" ca="1">_xlfn.LET(_xlpm.r,RANDBETWEEN(1,100),_xlfn.IFS(_xlpm.r&lt;=70,"Full-Time",_xlpm.r&lt;=85,"Part-Time",_xlpm.r&lt;=95,"Contract",TRUE,"Intern"))</f>
        <v>Contract</v>
      </c>
      <c r="W434" s="16" cm="1">
        <f t="array" ref="W434" ca="1">IF(K434&lt;&gt;"Active",0,_xlfn.IFS(M434=5,L434*15%,M434=4,L434*10%,M434=3,L434*5%,M434=2,L434*2%,TRUE,0))</f>
        <v>920</v>
      </c>
      <c r="X434" s="24">
        <f t="shared" ca="1" si="94"/>
        <v>6</v>
      </c>
      <c r="Y434" s="24">
        <f t="shared" ca="1" si="95"/>
        <v>2</v>
      </c>
    </row>
    <row r="435" spans="1:25">
      <c r="A435" s="16" t="str">
        <f t="shared" si="96"/>
        <v>EMP434</v>
      </c>
      <c r="B435" s="16" t="str" cm="1">
        <f t="array" ref="B435" ca="1">IF(D435="Male",INDEX(Lookup!$L$2:$L$13,RANDBETWEEN(1,12)),IF(D435="Female",INDEX(Lookup!$M$2:$M$13,RANDBETWEEN(1,12)),INDEX(Lookup!$N$2:$N$13,RANDBETWEEN(1,12))))</f>
        <v>Ella</v>
      </c>
      <c r="C435" s="16" t="str" cm="1">
        <f t="array" ref="C435" ca="1">INDEX(Lookup!$K$2:$K$31,RANDBETWEEN(1,30))</f>
        <v>Taylor</v>
      </c>
      <c r="D435" s="16" t="str" cm="1">
        <f t="array" ref="D435" ca="1">INDEX(Lookup!$H$2:$H$4,RANDBETWEEN(1,3))</f>
        <v>Female</v>
      </c>
      <c r="E435" s="16">
        <f t="shared" ca="1" si="84"/>
        <v>39</v>
      </c>
      <c r="F435" s="16" t="str" cm="1">
        <f t="array" ref="F435" ca="1">INDEX(Lookup!$A$2:$A$10,RANDBETWEEN(1,9))</f>
        <v>Marketing</v>
      </c>
      <c r="G435" s="16" t="str" cm="1">
        <f t="array" ref="G435" ca="1">_xlfn.LET(_xlpm.Roles,_xlfn._xlws.FILTER(Lookup!$P$2:$P$28,Lookup!$O$2:$O$28=F435),INDEX(_xlpm.Roles,RANDBETWEEN(1,ROWS(_xlpm.Roles))))</f>
        <v>Marketing Executive</v>
      </c>
      <c r="H435" s="16" t="str" cm="1">
        <f t="array" ref="H435" ca="1">INDEX(Lookup!$B$2:$B$7,RANDBETWEEN(1,6))</f>
        <v>Limerick</v>
      </c>
      <c r="I435" s="22">
        <f t="shared" ca="1" si="85"/>
        <v>44382</v>
      </c>
      <c r="J435" s="22">
        <f t="shared" ca="1" si="86"/>
        <v>46152</v>
      </c>
      <c r="K435" s="16" t="str">
        <f t="shared" ca="1" si="87"/>
        <v>Resigned</v>
      </c>
      <c r="L435" s="26">
        <f ca="1">_xlfn.XLOOKUP(G435,Lookup!$P$2:$P$28,Lookup!$Q$2:$Q$28)*(1+MIN(X435*3%,30%))</f>
        <v>48300</v>
      </c>
      <c r="M435" s="24">
        <f t="shared" ca="1" si="97"/>
        <v>5</v>
      </c>
      <c r="N435" s="24">
        <f t="shared" ca="1" si="88"/>
        <v>76</v>
      </c>
      <c r="O435" s="24">
        <f t="shared" ca="1" si="89"/>
        <v>14</v>
      </c>
      <c r="P435" s="24">
        <f t="shared" ca="1" si="90"/>
        <v>36</v>
      </c>
      <c r="Q435" s="16" t="str">
        <f t="shared" ca="1" si="91"/>
        <v>Promoted</v>
      </c>
      <c r="R435" s="16" t="str" cm="1">
        <f t="array" ref="R435" ca="1">INDEX(Lookup!$E$2:$E$6,RANDBETWEEN(1,5))</f>
        <v>Bachelor's</v>
      </c>
      <c r="S435" s="16" t="str" cm="1">
        <f t="array" ref="S435" ca="1">INDEX(Lookup!$J$2:$J$11,RANDBETWEEN(1,10))</f>
        <v>Olivia Smith</v>
      </c>
      <c r="T435" s="16" t="str">
        <f t="shared" ca="1" si="92"/>
        <v>ella.taylor@hranalytics.com</v>
      </c>
      <c r="U435" s="16" t="str">
        <f t="shared" ca="1" si="93"/>
        <v>0889169450</v>
      </c>
      <c r="V435" s="16" t="str" cm="1">
        <f t="array" ref="V435" ca="1">_xlfn.LET(_xlpm.r,RANDBETWEEN(1,100),_xlfn.IFS(_xlpm.r&lt;=70,"Full-Time",_xlpm.r&lt;=85,"Part-Time",_xlpm.r&lt;=95,"Contract",TRUE,"Intern"))</f>
        <v>Full-Time</v>
      </c>
      <c r="W435" s="16" cm="1">
        <f t="array" ref="W435" ca="1">IF(K435&lt;&gt;"Active",0,_xlfn.IFS(M435=5,L435*15%,M435=4,L435*10%,M435=3,L435*5%,M435=2,L435*2%,TRUE,0))</f>
        <v>7245</v>
      </c>
      <c r="X435" s="24">
        <f t="shared" ca="1" si="94"/>
        <v>5</v>
      </c>
      <c r="Y435" s="24">
        <f t="shared" ca="1" si="95"/>
        <v>3</v>
      </c>
    </row>
    <row r="436" spans="1:25">
      <c r="A436" s="16" t="str">
        <f t="shared" si="96"/>
        <v>EMP435</v>
      </c>
      <c r="B436" s="16" t="str" cm="1">
        <f t="array" ref="B436" ca="1">IF(D436="Male",INDEX(Lookup!$L$2:$L$13,RANDBETWEEN(1,12)),IF(D436="Female",INDEX(Lookup!$M$2:$M$13,RANDBETWEEN(1,12)),INDEX(Lookup!$N$2:$N$13,RANDBETWEEN(1,12))))</f>
        <v>Amelia</v>
      </c>
      <c r="C436" s="16" t="str" cm="1">
        <f t="array" ref="C436" ca="1">INDEX(Lookup!$K$2:$K$31,RANDBETWEEN(1,30))</f>
        <v>Thomas</v>
      </c>
      <c r="D436" s="16" t="str" cm="1">
        <f t="array" ref="D436" ca="1">INDEX(Lookup!$H$2:$H$4,RANDBETWEEN(1,3))</f>
        <v>Female</v>
      </c>
      <c r="E436" s="16">
        <f t="shared" ca="1" si="84"/>
        <v>48</v>
      </c>
      <c r="F436" s="16" t="str" cm="1">
        <f t="array" ref="F436" ca="1">INDEX(Lookup!$A$2:$A$10,RANDBETWEEN(1,9))</f>
        <v>Marketing</v>
      </c>
      <c r="G436" s="16" t="str" cm="1">
        <f t="array" ref="G436" ca="1">_xlfn.LET(_xlpm.Roles,_xlfn._xlws.FILTER(Lookup!$P$2:$P$28,Lookup!$O$2:$O$28=F436),INDEX(_xlpm.Roles,RANDBETWEEN(1,ROWS(_xlpm.Roles))))</f>
        <v>Brand Executive</v>
      </c>
      <c r="H436" s="16" t="str" cm="1">
        <f t="array" ref="H436" ca="1">INDEX(Lookup!$B$2:$B$7,RANDBETWEEN(1,6))</f>
        <v>Galway</v>
      </c>
      <c r="I436" s="22">
        <f t="shared" ca="1" si="85"/>
        <v>45970</v>
      </c>
      <c r="J436" s="22" t="str">
        <f t="shared" ca="1" si="86"/>
        <v/>
      </c>
      <c r="K436" s="16" t="str">
        <f t="shared" ca="1" si="87"/>
        <v>Active</v>
      </c>
      <c r="L436" s="26">
        <f ca="1">_xlfn.XLOOKUP(G436,Lookup!$P$2:$P$28,Lookup!$Q$2:$Q$28)*(1+MIN(X436*3%,30%))</f>
        <v>51520</v>
      </c>
      <c r="M436" s="24">
        <f t="shared" ca="1" si="97"/>
        <v>3</v>
      </c>
      <c r="N436" s="24">
        <f t="shared" ca="1" si="88"/>
        <v>68</v>
      </c>
      <c r="O436" s="24">
        <f t="shared" ca="1" si="89"/>
        <v>10</v>
      </c>
      <c r="P436" s="24">
        <f t="shared" ca="1" si="90"/>
        <v>48</v>
      </c>
      <c r="Q436" s="16" t="str">
        <f t="shared" ca="1" si="91"/>
        <v>Not Promoted</v>
      </c>
      <c r="R436" s="16" t="str" cm="1">
        <f t="array" ref="R436" ca="1">INDEX(Lookup!$E$2:$E$6,RANDBETWEEN(1,5))</f>
        <v>Bachelor's</v>
      </c>
      <c r="S436" s="16" t="str" cm="1">
        <f t="array" ref="S436" ca="1">INDEX(Lookup!$J$2:$J$11,RANDBETWEEN(1,10))</f>
        <v>Michael Brown</v>
      </c>
      <c r="T436" s="16" t="str">
        <f t="shared" ca="1" si="92"/>
        <v>amelia.thomas@hranalytics.com</v>
      </c>
      <c r="U436" s="16" t="str">
        <f t="shared" ca="1" si="93"/>
        <v>0867992510</v>
      </c>
      <c r="V436" s="16" t="str" cm="1">
        <f t="array" ref="V436" ca="1">_xlfn.LET(_xlpm.r,RANDBETWEEN(1,100),_xlfn.IFS(_xlpm.r&lt;=70,"Full-Time",_xlpm.r&lt;=85,"Part-Time",_xlpm.r&lt;=95,"Contract",TRUE,"Intern"))</f>
        <v>Part-Time</v>
      </c>
      <c r="W436" s="16" cm="1">
        <f t="array" ref="W436" ca="1">IF(K436&lt;&gt;"Active",0,_xlfn.IFS(M436=5,L436*15%,M436=4,L436*10%,M436=3,L436*5%,M436=2,L436*2%,TRUE,0))</f>
        <v>0</v>
      </c>
      <c r="X436" s="24">
        <f t="shared" ca="1" si="94"/>
        <v>0</v>
      </c>
      <c r="Y436" s="24">
        <f t="shared" ca="1" si="95"/>
        <v>2</v>
      </c>
    </row>
    <row r="437" spans="1:25">
      <c r="A437" s="16" t="str">
        <f t="shared" si="96"/>
        <v>EMP436</v>
      </c>
      <c r="B437" s="16" t="str" cm="1">
        <f t="array" ref="B437" ca="1">IF(D437="Male",INDEX(Lookup!$L$2:$L$13,RANDBETWEEN(1,12)),IF(D437="Female",INDEX(Lookup!$M$2:$M$13,RANDBETWEEN(1,12)),INDEX(Lookup!$N$2:$N$13,RANDBETWEEN(1,12))))</f>
        <v>Cameron</v>
      </c>
      <c r="C437" s="16" t="str" cm="1">
        <f t="array" ref="C437" ca="1">INDEX(Lookup!$K$2:$K$31,RANDBETWEEN(1,30))</f>
        <v>Hall</v>
      </c>
      <c r="D437" s="16" t="str" cm="1">
        <f t="array" ref="D437" ca="1">INDEX(Lookup!$H$2:$H$4,RANDBETWEEN(1,3))</f>
        <v>Other</v>
      </c>
      <c r="E437" s="16">
        <f t="shared" ca="1" si="84"/>
        <v>33</v>
      </c>
      <c r="F437" s="16" t="str" cm="1">
        <f t="array" ref="F437" ca="1">INDEX(Lookup!$A$2:$A$10,RANDBETWEEN(1,9))</f>
        <v>Operations</v>
      </c>
      <c r="G437" s="16" t="str" cm="1">
        <f t="array" ref="G437" ca="1">_xlfn.LET(_xlpm.Roles,_xlfn._xlws.FILTER(Lookup!$P$2:$P$28,Lookup!$O$2:$O$28=F437),INDEX(_xlpm.Roles,RANDBETWEEN(1,ROWS(_xlpm.Roles))))</f>
        <v>Operations Manager</v>
      </c>
      <c r="H437" s="16" t="str" cm="1">
        <f t="array" ref="H437" ca="1">INDEX(Lookup!$B$2:$B$7,RANDBETWEEN(1,6))</f>
        <v>Dublin</v>
      </c>
      <c r="I437" s="22">
        <f t="shared" ca="1" si="85"/>
        <v>45462</v>
      </c>
      <c r="J437" s="22" t="str">
        <f t="shared" ca="1" si="86"/>
        <v/>
      </c>
      <c r="K437" s="16" t="str">
        <f t="shared" ca="1" si="87"/>
        <v>Active</v>
      </c>
      <c r="L437" s="26">
        <f ca="1">_xlfn.XLOOKUP(G437,Lookup!$P$2:$P$28,Lookup!$Q$2:$Q$28)*(1+MIN(X437*3%,30%))</f>
        <v>75020</v>
      </c>
      <c r="M437" s="24">
        <f t="shared" ca="1" si="97"/>
        <v>3</v>
      </c>
      <c r="N437" s="24">
        <f t="shared" ca="1" si="88"/>
        <v>56</v>
      </c>
      <c r="O437" s="24">
        <f t="shared" ca="1" si="89"/>
        <v>14</v>
      </c>
      <c r="P437" s="24">
        <f t="shared" ca="1" si="90"/>
        <v>43</v>
      </c>
      <c r="Q437" s="16" t="str">
        <f t="shared" ca="1" si="91"/>
        <v>Promoted</v>
      </c>
      <c r="R437" s="16" t="str" cm="1">
        <f t="array" ref="R437" ca="1">INDEX(Lookup!$E$2:$E$6,RANDBETWEEN(1,5))</f>
        <v>PhD</v>
      </c>
      <c r="S437" s="16" t="str" cm="1">
        <f t="array" ref="S437" ca="1">INDEX(Lookup!$J$2:$J$11,RANDBETWEEN(1,10))</f>
        <v>David Murphy</v>
      </c>
      <c r="T437" s="16" t="str">
        <f t="shared" ca="1" si="92"/>
        <v>cameron.hall@hranalytics.com</v>
      </c>
      <c r="U437" s="16" t="str">
        <f t="shared" ca="1" si="93"/>
        <v>0899177750</v>
      </c>
      <c r="V437" s="16" t="str" cm="1">
        <f t="array" ref="V437" ca="1">_xlfn.LET(_xlpm.r,RANDBETWEEN(1,100),_xlfn.IFS(_xlpm.r&lt;=70,"Full-Time",_xlpm.r&lt;=85,"Part-Time",_xlpm.r&lt;=95,"Contract",TRUE,"Intern"))</f>
        <v>Intern</v>
      </c>
      <c r="W437" s="16" cm="1">
        <f t="array" ref="W437" ca="1">IF(K437&lt;&gt;"Active",0,_xlfn.IFS(M437=5,L437*15%,M437=4,L437*10%,M437=3,L437*5%,M437=2,L437*2%,TRUE,0))</f>
        <v>1500.4</v>
      </c>
      <c r="X437" s="24">
        <f t="shared" ca="1" si="94"/>
        <v>2</v>
      </c>
      <c r="Y437" s="24">
        <f t="shared" ca="1" si="95"/>
        <v>3</v>
      </c>
    </row>
    <row r="438" spans="1:25">
      <c r="A438" s="16" t="str">
        <f t="shared" si="96"/>
        <v>EMP437</v>
      </c>
      <c r="B438" s="16" t="str" cm="1">
        <f t="array" ref="B438" ca="1">IF(D438="Male",INDEX(Lookup!$L$2:$L$13,RANDBETWEEN(1,12)),IF(D438="Female",INDEX(Lookup!$M$2:$M$13,RANDBETWEEN(1,12)),INDEX(Lookup!$N$2:$N$13,RANDBETWEEN(1,12))))</f>
        <v>Avery</v>
      </c>
      <c r="C438" s="16" t="str" cm="1">
        <f t="array" ref="C438" ca="1">INDEX(Lookup!$K$2:$K$31,RANDBETWEEN(1,30))</f>
        <v>Evans</v>
      </c>
      <c r="D438" s="16" t="str" cm="1">
        <f t="array" ref="D438" ca="1">INDEX(Lookup!$H$2:$H$4,RANDBETWEEN(1,3))</f>
        <v>Other</v>
      </c>
      <c r="E438" s="16">
        <f t="shared" ca="1" si="84"/>
        <v>35</v>
      </c>
      <c r="F438" s="16" t="str" cm="1">
        <f t="array" ref="F438" ca="1">INDEX(Lookup!$A$2:$A$10,RANDBETWEEN(1,9))</f>
        <v>Finance</v>
      </c>
      <c r="G438" s="16" t="str" cm="1">
        <f t="array" ref="G438" ca="1">_xlfn.LET(_xlpm.Roles,_xlfn._xlws.FILTER(Lookup!$P$2:$P$28,Lookup!$O$2:$O$28=F438),INDEX(_xlpm.Roles,RANDBETWEEN(1,ROWS(_xlpm.Roles))))</f>
        <v>Accountant</v>
      </c>
      <c r="H438" s="16" t="str" cm="1">
        <f t="array" ref="H438" ca="1">INDEX(Lookup!$B$2:$B$7,RANDBETWEEN(1,6))</f>
        <v>Limerick</v>
      </c>
      <c r="I438" s="22">
        <f t="shared" ca="1" si="85"/>
        <v>45103</v>
      </c>
      <c r="J438" s="22" t="str">
        <f t="shared" ca="1" si="86"/>
        <v/>
      </c>
      <c r="K438" s="16" t="str">
        <f t="shared" ca="1" si="87"/>
        <v>Active</v>
      </c>
      <c r="L438" s="26">
        <f ca="1">_xlfn.XLOOKUP(G438,Lookup!$P$2:$P$28,Lookup!$Q$2:$Q$28)*(1+MIN(X438*3%,30%))</f>
        <v>53000</v>
      </c>
      <c r="M438" s="24">
        <f t="shared" ca="1" si="97"/>
        <v>4</v>
      </c>
      <c r="N438" s="24">
        <f t="shared" ca="1" si="88"/>
        <v>19</v>
      </c>
      <c r="O438" s="24">
        <f t="shared" ca="1" si="89"/>
        <v>13</v>
      </c>
      <c r="P438" s="24">
        <f t="shared" ca="1" si="90"/>
        <v>7</v>
      </c>
      <c r="Q438" s="16" t="str">
        <f t="shared" ca="1" si="91"/>
        <v>Promoted</v>
      </c>
      <c r="R438" s="16" t="str" cm="1">
        <f t="array" ref="R438" ca="1">INDEX(Lookup!$E$2:$E$6,RANDBETWEEN(1,5))</f>
        <v>PhD</v>
      </c>
      <c r="S438" s="16" t="str" cm="1">
        <f t="array" ref="S438" ca="1">INDEX(Lookup!$J$2:$J$11,RANDBETWEEN(1,10))</f>
        <v>Grace O'Connor</v>
      </c>
      <c r="T438" s="16" t="str">
        <f t="shared" ca="1" si="92"/>
        <v>avery.evans@hranalytics.com</v>
      </c>
      <c r="U438" s="16" t="str">
        <f t="shared" ca="1" si="93"/>
        <v>0848420722</v>
      </c>
      <c r="V438" s="16" t="str" cm="1">
        <f t="array" ref="V438" ca="1">_xlfn.LET(_xlpm.r,RANDBETWEEN(1,100),_xlfn.IFS(_xlpm.r&lt;=70,"Full-Time",_xlpm.r&lt;=85,"Part-Time",_xlpm.r&lt;=95,"Contract",TRUE,"Intern"))</f>
        <v>Full-Time</v>
      </c>
      <c r="W438" s="16" cm="1">
        <f t="array" ref="W438" ca="1">IF(K438&lt;&gt;"Active",0,_xlfn.IFS(M438=5,L438*15%,M438=4,L438*10%,M438=3,L438*5%,M438=2,L438*2%,TRUE,0))</f>
        <v>5300</v>
      </c>
      <c r="X438" s="24">
        <f t="shared" ca="1" si="94"/>
        <v>3</v>
      </c>
      <c r="Y438" s="24">
        <f t="shared" ca="1" si="95"/>
        <v>2</v>
      </c>
    </row>
    <row r="439" spans="1:25">
      <c r="A439" s="16" t="str">
        <f t="shared" si="96"/>
        <v>EMP438</v>
      </c>
      <c r="B439" s="16" t="str" cm="1">
        <f t="array" ref="B439" ca="1">IF(D439="Male",INDEX(Lookup!$L$2:$L$13,RANDBETWEEN(1,12)),IF(D439="Female",INDEX(Lookup!$M$2:$M$13,RANDBETWEEN(1,12)),INDEX(Lookup!$N$2:$N$13,RANDBETWEEN(1,12))))</f>
        <v>Quinn</v>
      </c>
      <c r="C439" s="16" t="str" cm="1">
        <f t="array" ref="C439" ca="1">INDEX(Lookup!$K$2:$K$31,RANDBETWEEN(1,30))</f>
        <v>Hill</v>
      </c>
      <c r="D439" s="16" t="str" cm="1">
        <f t="array" ref="D439" ca="1">INDEX(Lookup!$H$2:$H$4,RANDBETWEEN(1,3))</f>
        <v>Other</v>
      </c>
      <c r="E439" s="16">
        <f t="shared" ca="1" si="84"/>
        <v>22</v>
      </c>
      <c r="F439" s="16" t="str" cm="1">
        <f t="array" ref="F439" ca="1">INDEX(Lookup!$A$2:$A$10,RANDBETWEEN(1,9))</f>
        <v>Customer Support</v>
      </c>
      <c r="G439" s="16" t="str" cm="1">
        <f t="array" ref="G439" ca="1">_xlfn.LET(_xlpm.Roles,_xlfn._xlws.FILTER(Lookup!$P$2:$P$28,Lookup!$O$2:$O$28=F439),INDEX(_xlpm.Roles,RANDBETWEEN(1,ROWS(_xlpm.Roles))))</f>
        <v>Customer Success Specialist</v>
      </c>
      <c r="H439" s="16" t="str" cm="1">
        <f t="array" ref="H439" ca="1">INDEX(Lookup!$B$2:$B$7,RANDBETWEEN(1,6))</f>
        <v>Limerick</v>
      </c>
      <c r="I439" s="22">
        <f t="shared" ca="1" si="85"/>
        <v>43814</v>
      </c>
      <c r="J439" s="22" t="str">
        <f t="shared" ca="1" si="86"/>
        <v/>
      </c>
      <c r="K439" s="16" t="str">
        <f t="shared" ca="1" si="87"/>
        <v>Active</v>
      </c>
      <c r="L439" s="26">
        <f ca="1">_xlfn.XLOOKUP(G439,Lookup!$P$2:$P$28,Lookup!$Q$2:$Q$28)*(1+MIN(X439*3%,30%))</f>
        <v>42000</v>
      </c>
      <c r="M439" s="24">
        <f t="shared" ca="1" si="97"/>
        <v>1</v>
      </c>
      <c r="N439" s="24">
        <f t="shared" ca="1" si="88"/>
        <v>11</v>
      </c>
      <c r="O439" s="24">
        <f t="shared" ca="1" si="89"/>
        <v>2</v>
      </c>
      <c r="P439" s="24">
        <f t="shared" ca="1" si="90"/>
        <v>11</v>
      </c>
      <c r="Q439" s="16" t="str">
        <f t="shared" ca="1" si="91"/>
        <v>Not Promoted</v>
      </c>
      <c r="R439" s="16" t="str" cm="1">
        <f t="array" ref="R439" ca="1">INDEX(Lookup!$E$2:$E$6,RANDBETWEEN(1,5))</f>
        <v>Dipolma</v>
      </c>
      <c r="S439" s="16" t="str" cm="1">
        <f t="array" ref="S439" ca="1">INDEX(Lookup!$J$2:$J$11,RANDBETWEEN(1,10))</f>
        <v>Emma Wilson</v>
      </c>
      <c r="T439" s="16" t="str">
        <f t="shared" ca="1" si="92"/>
        <v>quinn.hill@hranalytics.com</v>
      </c>
      <c r="U439" s="16" t="str">
        <f t="shared" ca="1" si="93"/>
        <v>0882639413</v>
      </c>
      <c r="V439" s="16" t="str" cm="1">
        <f t="array" ref="V439" ca="1">_xlfn.LET(_xlpm.r,RANDBETWEEN(1,100),_xlfn.IFS(_xlpm.r&lt;=70,"Full-Time",_xlpm.r&lt;=85,"Part-Time",_xlpm.r&lt;=95,"Contract",TRUE,"Intern"))</f>
        <v>Full-Time</v>
      </c>
      <c r="W439" s="16" cm="1">
        <f t="array" ref="W439" ca="1">IF(K439&lt;&gt;"Active",0,_xlfn.IFS(M439=5,L439*15%,M439=4,L439*10%,M439=3,L439*5%,M439=2,L439*2%,TRUE,0))</f>
        <v>0</v>
      </c>
      <c r="X439" s="24">
        <f t="shared" ca="1" si="94"/>
        <v>6</v>
      </c>
      <c r="Y439" s="24">
        <f t="shared" ca="1" si="95"/>
        <v>1</v>
      </c>
    </row>
    <row r="440" spans="1:25">
      <c r="A440" s="16" t="str">
        <f t="shared" si="96"/>
        <v>EMP439</v>
      </c>
      <c r="B440" s="16" t="str" cm="1">
        <f t="array" ref="B440" ca="1">IF(D440="Male",INDEX(Lookup!$L$2:$L$13,RANDBETWEEN(1,12)),IF(D440="Female",INDEX(Lookup!$M$2:$M$13,RANDBETWEEN(1,12)),INDEX(Lookup!$N$2:$N$13,RANDBETWEEN(1,12))))</f>
        <v>Ava</v>
      </c>
      <c r="C440" s="16" t="str" cm="1">
        <f t="array" ref="C440" ca="1">INDEX(Lookup!$K$2:$K$31,RANDBETWEEN(1,30))</f>
        <v>Parker</v>
      </c>
      <c r="D440" s="16" t="str" cm="1">
        <f t="array" ref="D440" ca="1">INDEX(Lookup!$H$2:$H$4,RANDBETWEEN(1,3))</f>
        <v>Female</v>
      </c>
      <c r="E440" s="16">
        <f t="shared" ca="1" si="84"/>
        <v>49</v>
      </c>
      <c r="F440" s="16" t="str" cm="1">
        <f t="array" ref="F440" ca="1">INDEX(Lookup!$A$2:$A$10,RANDBETWEEN(1,9))</f>
        <v>Legal</v>
      </c>
      <c r="G440" s="16" t="str" cm="1">
        <f t="array" ref="G440" ca="1">_xlfn.LET(_xlpm.Roles,_xlfn._xlws.FILTER(Lookup!$P$2:$P$28,Lookup!$O$2:$O$28=F440),INDEX(_xlpm.Roles,RANDBETWEEN(1,ROWS(_xlpm.Roles))))</f>
        <v>Legal Executive</v>
      </c>
      <c r="H440" s="16" t="str" cm="1">
        <f t="array" ref="H440" ca="1">INDEX(Lookup!$B$2:$B$7,RANDBETWEEN(1,6))</f>
        <v>Belfast</v>
      </c>
      <c r="I440" s="22">
        <f t="shared" ca="1" si="85"/>
        <v>45093</v>
      </c>
      <c r="J440" s="22">
        <f t="shared" ca="1" si="86"/>
        <v>46064</v>
      </c>
      <c r="K440" s="16" t="str">
        <f t="shared" ca="1" si="87"/>
        <v>Resigned</v>
      </c>
      <c r="L440" s="26">
        <f ca="1">_xlfn.XLOOKUP(G440,Lookup!$P$2:$P$28,Lookup!$Q$2:$Q$28)*(1+MIN(X440*3%,30%))</f>
        <v>61360</v>
      </c>
      <c r="M440" s="24">
        <f t="shared" ca="1" si="97"/>
        <v>4</v>
      </c>
      <c r="N440" s="24">
        <f t="shared" ca="1" si="88"/>
        <v>32</v>
      </c>
      <c r="O440" s="24">
        <f t="shared" ca="1" si="89"/>
        <v>12</v>
      </c>
      <c r="P440" s="24">
        <f t="shared" ca="1" si="90"/>
        <v>55</v>
      </c>
      <c r="Q440" s="16" t="str">
        <f t="shared" ca="1" si="91"/>
        <v>Promoted</v>
      </c>
      <c r="R440" s="16" t="str" cm="1">
        <f t="array" ref="R440" ca="1">INDEX(Lookup!$E$2:$E$6,RANDBETWEEN(1,5))</f>
        <v>High School</v>
      </c>
      <c r="S440" s="16" t="str" cm="1">
        <f t="array" ref="S440" ca="1">INDEX(Lookup!$J$2:$J$11,RANDBETWEEN(1,10))</f>
        <v>Liam Byrne</v>
      </c>
      <c r="T440" s="16" t="str">
        <f t="shared" ca="1" si="92"/>
        <v>ava.parker@hranalytics.com</v>
      </c>
      <c r="U440" s="16" t="str">
        <f t="shared" ca="1" si="93"/>
        <v>0849659016</v>
      </c>
      <c r="V440" s="16" t="str" cm="1">
        <f t="array" ref="V440" ca="1">_xlfn.LET(_xlpm.r,RANDBETWEEN(1,100),_xlfn.IFS(_xlpm.r&lt;=70,"Full-Time",_xlpm.r&lt;=85,"Part-Time",_xlpm.r&lt;=95,"Contract",TRUE,"Intern"))</f>
        <v>Full-Time</v>
      </c>
      <c r="W440" s="16" cm="1">
        <f t="array" ref="W440" ca="1">IF(K440&lt;&gt;"Active",0,_xlfn.IFS(M440=5,L440*15%,M440=4,L440*10%,M440=3,L440*5%,M440=2,L440*2%,TRUE,0))</f>
        <v>6136</v>
      </c>
      <c r="X440" s="24">
        <f t="shared" ca="1" si="94"/>
        <v>3</v>
      </c>
      <c r="Y440" s="24">
        <f t="shared" ca="1" si="95"/>
        <v>1</v>
      </c>
    </row>
    <row r="441" spans="1:25">
      <c r="A441" s="16" t="str">
        <f t="shared" si="96"/>
        <v>EMP440</v>
      </c>
      <c r="B441" s="16" t="str" cm="1">
        <f t="array" ref="B441" ca="1">IF(D441="Male",INDEX(Lookup!$L$2:$L$13,RANDBETWEEN(1,12)),IF(D441="Female",INDEX(Lookup!$M$2:$M$13,RANDBETWEEN(1,12)),INDEX(Lookup!$N$2:$N$13,RANDBETWEEN(1,12))))</f>
        <v>Alex</v>
      </c>
      <c r="C441" s="16" t="str" cm="1">
        <f t="array" ref="C441" ca="1">INDEX(Lookup!$K$2:$K$31,RANDBETWEEN(1,30))</f>
        <v>Lewis</v>
      </c>
      <c r="D441" s="16" t="str" cm="1">
        <f t="array" ref="D441" ca="1">INDEX(Lookup!$H$2:$H$4,RANDBETWEEN(1,3))</f>
        <v>Other</v>
      </c>
      <c r="E441" s="16">
        <f t="shared" ca="1" si="84"/>
        <v>36</v>
      </c>
      <c r="F441" s="16" t="str" cm="1">
        <f t="array" ref="F441" ca="1">INDEX(Lookup!$A$2:$A$10,RANDBETWEEN(1,9))</f>
        <v>Procurement</v>
      </c>
      <c r="G441" s="16" t="str" cm="1">
        <f t="array" ref="G441" ca="1">_xlfn.LET(_xlpm.Roles,_xlfn._xlws.FILTER(Lookup!$P$2:$P$28,Lookup!$O$2:$O$28=F441),INDEX(_xlpm.Roles,RANDBETWEEN(1,ROWS(_xlpm.Roles))))</f>
        <v>Procurement Analyst</v>
      </c>
      <c r="H441" s="16" t="str" cm="1">
        <f t="array" ref="H441" ca="1">INDEX(Lookup!$B$2:$B$7,RANDBETWEEN(1,6))</f>
        <v>Cork</v>
      </c>
      <c r="I441" s="22">
        <f t="shared" ca="1" si="85"/>
        <v>43773</v>
      </c>
      <c r="J441" s="22" t="str">
        <f t="shared" ca="1" si="86"/>
        <v/>
      </c>
      <c r="K441" s="16" t="str">
        <f t="shared" ca="1" si="87"/>
        <v>Active</v>
      </c>
      <c r="L441" s="26">
        <f ca="1">_xlfn.XLOOKUP(G441,Lookup!$P$2:$P$28,Lookup!$Q$2:$Q$28)*(1+MIN(X441*3%,30%))</f>
        <v>54500</v>
      </c>
      <c r="M441" s="24">
        <f t="shared" ca="1" si="97"/>
        <v>1</v>
      </c>
      <c r="N441" s="24">
        <f t="shared" ca="1" si="88"/>
        <v>28</v>
      </c>
      <c r="O441" s="24">
        <f t="shared" ca="1" si="89"/>
        <v>7</v>
      </c>
      <c r="P441" s="24">
        <f t="shared" ca="1" si="90"/>
        <v>43</v>
      </c>
      <c r="Q441" s="16" t="str">
        <f t="shared" ca="1" si="91"/>
        <v>Promoted</v>
      </c>
      <c r="R441" s="16" t="str" cm="1">
        <f t="array" ref="R441" ca="1">INDEX(Lookup!$E$2:$E$6,RANDBETWEEN(1,5))</f>
        <v>High School</v>
      </c>
      <c r="S441" s="16" t="str" cm="1">
        <f t="array" ref="S441" ca="1">INDEX(Lookup!$J$2:$J$11,RANDBETWEEN(1,10))</f>
        <v>Grace O'Connor</v>
      </c>
      <c r="T441" s="16" t="str">
        <f t="shared" ca="1" si="92"/>
        <v>alex.lewis@hranalytics.com</v>
      </c>
      <c r="U441" s="16" t="str">
        <f t="shared" ca="1" si="93"/>
        <v>0839224044</v>
      </c>
      <c r="V441" s="16" t="str" cm="1">
        <f t="array" ref="V441" ca="1">_xlfn.LET(_xlpm.r,RANDBETWEEN(1,100),_xlfn.IFS(_xlpm.r&lt;=70,"Full-Time",_xlpm.r&lt;=85,"Part-Time",_xlpm.r&lt;=95,"Contract",TRUE,"Intern"))</f>
        <v>Full-Time</v>
      </c>
      <c r="W441" s="16" cm="1">
        <f t="array" ref="W441" ca="1">IF(K441&lt;&gt;"Active",0,_xlfn.IFS(M441=5,L441*15%,M441=4,L441*10%,M441=3,L441*5%,M441=2,L441*2%,TRUE,0))</f>
        <v>0</v>
      </c>
      <c r="X441" s="24">
        <f t="shared" ca="1" si="94"/>
        <v>6</v>
      </c>
      <c r="Y441" s="24">
        <f t="shared" ca="1" si="95"/>
        <v>2</v>
      </c>
    </row>
    <row r="442" spans="1:25">
      <c r="A442" s="16" t="str">
        <f t="shared" si="96"/>
        <v>EMP441</v>
      </c>
      <c r="B442" s="16" t="str" cm="1">
        <f t="array" ref="B442" ca="1">IF(D442="Male",INDEX(Lookup!$L$2:$L$13,RANDBETWEEN(1,12)),IF(D442="Female",INDEX(Lookup!$M$2:$M$13,RANDBETWEEN(1,12)),INDEX(Lookup!$N$2:$N$13,RANDBETWEEN(1,12))))</f>
        <v>Jordan</v>
      </c>
      <c r="C442" s="16" t="str" cm="1">
        <f t="array" ref="C442" ca="1">INDEX(Lookup!$K$2:$K$31,RANDBETWEEN(1,30))</f>
        <v>King</v>
      </c>
      <c r="D442" s="16" t="str" cm="1">
        <f t="array" ref="D442" ca="1">INDEX(Lookup!$H$2:$H$4,RANDBETWEEN(1,3))</f>
        <v>Other</v>
      </c>
      <c r="E442" s="16">
        <f t="shared" ca="1" si="84"/>
        <v>34</v>
      </c>
      <c r="F442" s="16" t="str" cm="1">
        <f t="array" ref="F442" ca="1">INDEX(Lookup!$A$2:$A$10,RANDBETWEEN(1,9))</f>
        <v>Customer Support</v>
      </c>
      <c r="G442" s="16" t="str" cm="1">
        <f t="array" ref="G442" ca="1">_xlfn.LET(_xlpm.Roles,_xlfn._xlws.FILTER(Lookup!$P$2:$P$28,Lookup!$O$2:$O$28=F442),INDEX(_xlpm.Roles,RANDBETWEEN(1,ROWS(_xlpm.Roles))))</f>
        <v>Technical Support Specialist</v>
      </c>
      <c r="H442" s="16" t="str" cm="1">
        <f t="array" ref="H442" ca="1">INDEX(Lookup!$B$2:$B$7,RANDBETWEEN(1,6))</f>
        <v>Waterford</v>
      </c>
      <c r="I442" s="22">
        <f t="shared" ca="1" si="85"/>
        <v>45176</v>
      </c>
      <c r="J442" s="22">
        <f t="shared" ca="1" si="86"/>
        <v>45381</v>
      </c>
      <c r="K442" s="16" t="str">
        <f t="shared" ca="1" si="87"/>
        <v>Resigned</v>
      </c>
      <c r="L442" s="26">
        <f ca="1">_xlfn.XLOOKUP(G442,Lookup!$P$2:$P$28,Lookup!$Q$2:$Q$28)*(1+MIN(X442*3%,30%))</f>
        <v>54450</v>
      </c>
      <c r="M442" s="24">
        <f t="shared" ca="1" si="97"/>
        <v>3</v>
      </c>
      <c r="N442" s="24">
        <f t="shared" ca="1" si="88"/>
        <v>15</v>
      </c>
      <c r="O442" s="24">
        <f t="shared" ca="1" si="89"/>
        <v>9</v>
      </c>
      <c r="P442" s="24">
        <f t="shared" ca="1" si="90"/>
        <v>38</v>
      </c>
      <c r="Q442" s="16" t="str">
        <f t="shared" ca="1" si="91"/>
        <v>Not Promoted</v>
      </c>
      <c r="R442" s="16" t="str" cm="1">
        <f t="array" ref="R442" ca="1">INDEX(Lookup!$E$2:$E$6,RANDBETWEEN(1,5))</f>
        <v>Master's</v>
      </c>
      <c r="S442" s="16" t="str" cm="1">
        <f t="array" ref="S442" ca="1">INDEX(Lookup!$J$2:$J$11,RANDBETWEEN(1,10))</f>
        <v>Michael Brown</v>
      </c>
      <c r="T442" s="16" t="str">
        <f t="shared" ca="1" si="92"/>
        <v>jordan.king@hranalytics.com</v>
      </c>
      <c r="U442" s="16" t="str">
        <f t="shared" ca="1" si="93"/>
        <v>0882967776</v>
      </c>
      <c r="V442" s="16" t="str" cm="1">
        <f t="array" ref="V442" ca="1">_xlfn.LET(_xlpm.r,RANDBETWEEN(1,100),_xlfn.IFS(_xlpm.r&lt;=70,"Full-Time",_xlpm.r&lt;=85,"Part-Time",_xlpm.r&lt;=95,"Contract",TRUE,"Intern"))</f>
        <v>Full-Time</v>
      </c>
      <c r="W442" s="16" cm="1">
        <f t="array" ref="W442" ca="1">IF(K442&lt;&gt;"Active",0,_xlfn.IFS(M442=5,L442*15%,M442=4,L442*10%,M442=3,L442*5%,M442=2,L442*2%,TRUE,0))</f>
        <v>0</v>
      </c>
      <c r="X442" s="24">
        <f t="shared" ca="1" si="94"/>
        <v>2</v>
      </c>
      <c r="Y442" s="24">
        <f t="shared" ca="1" si="95"/>
        <v>2</v>
      </c>
    </row>
    <row r="443" spans="1:25">
      <c r="A443" s="16" t="str">
        <f t="shared" si="96"/>
        <v>EMP442</v>
      </c>
      <c r="B443" s="16" t="str" cm="1">
        <f t="array" ref="B443" ca="1">IF(D443="Male",INDEX(Lookup!$L$2:$L$13,RANDBETWEEN(1,12)),IF(D443="Female",INDEX(Lookup!$M$2:$M$13,RANDBETWEEN(1,12)),INDEX(Lookup!$N$2:$N$13,RANDBETWEEN(1,12))))</f>
        <v>Riley</v>
      </c>
      <c r="C443" s="16" t="str" cm="1">
        <f t="array" ref="C443" ca="1">INDEX(Lookup!$K$2:$K$31,RANDBETWEEN(1,30))</f>
        <v>Hall</v>
      </c>
      <c r="D443" s="16" t="str" cm="1">
        <f t="array" ref="D443" ca="1">INDEX(Lookup!$H$2:$H$4,RANDBETWEEN(1,3))</f>
        <v>Other</v>
      </c>
      <c r="E443" s="16">
        <f t="shared" ca="1" si="84"/>
        <v>49</v>
      </c>
      <c r="F443" s="16" t="str" cm="1">
        <f t="array" ref="F443" ca="1">INDEX(Lookup!$A$2:$A$10,RANDBETWEEN(1,9))</f>
        <v>Finance</v>
      </c>
      <c r="G443" s="16" t="str" cm="1">
        <f t="array" ref="G443" ca="1">_xlfn.LET(_xlpm.Roles,_xlfn._xlws.FILTER(Lookup!$P$2:$P$28,Lookup!$O$2:$O$28=F443),INDEX(_xlpm.Roles,RANDBETWEEN(1,ROWS(_xlpm.Roles))))</f>
        <v>Accountant</v>
      </c>
      <c r="H443" s="16" t="str" cm="1">
        <f t="array" ref="H443" ca="1">INDEX(Lookup!$B$2:$B$7,RANDBETWEEN(1,6))</f>
        <v>Cork</v>
      </c>
      <c r="I443" s="22">
        <f t="shared" ca="1" si="85"/>
        <v>43333</v>
      </c>
      <c r="J443" s="22" t="str">
        <f t="shared" ca="1" si="86"/>
        <v/>
      </c>
      <c r="K443" s="16" t="str">
        <f t="shared" ca="1" si="87"/>
        <v>Active</v>
      </c>
      <c r="L443" s="26">
        <f ca="1">_xlfn.XLOOKUP(G443,Lookup!$P$2:$P$28,Lookup!$Q$2:$Q$28)*(1+MIN(X443*3%,30%))</f>
        <v>56000</v>
      </c>
      <c r="M443" s="24">
        <f t="shared" ca="1" si="97"/>
        <v>5</v>
      </c>
      <c r="N443" s="24">
        <f t="shared" ca="1" si="88"/>
        <v>13</v>
      </c>
      <c r="O443" s="24">
        <f t="shared" ca="1" si="89"/>
        <v>17</v>
      </c>
      <c r="P443" s="24">
        <f t="shared" ca="1" si="90"/>
        <v>31</v>
      </c>
      <c r="Q443" s="16" t="str">
        <f t="shared" ca="1" si="91"/>
        <v>Promoted</v>
      </c>
      <c r="R443" s="16" t="str" cm="1">
        <f t="array" ref="R443" ca="1">INDEX(Lookup!$E$2:$E$6,RANDBETWEEN(1,5))</f>
        <v>Master's</v>
      </c>
      <c r="S443" s="16" t="str" cm="1">
        <f t="array" ref="S443" ca="1">INDEX(Lookup!$J$2:$J$11,RANDBETWEEN(1,10))</f>
        <v>Michael Brown</v>
      </c>
      <c r="T443" s="16" t="str">
        <f t="shared" ca="1" si="92"/>
        <v>riley.hall@hranalytics.com</v>
      </c>
      <c r="U443" s="16" t="str">
        <f t="shared" ca="1" si="93"/>
        <v>0853464345</v>
      </c>
      <c r="V443" s="16" t="str" cm="1">
        <f t="array" ref="V443" ca="1">_xlfn.LET(_xlpm.r,RANDBETWEEN(1,100),_xlfn.IFS(_xlpm.r&lt;=70,"Full-Time",_xlpm.r&lt;=85,"Part-Time",_xlpm.r&lt;=95,"Contract",TRUE,"Intern"))</f>
        <v>Full-Time</v>
      </c>
      <c r="W443" s="16" cm="1">
        <f t="array" ref="W443" ca="1">IF(K443&lt;&gt;"Active",0,_xlfn.IFS(M443=5,L443*15%,M443=4,L443*10%,M443=3,L443*5%,M443=2,L443*2%,TRUE,0))</f>
        <v>5600</v>
      </c>
      <c r="X443" s="24">
        <f t="shared" ca="1" si="94"/>
        <v>8</v>
      </c>
      <c r="Y443" s="24">
        <f t="shared" ca="1" si="95"/>
        <v>1</v>
      </c>
    </row>
    <row r="444" spans="1:25">
      <c r="A444" s="16" t="str">
        <f t="shared" si="96"/>
        <v>EMP443</v>
      </c>
      <c r="B444" s="16" t="str" cm="1">
        <f t="array" ref="B444" ca="1">IF(D444="Male",INDEX(Lookup!$L$2:$L$13,RANDBETWEEN(1,12)),IF(D444="Female",INDEX(Lookup!$M$2:$M$13,RANDBETWEEN(1,12)),INDEX(Lookup!$N$2:$N$13,RANDBETWEEN(1,12))))</f>
        <v>Daniel</v>
      </c>
      <c r="C444" s="16" t="str" cm="1">
        <f t="array" ref="C444" ca="1">INDEX(Lookup!$K$2:$K$31,RANDBETWEEN(1,30))</f>
        <v>Thomas</v>
      </c>
      <c r="D444" s="16" t="str" cm="1">
        <f t="array" ref="D444" ca="1">INDEX(Lookup!$H$2:$H$4,RANDBETWEEN(1,3))</f>
        <v>Male</v>
      </c>
      <c r="E444" s="16">
        <f t="shared" ca="1" si="84"/>
        <v>41</v>
      </c>
      <c r="F444" s="16" t="str" cm="1">
        <f t="array" ref="F444" ca="1">INDEX(Lookup!$A$2:$A$10,RANDBETWEEN(1,9))</f>
        <v>Legal</v>
      </c>
      <c r="G444" s="16" t="str" cm="1">
        <f t="array" ref="G444" ca="1">_xlfn.LET(_xlpm.Roles,_xlfn._xlws.FILTER(Lookup!$P$2:$P$28,Lookup!$O$2:$O$28=F444),INDEX(_xlpm.Roles,RANDBETWEEN(1,ROWS(_xlpm.Roles))))</f>
        <v>Compliance Officer</v>
      </c>
      <c r="H444" s="16" t="str" cm="1">
        <f t="array" ref="H444" ca="1">INDEX(Lookup!$B$2:$B$7,RANDBETWEEN(1,6))</f>
        <v>Dublin</v>
      </c>
      <c r="I444" s="22">
        <f t="shared" ca="1" si="85"/>
        <v>45202</v>
      </c>
      <c r="J444" s="22">
        <f t="shared" ca="1" si="86"/>
        <v>46024</v>
      </c>
      <c r="K444" s="16" t="str">
        <f t="shared" ca="1" si="87"/>
        <v>Resigned</v>
      </c>
      <c r="L444" s="26">
        <f ca="1">_xlfn.XLOOKUP(G444,Lookup!$P$2:$P$28,Lookup!$Q$2:$Q$28)*(1+MIN(X444*3%,30%))</f>
        <v>72600</v>
      </c>
      <c r="M444" s="24">
        <f t="shared" ca="1" si="97"/>
        <v>1</v>
      </c>
      <c r="N444" s="24">
        <f t="shared" ca="1" si="88"/>
        <v>66</v>
      </c>
      <c r="O444" s="24">
        <f t="shared" ca="1" si="89"/>
        <v>5</v>
      </c>
      <c r="P444" s="24">
        <f t="shared" ca="1" si="90"/>
        <v>36</v>
      </c>
      <c r="Q444" s="16" t="str">
        <f t="shared" ca="1" si="91"/>
        <v>Promoted</v>
      </c>
      <c r="R444" s="16" t="str" cm="1">
        <f t="array" ref="R444" ca="1">INDEX(Lookup!$E$2:$E$6,RANDBETWEEN(1,5))</f>
        <v>High School</v>
      </c>
      <c r="S444" s="16" t="str" cm="1">
        <f t="array" ref="S444" ca="1">INDEX(Lookup!$J$2:$J$11,RANDBETWEEN(1,10))</f>
        <v>Michael Brown</v>
      </c>
      <c r="T444" s="16" t="str">
        <f t="shared" ca="1" si="92"/>
        <v>daniel.thomas@hranalytics.com</v>
      </c>
      <c r="U444" s="16" t="str">
        <f t="shared" ca="1" si="93"/>
        <v>0885878588</v>
      </c>
      <c r="V444" s="16" t="str" cm="1">
        <f t="array" ref="V444" ca="1">_xlfn.LET(_xlpm.r,RANDBETWEEN(1,100),_xlfn.IFS(_xlpm.r&lt;=70,"Full-Time",_xlpm.r&lt;=85,"Part-Time",_xlpm.r&lt;=95,"Contract",TRUE,"Intern"))</f>
        <v>Contract</v>
      </c>
      <c r="W444" s="16" cm="1">
        <f t="array" ref="W444" ca="1">IF(K444&lt;&gt;"Active",0,_xlfn.IFS(M444=5,L444*15%,M444=4,L444*10%,M444=3,L444*5%,M444=2,L444*2%,TRUE,0))</f>
        <v>10890</v>
      </c>
      <c r="X444" s="24">
        <f t="shared" ca="1" si="94"/>
        <v>2</v>
      </c>
      <c r="Y444" s="24">
        <f t="shared" ca="1" si="95"/>
        <v>1</v>
      </c>
    </row>
    <row r="445" spans="1:25">
      <c r="A445" s="16" t="str">
        <f t="shared" si="96"/>
        <v>EMP444</v>
      </c>
      <c r="B445" s="16" t="str" cm="1">
        <f t="array" ref="B445" ca="1">IF(D445="Male",INDEX(Lookup!$L$2:$L$13,RANDBETWEEN(1,12)),IF(D445="Female",INDEX(Lookup!$M$2:$M$13,RANDBETWEEN(1,12)),INDEX(Lookup!$N$2:$N$13,RANDBETWEEN(1,12))))</f>
        <v>Olivia</v>
      </c>
      <c r="C445" s="16" t="str" cm="1">
        <f t="array" ref="C445" ca="1">INDEX(Lookup!$K$2:$K$31,RANDBETWEEN(1,30))</f>
        <v>Adams</v>
      </c>
      <c r="D445" s="16" t="str" cm="1">
        <f t="array" ref="D445" ca="1">INDEX(Lookup!$H$2:$H$4,RANDBETWEEN(1,3))</f>
        <v>Female</v>
      </c>
      <c r="E445" s="16">
        <f t="shared" ca="1" si="84"/>
        <v>21</v>
      </c>
      <c r="F445" s="16" t="str" cm="1">
        <f t="array" ref="F445" ca="1">INDEX(Lookup!$A$2:$A$10,RANDBETWEEN(1,9))</f>
        <v>Legal</v>
      </c>
      <c r="G445" s="16" t="str" cm="1">
        <f t="array" ref="G445" ca="1">_xlfn.LET(_xlpm.Roles,_xlfn._xlws.FILTER(Lookup!$P$2:$P$28,Lookup!$O$2:$O$28=F445),INDEX(_xlpm.Roles,RANDBETWEEN(1,ROWS(_xlpm.Roles))))</f>
        <v>Legal Executive</v>
      </c>
      <c r="H445" s="16" t="str" cm="1">
        <f t="array" ref="H445" ca="1">INDEX(Lookup!$B$2:$B$7,RANDBETWEEN(1,6))</f>
        <v>Belfast</v>
      </c>
      <c r="I445" s="22">
        <f t="shared" ca="1" si="85"/>
        <v>43868</v>
      </c>
      <c r="J445" s="22">
        <f t="shared" ca="1" si="86"/>
        <v>44238</v>
      </c>
      <c r="K445" s="16" t="str">
        <f t="shared" ca="1" si="87"/>
        <v>Resigned</v>
      </c>
      <c r="L445" s="26">
        <f ca="1">_xlfn.XLOOKUP(G445,Lookup!$P$2:$P$28,Lookup!$Q$2:$Q$28)*(1+MIN(X445*3%,30%))</f>
        <v>58240</v>
      </c>
      <c r="M445" s="24">
        <f t="shared" ca="1" si="97"/>
        <v>2</v>
      </c>
      <c r="N445" s="24">
        <f t="shared" ca="1" si="88"/>
        <v>13</v>
      </c>
      <c r="O445" s="24">
        <f t="shared" ca="1" si="89"/>
        <v>17</v>
      </c>
      <c r="P445" s="24">
        <f t="shared" ca="1" si="90"/>
        <v>52</v>
      </c>
      <c r="Q445" s="16" t="str">
        <f t="shared" ca="1" si="91"/>
        <v>Promoted</v>
      </c>
      <c r="R445" s="16" t="str" cm="1">
        <f t="array" ref="R445" ca="1">INDEX(Lookup!$E$2:$E$6,RANDBETWEEN(1,5))</f>
        <v>High School</v>
      </c>
      <c r="S445" s="16" t="str" cm="1">
        <f t="array" ref="S445" ca="1">INDEX(Lookup!$J$2:$J$11,RANDBETWEEN(1,10))</f>
        <v>Emma Wilson</v>
      </c>
      <c r="T445" s="16" t="str">
        <f t="shared" ca="1" si="92"/>
        <v>olivia.adams@hranalytics.com</v>
      </c>
      <c r="U445" s="16" t="str">
        <f t="shared" ca="1" si="93"/>
        <v>0832624499</v>
      </c>
      <c r="V445" s="16" t="str" cm="1">
        <f t="array" ref="V445" ca="1">_xlfn.LET(_xlpm.r,RANDBETWEEN(1,100),_xlfn.IFS(_xlpm.r&lt;=70,"Full-Time",_xlpm.r&lt;=85,"Part-Time",_xlpm.r&lt;=95,"Contract",TRUE,"Intern"))</f>
        <v>Full-Time</v>
      </c>
      <c r="W445" s="16" cm="1">
        <f t="array" ref="W445" ca="1">IF(K445&lt;&gt;"Active",0,_xlfn.IFS(M445=5,L445*15%,M445=4,L445*10%,M445=3,L445*5%,M445=2,L445*2%,TRUE,0))</f>
        <v>0</v>
      </c>
      <c r="X445" s="24">
        <f t="shared" ca="1" si="94"/>
        <v>6</v>
      </c>
      <c r="Y445" s="24">
        <f t="shared" ca="1" si="95"/>
        <v>2</v>
      </c>
    </row>
    <row r="446" spans="1:25">
      <c r="A446" s="16" t="str">
        <f t="shared" si="96"/>
        <v>EMP445</v>
      </c>
      <c r="B446" s="16" t="str" cm="1">
        <f t="array" ref="B446" ca="1">IF(D446="Male",INDEX(Lookup!$L$2:$L$13,RANDBETWEEN(1,12)),IF(D446="Female",INDEX(Lookup!$M$2:$M$13,RANDBETWEEN(1,12)),INDEX(Lookup!$N$2:$N$13,RANDBETWEEN(1,12))))</f>
        <v>Noah</v>
      </c>
      <c r="C446" s="16" t="str" cm="1">
        <f t="array" ref="C446" ca="1">INDEX(Lookup!$K$2:$K$31,RANDBETWEEN(1,30))</f>
        <v>Wilson</v>
      </c>
      <c r="D446" s="16" t="str" cm="1">
        <f t="array" ref="D446" ca="1">INDEX(Lookup!$H$2:$H$4,RANDBETWEEN(1,3))</f>
        <v>Male</v>
      </c>
      <c r="E446" s="16">
        <f t="shared" ca="1" si="84"/>
        <v>52</v>
      </c>
      <c r="F446" s="16" t="str" cm="1">
        <f t="array" ref="F446" ca="1">INDEX(Lookup!$A$2:$A$10,RANDBETWEEN(1,9))</f>
        <v>Procurement</v>
      </c>
      <c r="G446" s="16" t="str" cm="1">
        <f t="array" ref="G446" ca="1">_xlfn.LET(_xlpm.Roles,_xlfn._xlws.FILTER(Lookup!$P$2:$P$28,Lookup!$O$2:$O$28=F446),INDEX(_xlpm.Roles,RANDBETWEEN(1,ROWS(_xlpm.Roles))))</f>
        <v>Purchasing Executive</v>
      </c>
      <c r="H446" s="16" t="str" cm="1">
        <f t="array" ref="H446" ca="1">INDEX(Lookup!$B$2:$B$7,RANDBETWEEN(1,6))</f>
        <v>Cork</v>
      </c>
      <c r="I446" s="22">
        <f t="shared" ca="1" si="85"/>
        <v>43742</v>
      </c>
      <c r="J446" s="22">
        <f t="shared" ca="1" si="86"/>
        <v>43933</v>
      </c>
      <c r="K446" s="16" t="str">
        <f t="shared" ca="1" si="87"/>
        <v>Resigned</v>
      </c>
      <c r="L446" s="26">
        <f ca="1">_xlfn.XLOOKUP(G446,Lookup!$P$2:$P$28,Lookup!$Q$2:$Q$28)*(1+MIN(X446*3%,30%))</f>
        <v>48300</v>
      </c>
      <c r="M446" s="24">
        <f t="shared" ca="1" si="97"/>
        <v>3</v>
      </c>
      <c r="N446" s="24">
        <f t="shared" ca="1" si="88"/>
        <v>44</v>
      </c>
      <c r="O446" s="24">
        <f t="shared" ca="1" si="89"/>
        <v>18</v>
      </c>
      <c r="P446" s="24">
        <f t="shared" ca="1" si="90"/>
        <v>47</v>
      </c>
      <c r="Q446" s="16" t="str">
        <f t="shared" ca="1" si="91"/>
        <v>Promoted</v>
      </c>
      <c r="R446" s="16" t="str" cm="1">
        <f t="array" ref="R446" ca="1">INDEX(Lookup!$E$2:$E$6,RANDBETWEEN(1,5))</f>
        <v>Bachelor's</v>
      </c>
      <c r="S446" s="16" t="str" cm="1">
        <f t="array" ref="S446" ca="1">INDEX(Lookup!$J$2:$J$11,RANDBETWEEN(1,10))</f>
        <v>Liam Byrne</v>
      </c>
      <c r="T446" s="16" t="str">
        <f t="shared" ca="1" si="92"/>
        <v>noah.wilson@hranalytics.com</v>
      </c>
      <c r="U446" s="16" t="str">
        <f t="shared" ca="1" si="93"/>
        <v>0832052254</v>
      </c>
      <c r="V446" s="16" t="str" cm="1">
        <f t="array" ref="V446" ca="1">_xlfn.LET(_xlpm.r,RANDBETWEEN(1,100),_xlfn.IFS(_xlpm.r&lt;=70,"Full-Time",_xlpm.r&lt;=85,"Part-Time",_xlpm.r&lt;=95,"Contract",TRUE,"Intern"))</f>
        <v>Full-Time</v>
      </c>
      <c r="W446" s="16" cm="1">
        <f t="array" ref="W446" ca="1">IF(K446&lt;&gt;"Active",0,_xlfn.IFS(M446=5,L446*15%,M446=4,L446*10%,M446=3,L446*5%,M446=2,L446*2%,TRUE,0))</f>
        <v>0</v>
      </c>
      <c r="X446" s="24">
        <f t="shared" ca="1" si="94"/>
        <v>6</v>
      </c>
      <c r="Y446" s="24">
        <f t="shared" ca="1" si="95"/>
        <v>2</v>
      </c>
    </row>
    <row r="447" spans="1:25">
      <c r="A447" s="16" t="str">
        <f t="shared" si="96"/>
        <v>EMP446</v>
      </c>
      <c r="B447" s="16" t="str" cm="1">
        <f t="array" ref="B447" ca="1">IF(D447="Male",INDEX(Lookup!$L$2:$L$13,RANDBETWEEN(1,12)),IF(D447="Female",INDEX(Lookup!$M$2:$M$13,RANDBETWEEN(1,12)),INDEX(Lookup!$N$2:$N$13,RANDBETWEEN(1,12))))</f>
        <v>Casey</v>
      </c>
      <c r="C447" s="16" t="str" cm="1">
        <f t="array" ref="C447" ca="1">INDEX(Lookup!$K$2:$K$31,RANDBETWEEN(1,30))</f>
        <v>Brown</v>
      </c>
      <c r="D447" s="16" t="str" cm="1">
        <f t="array" ref="D447" ca="1">INDEX(Lookup!$H$2:$H$4,RANDBETWEEN(1,3))</f>
        <v>Other</v>
      </c>
      <c r="E447" s="16">
        <f t="shared" ca="1" si="84"/>
        <v>59</v>
      </c>
      <c r="F447" s="16" t="str" cm="1">
        <f t="array" ref="F447" ca="1">INDEX(Lookup!$A$2:$A$10,RANDBETWEEN(1,9))</f>
        <v>Operations</v>
      </c>
      <c r="G447" s="16" t="str" cm="1">
        <f t="array" ref="G447" ca="1">_xlfn.LET(_xlpm.Roles,_xlfn._xlws.FILTER(Lookup!$P$2:$P$28,Lookup!$O$2:$O$28=F447),INDEX(_xlpm.Roles,RANDBETWEEN(1,ROWS(_xlpm.Roles))))</f>
        <v>Operations Manager</v>
      </c>
      <c r="H447" s="16" t="str" cm="1">
        <f t="array" ref="H447" ca="1">INDEX(Lookup!$B$2:$B$7,RANDBETWEEN(1,6))</f>
        <v>Belfast</v>
      </c>
      <c r="I447" s="22">
        <f t="shared" ca="1" si="85"/>
        <v>45909</v>
      </c>
      <c r="J447" s="22" t="str">
        <f t="shared" ca="1" si="86"/>
        <v/>
      </c>
      <c r="K447" s="16" t="str">
        <f t="shared" ca="1" si="87"/>
        <v>Active</v>
      </c>
      <c r="L447" s="26">
        <f ca="1">_xlfn.XLOOKUP(G447,Lookup!$P$2:$P$28,Lookup!$Q$2:$Q$28)*(1+MIN(X447*3%,30%))</f>
        <v>65720</v>
      </c>
      <c r="M447" s="24">
        <f t="shared" ca="1" si="97"/>
        <v>3</v>
      </c>
      <c r="N447" s="24">
        <f t="shared" ca="1" si="88"/>
        <v>20</v>
      </c>
      <c r="O447" s="24">
        <f t="shared" ca="1" si="89"/>
        <v>7</v>
      </c>
      <c r="P447" s="24">
        <f t="shared" ca="1" si="90"/>
        <v>36</v>
      </c>
      <c r="Q447" s="16" t="str">
        <f t="shared" ca="1" si="91"/>
        <v>Promoted</v>
      </c>
      <c r="R447" s="16" t="str" cm="1">
        <f t="array" ref="R447" ca="1">INDEX(Lookup!$E$2:$E$6,RANDBETWEEN(1,5))</f>
        <v>High School</v>
      </c>
      <c r="S447" s="16" t="str" cm="1">
        <f t="array" ref="S447" ca="1">INDEX(Lookup!$J$2:$J$11,RANDBETWEEN(1,10))</f>
        <v>Sarah Johnson</v>
      </c>
      <c r="T447" s="16" t="str">
        <f t="shared" ca="1" si="92"/>
        <v>casey.brown@hranalytics.com</v>
      </c>
      <c r="U447" s="16" t="str">
        <f t="shared" ca="1" si="93"/>
        <v>0893975825</v>
      </c>
      <c r="V447" s="16" t="str" cm="1">
        <f t="array" ref="V447" ca="1">_xlfn.LET(_xlpm.r,RANDBETWEEN(1,100),_xlfn.IFS(_xlpm.r&lt;=70,"Full-Time",_xlpm.r&lt;=85,"Part-Time",_xlpm.r&lt;=95,"Contract",TRUE,"Intern"))</f>
        <v>Full-Time</v>
      </c>
      <c r="W447" s="16" cm="1">
        <f t="array" ref="W447" ca="1">IF(K447&lt;&gt;"Active",0,_xlfn.IFS(M447=5,L447*15%,M447=4,L447*10%,M447=3,L447*5%,M447=2,L447*2%,TRUE,0))</f>
        <v>1314.4</v>
      </c>
      <c r="X447" s="24">
        <f t="shared" ca="1" si="94"/>
        <v>0</v>
      </c>
      <c r="Y447" s="24">
        <f t="shared" ca="1" si="95"/>
        <v>1</v>
      </c>
    </row>
    <row r="448" spans="1:25">
      <c r="A448" s="16" t="str">
        <f t="shared" si="96"/>
        <v>EMP447</v>
      </c>
      <c r="B448" s="16" t="str" cm="1">
        <f t="array" ref="B448" ca="1">IF(D448="Male",INDEX(Lookup!$L$2:$L$13,RANDBETWEEN(1,12)),IF(D448="Female",INDEX(Lookup!$M$2:$M$13,RANDBETWEEN(1,12)),INDEX(Lookup!$N$2:$N$13,RANDBETWEEN(1,12))))</f>
        <v>Michael</v>
      </c>
      <c r="C448" s="16" t="str" cm="1">
        <f t="array" ref="C448" ca="1">INDEX(Lookup!$K$2:$K$31,RANDBETWEEN(1,30))</f>
        <v>Lewis</v>
      </c>
      <c r="D448" s="16" t="str" cm="1">
        <f t="array" ref="D448" ca="1">INDEX(Lookup!$H$2:$H$4,RANDBETWEEN(1,3))</f>
        <v>Male</v>
      </c>
      <c r="E448" s="16">
        <f t="shared" ca="1" si="84"/>
        <v>45</v>
      </c>
      <c r="F448" s="16" t="str" cm="1">
        <f t="array" ref="F448" ca="1">INDEX(Lookup!$A$2:$A$10,RANDBETWEEN(1,9))</f>
        <v>Operations</v>
      </c>
      <c r="G448" s="16" t="str" cm="1">
        <f t="array" ref="G448" ca="1">_xlfn.LET(_xlpm.Roles,_xlfn._xlws.FILTER(Lookup!$P$2:$P$28,Lookup!$O$2:$O$28=F448),INDEX(_xlpm.Roles,RANDBETWEEN(1,ROWS(_xlpm.Roles))))</f>
        <v>Operations Coordinator</v>
      </c>
      <c r="H448" s="16" t="str" cm="1">
        <f t="array" ref="H448" ca="1">INDEX(Lookup!$B$2:$B$7,RANDBETWEEN(1,6))</f>
        <v>Limerick</v>
      </c>
      <c r="I448" s="22">
        <f t="shared" ca="1" si="85"/>
        <v>43491</v>
      </c>
      <c r="J448" s="22">
        <f t="shared" ca="1" si="86"/>
        <v>43873</v>
      </c>
      <c r="K448" s="16" t="str">
        <f t="shared" ca="1" si="87"/>
        <v>Resigned</v>
      </c>
      <c r="L448" s="26">
        <f ca="1">_xlfn.XLOOKUP(G448,Lookup!$P$2:$P$28,Lookup!$Q$2:$Q$28)*(1+MIN(X448*3%,30%))</f>
        <v>47700</v>
      </c>
      <c r="M448" s="24">
        <f t="shared" ca="1" si="97"/>
        <v>2</v>
      </c>
      <c r="N448" s="24">
        <f t="shared" ca="1" si="88"/>
        <v>62</v>
      </c>
      <c r="O448" s="24">
        <f t="shared" ca="1" si="89"/>
        <v>4</v>
      </c>
      <c r="P448" s="24">
        <f t="shared" ca="1" si="90"/>
        <v>11</v>
      </c>
      <c r="Q448" s="16" t="str">
        <f t="shared" ca="1" si="91"/>
        <v>Promoted</v>
      </c>
      <c r="R448" s="16" t="str" cm="1">
        <f t="array" ref="R448" ca="1">INDEX(Lookup!$E$2:$E$6,RANDBETWEEN(1,5))</f>
        <v>Dipolma</v>
      </c>
      <c r="S448" s="16" t="str" cm="1">
        <f t="array" ref="S448" ca="1">INDEX(Lookup!$J$2:$J$11,RANDBETWEEN(1,10))</f>
        <v>Sarah Johnson</v>
      </c>
      <c r="T448" s="16" t="str">
        <f t="shared" ca="1" si="92"/>
        <v>michael.lewis@hranalytics.com</v>
      </c>
      <c r="U448" s="16" t="str">
        <f t="shared" ca="1" si="93"/>
        <v>0874985835</v>
      </c>
      <c r="V448" s="16" t="str" cm="1">
        <f t="array" ref="V448" ca="1">_xlfn.LET(_xlpm.r,RANDBETWEEN(1,100),_xlfn.IFS(_xlpm.r&lt;=70,"Full-Time",_xlpm.r&lt;=85,"Part-Time",_xlpm.r&lt;=95,"Contract",TRUE,"Intern"))</f>
        <v>Part-Time</v>
      </c>
      <c r="W448" s="16" cm="1">
        <f t="array" ref="W448" ca="1">IF(K448&lt;&gt;"Active",0,_xlfn.IFS(M448=5,L448*15%,M448=4,L448*10%,M448=3,L448*5%,M448=2,L448*2%,TRUE,0))</f>
        <v>0</v>
      </c>
      <c r="X448" s="24">
        <f t="shared" ca="1" si="94"/>
        <v>7</v>
      </c>
      <c r="Y448" s="24">
        <f t="shared" ca="1" si="95"/>
        <v>3</v>
      </c>
    </row>
    <row r="449" spans="1:25">
      <c r="A449" s="16" t="str">
        <f t="shared" si="96"/>
        <v>EMP448</v>
      </c>
      <c r="B449" s="16" t="str" cm="1">
        <f t="array" ref="B449" ca="1">IF(D449="Male",INDEX(Lookup!$L$2:$L$13,RANDBETWEEN(1,12)),IF(D449="Female",INDEX(Lookup!$M$2:$M$13,RANDBETWEEN(1,12)),INDEX(Lookup!$N$2:$N$13,RANDBETWEEN(1,12))))</f>
        <v>Ava</v>
      </c>
      <c r="C449" s="16" t="str" cm="1">
        <f t="array" ref="C449" ca="1">INDEX(Lookup!$K$2:$K$31,RANDBETWEEN(1,30))</f>
        <v>White</v>
      </c>
      <c r="D449" s="16" t="str" cm="1">
        <f t="array" ref="D449" ca="1">INDEX(Lookup!$H$2:$H$4,RANDBETWEEN(1,3))</f>
        <v>Female</v>
      </c>
      <c r="E449" s="16">
        <f t="shared" ca="1" si="84"/>
        <v>34</v>
      </c>
      <c r="F449" s="16" t="str" cm="1">
        <f t="array" ref="F449" ca="1">INDEX(Lookup!$A$2:$A$10,RANDBETWEEN(1,9))</f>
        <v>Marketing</v>
      </c>
      <c r="G449" s="16" t="str" cm="1">
        <f t="array" ref="G449" ca="1">_xlfn.LET(_xlpm.Roles,_xlfn._xlws.FILTER(Lookup!$P$2:$P$28,Lookup!$O$2:$O$28=F449),INDEX(_xlpm.Roles,RANDBETWEEN(1,ROWS(_xlpm.Roles))))</f>
        <v>Brand Executive</v>
      </c>
      <c r="H449" s="16" t="str" cm="1">
        <f t="array" ref="H449" ca="1">INDEX(Lookup!$B$2:$B$7,RANDBETWEEN(1,6))</f>
        <v>Waterford</v>
      </c>
      <c r="I449" s="22">
        <f t="shared" ca="1" si="85"/>
        <v>44192</v>
      </c>
      <c r="J449" s="22" t="str">
        <f t="shared" ca="1" si="86"/>
        <v/>
      </c>
      <c r="K449" s="16" t="str">
        <f t="shared" ca="1" si="87"/>
        <v>Active</v>
      </c>
      <c r="L449" s="26">
        <f ca="1">_xlfn.XLOOKUP(G449,Lookup!$P$2:$P$28,Lookup!$Q$2:$Q$28)*(1+MIN(X449*3%,30%))</f>
        <v>54280</v>
      </c>
      <c r="M449" s="24">
        <f t="shared" ca="1" si="97"/>
        <v>3</v>
      </c>
      <c r="N449" s="24">
        <f t="shared" ca="1" si="88"/>
        <v>23</v>
      </c>
      <c r="O449" s="24">
        <f t="shared" ca="1" si="89"/>
        <v>6</v>
      </c>
      <c r="P449" s="24">
        <f t="shared" ca="1" si="90"/>
        <v>28</v>
      </c>
      <c r="Q449" s="16" t="str">
        <f t="shared" ca="1" si="91"/>
        <v>Promoted</v>
      </c>
      <c r="R449" s="16" t="str" cm="1">
        <f t="array" ref="R449" ca="1">INDEX(Lookup!$E$2:$E$6,RANDBETWEEN(1,5))</f>
        <v>Bachelor's</v>
      </c>
      <c r="S449" s="16" t="str" cm="1">
        <f t="array" ref="S449" ca="1">INDEX(Lookup!$J$2:$J$11,RANDBETWEEN(1,10))</f>
        <v>Grace O'Connor</v>
      </c>
      <c r="T449" s="16" t="str">
        <f t="shared" ca="1" si="92"/>
        <v>ava.white@hranalytics.com</v>
      </c>
      <c r="U449" s="16" t="str">
        <f t="shared" ca="1" si="93"/>
        <v>0863664272</v>
      </c>
      <c r="V449" s="16" t="str" cm="1">
        <f t="array" ref="V449" ca="1">_xlfn.LET(_xlpm.r,RANDBETWEEN(1,100),_xlfn.IFS(_xlpm.r&lt;=70,"Full-Time",_xlpm.r&lt;=85,"Part-Time",_xlpm.r&lt;=95,"Contract",TRUE,"Intern"))</f>
        <v>Contract</v>
      </c>
      <c r="W449" s="16" cm="1">
        <f t="array" ref="W449" ca="1">IF(K449&lt;&gt;"Active",0,_xlfn.IFS(M449=5,L449*15%,M449=4,L449*10%,M449=3,L449*5%,M449=2,L449*2%,TRUE,0))</f>
        <v>8142</v>
      </c>
      <c r="X449" s="24">
        <f t="shared" ca="1" si="94"/>
        <v>5</v>
      </c>
      <c r="Y449" s="24">
        <f t="shared" ca="1" si="95"/>
        <v>2</v>
      </c>
    </row>
    <row r="450" spans="1:25">
      <c r="A450" s="16" t="str">
        <f t="shared" si="96"/>
        <v>EMP449</v>
      </c>
      <c r="B450" s="16" t="str" cm="1">
        <f t="array" ref="B450" ca="1">IF(D450="Male",INDEX(Lookup!$L$2:$L$13,RANDBETWEEN(1,12)),IF(D450="Female",INDEX(Lookup!$M$2:$M$13,RANDBETWEEN(1,12)),INDEX(Lookup!$N$2:$N$13,RANDBETWEEN(1,12))))</f>
        <v>Casey</v>
      </c>
      <c r="C450" s="16" t="str" cm="1">
        <f t="array" ref="C450" ca="1">INDEX(Lookup!$K$2:$K$31,RANDBETWEEN(1,30))</f>
        <v>Moore</v>
      </c>
      <c r="D450" s="16" t="str" cm="1">
        <f t="array" ref="D450" ca="1">INDEX(Lookup!$H$2:$H$4,RANDBETWEEN(1,3))</f>
        <v>Other</v>
      </c>
      <c r="E450" s="16">
        <f t="shared" ref="E450:E501" ca="1" si="98">RANDBETWEEN(21,60)</f>
        <v>41</v>
      </c>
      <c r="F450" s="16" t="str" cm="1">
        <f t="array" ref="F450" ca="1">INDEX(Lookup!$A$2:$A$10,RANDBETWEEN(1,9))</f>
        <v>Operations</v>
      </c>
      <c r="G450" s="16" t="str" cm="1">
        <f t="array" ref="G450" ca="1">_xlfn.LET(_xlpm.Roles,_xlfn._xlws.FILTER(Lookup!$P$2:$P$28,Lookup!$O$2:$O$28=F450),INDEX(_xlpm.Roles,RANDBETWEEN(1,ROWS(_xlpm.Roles))))</f>
        <v>Operations Coordinator</v>
      </c>
      <c r="H450" s="16" t="str" cm="1">
        <f t="array" ref="H450" ca="1">INDEX(Lookup!$B$2:$B$7,RANDBETWEEN(1,6))</f>
        <v>Galway</v>
      </c>
      <c r="I450" s="22">
        <f t="shared" ref="I450:I501" ca="1" si="99">DATE(RANDBETWEEN(2018,2025),RANDBETWEEN(1,12),RANDBETWEEN(1,28))</f>
        <v>45865</v>
      </c>
      <c r="J450" s="22" t="str">
        <f t="shared" ref="J450:J501" ca="1" si="100">IF(K450="Resigned",I450+RANDBETWEEN(180,2000),"")</f>
        <v/>
      </c>
      <c r="K450" s="16" t="str">
        <f t="shared" ref="K450:K501" ca="1" si="101">IF(RANDBETWEEN(1,10)&lt;=8,"Active","Resigned")</f>
        <v>Active</v>
      </c>
      <c r="L450" s="26">
        <f ca="1">_xlfn.XLOOKUP(G450,Lookup!$P$2:$P$28,Lookup!$Q$2:$Q$28)*(1+MIN(X450*3%,30%))</f>
        <v>49050</v>
      </c>
      <c r="M450" s="24">
        <f t="shared" ca="1" si="97"/>
        <v>1</v>
      </c>
      <c r="N450" s="24">
        <f t="shared" ref="N450:N501" ca="1" si="102">RANDBETWEEN(0,80)</f>
        <v>76</v>
      </c>
      <c r="O450" s="24">
        <f t="shared" ref="O450:O501" ca="1" si="103">RANDBETWEEN(0,20)</f>
        <v>18</v>
      </c>
      <c r="P450" s="24">
        <f t="shared" ref="P450:P501" ca="1" si="104">RANDBETWEEN(0,60)</f>
        <v>18</v>
      </c>
      <c r="Q450" s="16" t="str">
        <f t="shared" ref="Q450:Q501" ca="1" si="105">IF(AND(L450&gt;=4,X450&gt;=2,K450="Active"),"Promoted","Not Promoted")</f>
        <v>Promoted</v>
      </c>
      <c r="R450" s="16" t="str" cm="1">
        <f t="array" ref="R450" ca="1">INDEX(Lookup!$E$2:$E$6,RANDBETWEEN(1,5))</f>
        <v>High School</v>
      </c>
      <c r="S450" s="16" t="str" cm="1">
        <f t="array" ref="S450" ca="1">INDEX(Lookup!$J$2:$J$11,RANDBETWEEN(1,10))</f>
        <v>James Taylor</v>
      </c>
      <c r="T450" s="16" t="str">
        <f t="shared" ref="T450:T501" ca="1" si="106">LOWER(B450&amp;"."&amp;C450&amp;"@hranalytics.com")</f>
        <v>casey.moore@hranalytics.com</v>
      </c>
      <c r="U450" s="16" t="str">
        <f t="shared" ref="U450:U501" ca="1" si="107">"08"&amp;RANDBETWEEN(3,9)&amp;TEXT(RANDBETWEEN(1000000,9999999),"0000000")</f>
        <v>0887812104</v>
      </c>
      <c r="V450" s="16" t="str" cm="1">
        <f t="array" ref="V450" ca="1">_xlfn.LET(_xlpm.r,RANDBETWEEN(1,100),_xlfn.IFS(_xlpm.r&lt;=70,"Full-Time",_xlpm.r&lt;=85,"Part-Time",_xlpm.r&lt;=95,"Contract",TRUE,"Intern"))</f>
        <v>Full-Time</v>
      </c>
      <c r="W450" s="16" cm="1">
        <f t="array" ref="W450" ca="1">IF(K450&lt;&gt;"Active",0,_xlfn.IFS(M450=5,L450*15%,M450=4,L450*10%,M450=3,L450*5%,M450=2,L450*2%,TRUE,0))</f>
        <v>2452.5</v>
      </c>
      <c r="X450" s="24">
        <f t="shared" ref="X450:X501" ca="1" si="108">DATEDIF(I450,TODAY(),"Y")</f>
        <v>1</v>
      </c>
      <c r="Y450" s="24">
        <f t="shared" ref="Y450:Y501" ca="1" si="109">RANDBETWEEN(1,3)</f>
        <v>1</v>
      </c>
    </row>
    <row r="451" spans="1:25">
      <c r="A451" s="16" t="str">
        <f t="shared" ref="A451:A500" si="110">"EMP"&amp;TEXT(ROW()-1,"000")</f>
        <v>EMP450</v>
      </c>
      <c r="B451" s="16" t="str" cm="1">
        <f t="array" ref="B451" ca="1">IF(D451="Male",INDEX(Lookup!$L$2:$L$13,RANDBETWEEN(1,12)),IF(D451="Female",INDEX(Lookup!$M$2:$M$13,RANDBETWEEN(1,12)),INDEX(Lookup!$N$2:$N$13,RANDBETWEEN(1,12))))</f>
        <v>Robin</v>
      </c>
      <c r="C451" s="16" t="str" cm="1">
        <f t="array" ref="C451" ca="1">INDEX(Lookup!$K$2:$K$31,RANDBETWEEN(1,30))</f>
        <v>Turner</v>
      </c>
      <c r="D451" s="16" t="str" cm="1">
        <f t="array" ref="D451" ca="1">INDEX(Lookup!$H$2:$H$4,RANDBETWEEN(1,3))</f>
        <v>Other</v>
      </c>
      <c r="E451" s="16">
        <f t="shared" ca="1" si="98"/>
        <v>41</v>
      </c>
      <c r="F451" s="16" t="str" cm="1">
        <f t="array" ref="F451" ca="1">INDEX(Lookup!$A$2:$A$10,RANDBETWEEN(1,9))</f>
        <v>Customer Support</v>
      </c>
      <c r="G451" s="16" t="str" cm="1">
        <f t="array" ref="G451" ca="1">_xlfn.LET(_xlpm.Roles,_xlfn._xlws.FILTER(Lookup!$P$2:$P$28,Lookup!$O$2:$O$28=F451),INDEX(_xlpm.Roles,RANDBETWEEN(1,ROWS(_xlpm.Roles))))</f>
        <v>Technical Support Specialist</v>
      </c>
      <c r="H451" s="16" t="str" cm="1">
        <f t="array" ref="H451" ca="1">INDEX(Lookup!$B$2:$B$7,RANDBETWEEN(1,6))</f>
        <v>Waterford</v>
      </c>
      <c r="I451" s="22">
        <f t="shared" ca="1" si="99"/>
        <v>43673</v>
      </c>
      <c r="J451" s="22">
        <f t="shared" ca="1" si="100"/>
        <v>45378</v>
      </c>
      <c r="K451" s="16" t="str">
        <f t="shared" ca="1" si="101"/>
        <v>Resigned</v>
      </c>
      <c r="L451" s="26">
        <f ca="1">_xlfn.XLOOKUP(G451,Lookup!$P$2:$P$28,Lookup!$Q$2:$Q$28)*(1+MIN(X451*3%,30%))</f>
        <v>50400</v>
      </c>
      <c r="M451" s="24">
        <f t="shared" ref="M451:M501" ca="1" si="111">RANDBETWEEN(1,5)</f>
        <v>5</v>
      </c>
      <c r="N451" s="24">
        <f t="shared" ca="1" si="102"/>
        <v>20</v>
      </c>
      <c r="O451" s="24">
        <f t="shared" ca="1" si="103"/>
        <v>5</v>
      </c>
      <c r="P451" s="24">
        <f t="shared" ca="1" si="104"/>
        <v>30</v>
      </c>
      <c r="Q451" s="16" t="str">
        <f t="shared" ca="1" si="105"/>
        <v>Promoted</v>
      </c>
      <c r="R451" s="16" t="str" cm="1">
        <f t="array" ref="R451" ca="1">INDEX(Lookup!$E$2:$E$6,RANDBETWEEN(1,5))</f>
        <v>High School</v>
      </c>
      <c r="S451" s="16" t="str" cm="1">
        <f t="array" ref="S451" ca="1">INDEX(Lookup!$J$2:$J$11,RANDBETWEEN(1,10))</f>
        <v>Grace O'Connor</v>
      </c>
      <c r="T451" s="16" t="str">
        <f t="shared" ca="1" si="106"/>
        <v>robin.turner@hranalytics.com</v>
      </c>
      <c r="U451" s="16" t="str">
        <f t="shared" ca="1" si="107"/>
        <v>0891518229</v>
      </c>
      <c r="V451" s="16" t="str" cm="1">
        <f t="array" ref="V451" ca="1">_xlfn.LET(_xlpm.r,RANDBETWEEN(1,100),_xlfn.IFS(_xlpm.r&lt;=70,"Full-Time",_xlpm.r&lt;=85,"Part-Time",_xlpm.r&lt;=95,"Contract",TRUE,"Intern"))</f>
        <v>Contract</v>
      </c>
      <c r="W451" s="16" cm="1">
        <f t="array" ref="W451" ca="1">IF(K451&lt;&gt;"Active",0,_xlfn.IFS(M451=5,L451*15%,M451=4,L451*10%,M451=3,L451*5%,M451=2,L451*2%,TRUE,0))</f>
        <v>5040</v>
      </c>
      <c r="X451" s="24">
        <f t="shared" ca="1" si="108"/>
        <v>7</v>
      </c>
      <c r="Y451" s="24">
        <f t="shared" ca="1" si="109"/>
        <v>3</v>
      </c>
    </row>
    <row r="452" spans="1:25">
      <c r="A452" s="16" t="str">
        <f t="shared" si="110"/>
        <v>EMP451</v>
      </c>
      <c r="B452" s="16" t="str" cm="1">
        <f t="array" ref="B452" ca="1">IF(D452="Male",INDEX(Lookup!$L$2:$L$13,RANDBETWEEN(1,12)),IF(D452="Female",INDEX(Lookup!$M$2:$M$13,RANDBETWEEN(1,12)),INDEX(Lookup!$N$2:$N$13,RANDBETWEEN(1,12))))</f>
        <v>Leo</v>
      </c>
      <c r="C452" s="16" t="str" cm="1">
        <f t="array" ref="C452" ca="1">INDEX(Lookup!$K$2:$K$31,RANDBETWEEN(1,30))</f>
        <v>Campbell</v>
      </c>
      <c r="D452" s="16" t="str" cm="1">
        <f t="array" ref="D452" ca="1">INDEX(Lookup!$H$2:$H$4,RANDBETWEEN(1,3))</f>
        <v>Male</v>
      </c>
      <c r="E452" s="16">
        <f t="shared" ca="1" si="98"/>
        <v>28</v>
      </c>
      <c r="F452" s="16" t="str" cm="1">
        <f t="array" ref="F452" ca="1">INDEX(Lookup!$A$2:$A$10,RANDBETWEEN(1,9))</f>
        <v>HR</v>
      </c>
      <c r="G452" s="16" t="str" cm="1">
        <f t="array" ref="G452" ca="1">_xlfn.LET(_xlpm.Roles,_xlfn._xlws.FILTER(Lookup!$P$2:$P$28,Lookup!$O$2:$O$28=F452),INDEX(_xlpm.Roles,RANDBETWEEN(1,ROWS(_xlpm.Roles))))</f>
        <v>HR Assistant</v>
      </c>
      <c r="H452" s="16" t="str" cm="1">
        <f t="array" ref="H452" ca="1">INDEX(Lookup!$B$2:$B$7,RANDBETWEEN(1,6))</f>
        <v>Belfast</v>
      </c>
      <c r="I452" s="22">
        <f t="shared" ca="1" si="99"/>
        <v>43575</v>
      </c>
      <c r="J452" s="22">
        <f t="shared" ca="1" si="100"/>
        <v>44782</v>
      </c>
      <c r="K452" s="16" t="str">
        <f t="shared" ca="1" si="101"/>
        <v>Resigned</v>
      </c>
      <c r="L452" s="26">
        <f ca="1">_xlfn.XLOOKUP(G452,Lookup!$P$2:$P$28,Lookup!$Q$2:$Q$28)*(1+MIN(X452*3%,30%))</f>
        <v>37060</v>
      </c>
      <c r="M452" s="24">
        <f t="shared" ca="1" si="111"/>
        <v>2</v>
      </c>
      <c r="N452" s="24">
        <f t="shared" ca="1" si="102"/>
        <v>29</v>
      </c>
      <c r="O452" s="24">
        <f t="shared" ca="1" si="103"/>
        <v>18</v>
      </c>
      <c r="P452" s="24">
        <f t="shared" ca="1" si="104"/>
        <v>14</v>
      </c>
      <c r="Q452" s="16" t="str">
        <f t="shared" ca="1" si="105"/>
        <v>Promoted</v>
      </c>
      <c r="R452" s="16" t="str" cm="1">
        <f t="array" ref="R452" ca="1">INDEX(Lookup!$E$2:$E$6,RANDBETWEEN(1,5))</f>
        <v>Master's</v>
      </c>
      <c r="S452" s="16" t="str" cm="1">
        <f t="array" ref="S452" ca="1">INDEX(Lookup!$J$2:$J$11,RANDBETWEEN(1,10))</f>
        <v>Olivia Smith</v>
      </c>
      <c r="T452" s="16" t="str">
        <f t="shared" ca="1" si="106"/>
        <v>leo.campbell@hranalytics.com</v>
      </c>
      <c r="U452" s="16" t="str">
        <f t="shared" ca="1" si="107"/>
        <v>0833579122</v>
      </c>
      <c r="V452" s="16" t="str" cm="1">
        <f t="array" ref="V452" ca="1">_xlfn.LET(_xlpm.r,RANDBETWEEN(1,100),_xlfn.IFS(_xlpm.r&lt;=70,"Full-Time",_xlpm.r&lt;=85,"Part-Time",_xlpm.r&lt;=95,"Contract",TRUE,"Intern"))</f>
        <v>Contract</v>
      </c>
      <c r="W452" s="16" cm="1">
        <f t="array" ref="W452" ca="1">IF(K452&lt;&gt;"Active",0,_xlfn.IFS(M452=5,L452*15%,M452=4,L452*10%,M452=3,L452*5%,M452=2,L452*2%,TRUE,0))</f>
        <v>5559</v>
      </c>
      <c r="X452" s="24">
        <f t="shared" ca="1" si="108"/>
        <v>7</v>
      </c>
      <c r="Y452" s="24">
        <f t="shared" ca="1" si="109"/>
        <v>1</v>
      </c>
    </row>
    <row r="453" spans="1:25">
      <c r="A453" s="16" t="str">
        <f t="shared" si="110"/>
        <v>EMP452</v>
      </c>
      <c r="B453" s="16" t="str" cm="1">
        <f t="array" ref="B453" ca="1">IF(D453="Male",INDEX(Lookup!$L$2:$L$13,RANDBETWEEN(1,12)),IF(D453="Female",INDEX(Lookup!$M$2:$M$13,RANDBETWEEN(1,12)),INDEX(Lookup!$N$2:$N$13,RANDBETWEEN(1,12))))</f>
        <v>Mia</v>
      </c>
      <c r="C453" s="16" t="str" cm="1">
        <f t="array" ref="C453" ca="1">INDEX(Lookup!$K$2:$K$31,RANDBETWEEN(1,30))</f>
        <v>Evans</v>
      </c>
      <c r="D453" s="16" t="str" cm="1">
        <f t="array" ref="D453" ca="1">INDEX(Lookup!$H$2:$H$4,RANDBETWEEN(1,3))</f>
        <v>Female</v>
      </c>
      <c r="E453" s="16">
        <f t="shared" ca="1" si="98"/>
        <v>22</v>
      </c>
      <c r="F453" s="16" t="str" cm="1">
        <f t="array" ref="F453" ca="1">INDEX(Lookup!$A$2:$A$10,RANDBETWEEN(1,9))</f>
        <v>IT</v>
      </c>
      <c r="G453" s="16" t="str" cm="1">
        <f t="array" ref="G453" ca="1">_xlfn.LET(_xlpm.Roles,_xlfn._xlws.FILTER(Lookup!$P$2:$P$28,Lookup!$O$2:$O$28=F453),INDEX(_xlpm.Roles,RANDBETWEEN(1,ROWS(_xlpm.Roles))))</f>
        <v>Business Analyst</v>
      </c>
      <c r="H453" s="16" t="str" cm="1">
        <f t="array" ref="H453" ca="1">INDEX(Lookup!$B$2:$B$7,RANDBETWEEN(1,6))</f>
        <v>Galway</v>
      </c>
      <c r="I453" s="22">
        <f t="shared" ca="1" si="99"/>
        <v>44107</v>
      </c>
      <c r="J453" s="22" t="str">
        <f t="shared" ca="1" si="100"/>
        <v/>
      </c>
      <c r="K453" s="16" t="str">
        <f t="shared" ca="1" si="101"/>
        <v>Active</v>
      </c>
      <c r="L453" s="26">
        <f ca="1">_xlfn.XLOOKUP(G453,Lookup!$P$2:$P$28,Lookup!$Q$2:$Q$28)*(1+MIN(X453*3%,30%))</f>
        <v>69000</v>
      </c>
      <c r="M453" s="24">
        <f t="shared" ca="1" si="111"/>
        <v>1</v>
      </c>
      <c r="N453" s="24">
        <f t="shared" ca="1" si="102"/>
        <v>64</v>
      </c>
      <c r="O453" s="24">
        <f t="shared" ca="1" si="103"/>
        <v>4</v>
      </c>
      <c r="P453" s="24">
        <f t="shared" ca="1" si="104"/>
        <v>60</v>
      </c>
      <c r="Q453" s="16" t="str">
        <f t="shared" ca="1" si="105"/>
        <v>Promoted</v>
      </c>
      <c r="R453" s="16" t="str" cm="1">
        <f t="array" ref="R453" ca="1">INDEX(Lookup!$E$2:$E$6,RANDBETWEEN(1,5))</f>
        <v>Bachelor's</v>
      </c>
      <c r="S453" s="16" t="str" cm="1">
        <f t="array" ref="S453" ca="1">INDEX(Lookup!$J$2:$J$11,RANDBETWEEN(1,10))</f>
        <v>Olivia Smith</v>
      </c>
      <c r="T453" s="16" t="str">
        <f t="shared" ca="1" si="106"/>
        <v>mia.evans@hranalytics.com</v>
      </c>
      <c r="U453" s="16" t="str">
        <f t="shared" ca="1" si="107"/>
        <v>0882462774</v>
      </c>
      <c r="V453" s="16" t="str" cm="1">
        <f t="array" ref="V453" ca="1">_xlfn.LET(_xlpm.r,RANDBETWEEN(1,100),_xlfn.IFS(_xlpm.r&lt;=70,"Full-Time",_xlpm.r&lt;=85,"Part-Time",_xlpm.r&lt;=95,"Contract",TRUE,"Intern"))</f>
        <v>Part-Time</v>
      </c>
      <c r="W453" s="16" cm="1">
        <f t="array" ref="W453" ca="1">IF(K453&lt;&gt;"Active",0,_xlfn.IFS(M453=5,L453*15%,M453=4,L453*10%,M453=3,L453*5%,M453=2,L453*2%,TRUE,0))</f>
        <v>3450</v>
      </c>
      <c r="X453" s="24">
        <f t="shared" ca="1" si="108"/>
        <v>5</v>
      </c>
      <c r="Y453" s="24">
        <f t="shared" ca="1" si="109"/>
        <v>1</v>
      </c>
    </row>
    <row r="454" spans="1:25">
      <c r="A454" s="16" t="str">
        <f t="shared" si="110"/>
        <v>EMP453</v>
      </c>
      <c r="B454" s="16" t="str" cm="1">
        <f t="array" ref="B454" ca="1">IF(D454="Male",INDEX(Lookup!$L$2:$L$13,RANDBETWEEN(1,12)),IF(D454="Female",INDEX(Lookup!$M$2:$M$13,RANDBETWEEN(1,12)),INDEX(Lookup!$N$2:$N$13,RANDBETWEEN(1,12))))</f>
        <v>Amelia</v>
      </c>
      <c r="C454" s="16" t="str" cm="1">
        <f t="array" ref="C454" ca="1">INDEX(Lookup!$K$2:$K$31,RANDBETWEEN(1,30))</f>
        <v>Baker</v>
      </c>
      <c r="D454" s="16" t="str" cm="1">
        <f t="array" ref="D454" ca="1">INDEX(Lookup!$H$2:$H$4,RANDBETWEEN(1,3))</f>
        <v>Female</v>
      </c>
      <c r="E454" s="16">
        <f t="shared" ca="1" si="98"/>
        <v>23</v>
      </c>
      <c r="F454" s="16" t="str" cm="1">
        <f t="array" ref="F454" ca="1">INDEX(Lookup!$A$2:$A$10,RANDBETWEEN(1,9))</f>
        <v>Finance</v>
      </c>
      <c r="G454" s="16" t="str" cm="1">
        <f t="array" ref="G454" ca="1">_xlfn.LET(_xlpm.Roles,_xlfn._xlws.FILTER(Lookup!$P$2:$P$28,Lookup!$O$2:$O$28=F454),INDEX(_xlpm.Roles,RANDBETWEEN(1,ROWS(_xlpm.Roles))))</f>
        <v>Payroll Officer</v>
      </c>
      <c r="H454" s="16" t="str" cm="1">
        <f t="array" ref="H454" ca="1">INDEX(Lookup!$B$2:$B$7,RANDBETWEEN(1,6))</f>
        <v>Waterford</v>
      </c>
      <c r="I454" s="22">
        <f t="shared" ca="1" si="99"/>
        <v>44903</v>
      </c>
      <c r="J454" s="22" t="str">
        <f t="shared" ca="1" si="100"/>
        <v/>
      </c>
      <c r="K454" s="16" t="str">
        <f t="shared" ca="1" si="101"/>
        <v>Active</v>
      </c>
      <c r="L454" s="26">
        <f ca="1">_xlfn.XLOOKUP(G454,Lookup!$P$2:$P$28,Lookup!$Q$2:$Q$28)*(1+MIN(X454*3%,30%))</f>
        <v>47700</v>
      </c>
      <c r="M454" s="24">
        <f t="shared" ca="1" si="111"/>
        <v>1</v>
      </c>
      <c r="N454" s="24">
        <f t="shared" ca="1" si="102"/>
        <v>40</v>
      </c>
      <c r="O454" s="24">
        <f t="shared" ca="1" si="103"/>
        <v>20</v>
      </c>
      <c r="P454" s="24">
        <f t="shared" ca="1" si="104"/>
        <v>46</v>
      </c>
      <c r="Q454" s="16" t="str">
        <f t="shared" ca="1" si="105"/>
        <v>Not Promoted</v>
      </c>
      <c r="R454" s="16" t="str" cm="1">
        <f t="array" ref="R454" ca="1">INDEX(Lookup!$E$2:$E$6,RANDBETWEEN(1,5))</f>
        <v>PhD</v>
      </c>
      <c r="S454" s="16" t="str" cm="1">
        <f t="array" ref="S454" ca="1">INDEX(Lookup!$J$2:$J$11,RANDBETWEEN(1,10))</f>
        <v>Grace O'Connor</v>
      </c>
      <c r="T454" s="16" t="str">
        <f t="shared" ca="1" si="106"/>
        <v>amelia.baker@hranalytics.com</v>
      </c>
      <c r="U454" s="16" t="str">
        <f t="shared" ca="1" si="107"/>
        <v>0891369442</v>
      </c>
      <c r="V454" s="16" t="str" cm="1">
        <f t="array" ref="V454" ca="1">_xlfn.LET(_xlpm.r,RANDBETWEEN(1,100),_xlfn.IFS(_xlpm.r&lt;=70,"Full-Time",_xlpm.r&lt;=85,"Part-Time",_xlpm.r&lt;=95,"Contract",TRUE,"Intern"))</f>
        <v>Full-Time</v>
      </c>
      <c r="W454" s="16" cm="1">
        <f t="array" ref="W454" ca="1">IF(K454&lt;&gt;"Active",0,_xlfn.IFS(M454=5,L454*15%,M454=4,L454*10%,M454=3,L454*5%,M454=2,L454*2%,TRUE,0))</f>
        <v>0</v>
      </c>
      <c r="X454" s="24">
        <f t="shared" ca="1" si="108"/>
        <v>3</v>
      </c>
      <c r="Y454" s="24">
        <f t="shared" ca="1" si="109"/>
        <v>1</v>
      </c>
    </row>
    <row r="455" spans="1:25">
      <c r="A455" s="16" t="str">
        <f t="shared" si="110"/>
        <v>EMP454</v>
      </c>
      <c r="B455" s="16" t="str" cm="1">
        <f t="array" ref="B455" ca="1">IF(D455="Male",INDEX(Lookup!$L$2:$L$13,RANDBETWEEN(1,12)),IF(D455="Female",INDEX(Lookup!$M$2:$M$13,RANDBETWEEN(1,12)),INDEX(Lookup!$N$2:$N$13,RANDBETWEEN(1,12))))</f>
        <v>David</v>
      </c>
      <c r="C455" s="16" t="str" cm="1">
        <f t="array" ref="C455" ca="1">INDEX(Lookup!$K$2:$K$31,RANDBETWEEN(1,30))</f>
        <v>Cooper</v>
      </c>
      <c r="D455" s="16" t="str" cm="1">
        <f t="array" ref="D455" ca="1">INDEX(Lookup!$H$2:$H$4,RANDBETWEEN(1,3))</f>
        <v>Male</v>
      </c>
      <c r="E455" s="16">
        <f t="shared" ca="1" si="98"/>
        <v>40</v>
      </c>
      <c r="F455" s="16" t="str" cm="1">
        <f t="array" ref="F455" ca="1">INDEX(Lookup!$A$2:$A$10,RANDBETWEEN(1,9))</f>
        <v>Legal</v>
      </c>
      <c r="G455" s="16" t="str" cm="1">
        <f t="array" ref="G455" ca="1">_xlfn.LET(_xlpm.Roles,_xlfn._xlws.FILTER(Lookup!$P$2:$P$28,Lookup!$O$2:$O$28=F455),INDEX(_xlpm.Roles,RANDBETWEEN(1,ROWS(_xlpm.Roles))))</f>
        <v>Legal Assistant</v>
      </c>
      <c r="H455" s="16" t="str" cm="1">
        <f t="array" ref="H455" ca="1">INDEX(Lookup!$B$2:$B$7,RANDBETWEEN(1,6))</f>
        <v>Limerick</v>
      </c>
      <c r="I455" s="22">
        <f t="shared" ca="1" si="99"/>
        <v>45864</v>
      </c>
      <c r="J455" s="22" t="str">
        <f t="shared" ca="1" si="100"/>
        <v/>
      </c>
      <c r="K455" s="16" t="str">
        <f t="shared" ca="1" si="101"/>
        <v>Active</v>
      </c>
      <c r="L455" s="26">
        <f ca="1">_xlfn.XLOOKUP(G455,Lookup!$P$2:$P$28,Lookup!$Q$2:$Q$28)*(1+MIN(X455*3%,30%))</f>
        <v>43260</v>
      </c>
      <c r="M455" s="24">
        <f t="shared" ca="1" si="111"/>
        <v>4</v>
      </c>
      <c r="N455" s="24">
        <f t="shared" ca="1" si="102"/>
        <v>17</v>
      </c>
      <c r="O455" s="24">
        <f t="shared" ca="1" si="103"/>
        <v>18</v>
      </c>
      <c r="P455" s="24">
        <f t="shared" ca="1" si="104"/>
        <v>59</v>
      </c>
      <c r="Q455" s="16" t="str">
        <f t="shared" ca="1" si="105"/>
        <v>Not Promoted</v>
      </c>
      <c r="R455" s="16" t="str" cm="1">
        <f t="array" ref="R455" ca="1">INDEX(Lookup!$E$2:$E$6,RANDBETWEEN(1,5))</f>
        <v>High School</v>
      </c>
      <c r="S455" s="16" t="str" cm="1">
        <f t="array" ref="S455" ca="1">INDEX(Lookup!$J$2:$J$11,RANDBETWEEN(1,10))</f>
        <v>Emma Wilson</v>
      </c>
      <c r="T455" s="16" t="str">
        <f t="shared" ca="1" si="106"/>
        <v>david.cooper@hranalytics.com</v>
      </c>
      <c r="U455" s="16" t="str">
        <f t="shared" ca="1" si="107"/>
        <v>0864071351</v>
      </c>
      <c r="V455" s="16" t="str" cm="1">
        <f t="array" ref="V455" ca="1">_xlfn.LET(_xlpm.r,RANDBETWEEN(1,100),_xlfn.IFS(_xlpm.r&lt;=70,"Full-Time",_xlpm.r&lt;=85,"Part-Time",_xlpm.r&lt;=95,"Contract",TRUE,"Intern"))</f>
        <v>Full-Time</v>
      </c>
      <c r="W455" s="16" cm="1">
        <f t="array" ref="W455" ca="1">IF(K455&lt;&gt;"Active",0,_xlfn.IFS(M455=5,L455*15%,M455=4,L455*10%,M455=3,L455*5%,M455=2,L455*2%,TRUE,0))</f>
        <v>2163</v>
      </c>
      <c r="X455" s="24">
        <f t="shared" ca="1" si="108"/>
        <v>1</v>
      </c>
      <c r="Y455" s="24">
        <f t="shared" ca="1" si="109"/>
        <v>1</v>
      </c>
    </row>
    <row r="456" spans="1:25">
      <c r="A456" s="16" t="str">
        <f t="shared" si="110"/>
        <v>EMP455</v>
      </c>
      <c r="B456" s="16" t="str" cm="1">
        <f t="array" ref="B456" ca="1">IF(D456="Male",INDEX(Lookup!$L$2:$L$13,RANDBETWEEN(1,12)),IF(D456="Female",INDEX(Lookup!$M$2:$M$13,RANDBETWEEN(1,12)),INDEX(Lookup!$N$2:$N$13,RANDBETWEEN(1,12))))</f>
        <v>William</v>
      </c>
      <c r="C456" s="16" t="str" cm="1">
        <f t="array" ref="C456" ca="1">INDEX(Lookup!$K$2:$K$31,RANDBETWEEN(1,30))</f>
        <v>Green</v>
      </c>
      <c r="D456" s="16" t="str" cm="1">
        <f t="array" ref="D456" ca="1">INDEX(Lookup!$H$2:$H$4,RANDBETWEEN(1,3))</f>
        <v>Male</v>
      </c>
      <c r="E456" s="16">
        <f t="shared" ca="1" si="98"/>
        <v>33</v>
      </c>
      <c r="F456" s="16" t="str" cm="1">
        <f t="array" ref="F456" ca="1">INDEX(Lookup!$A$2:$A$10,RANDBETWEEN(1,9))</f>
        <v>IT</v>
      </c>
      <c r="G456" s="16" t="str" cm="1">
        <f t="array" ref="G456" ca="1">_xlfn.LET(_xlpm.Roles,_xlfn._xlws.FILTER(Lookup!$P$2:$P$28,Lookup!$O$2:$O$28=F456),INDEX(_xlpm.Roles,RANDBETWEEN(1,ROWS(_xlpm.Roles))))</f>
        <v>IT Support Specialist</v>
      </c>
      <c r="H456" s="16" t="str" cm="1">
        <f t="array" ref="H456" ca="1">INDEX(Lookup!$B$2:$B$7,RANDBETWEEN(1,6))</f>
        <v>Belfast</v>
      </c>
      <c r="I456" s="22">
        <f t="shared" ca="1" si="99"/>
        <v>44816</v>
      </c>
      <c r="J456" s="22" t="str">
        <f t="shared" ca="1" si="100"/>
        <v/>
      </c>
      <c r="K456" s="16" t="str">
        <f t="shared" ca="1" si="101"/>
        <v>Active</v>
      </c>
      <c r="L456" s="26">
        <f ca="1">_xlfn.XLOOKUP(G456,Lookup!$P$2:$P$28,Lookup!$Q$2:$Q$28)*(1+MIN(X456*3%,30%))</f>
        <v>55200</v>
      </c>
      <c r="M456" s="24">
        <f t="shared" ca="1" si="111"/>
        <v>5</v>
      </c>
      <c r="N456" s="24">
        <f t="shared" ca="1" si="102"/>
        <v>46</v>
      </c>
      <c r="O456" s="24">
        <f t="shared" ca="1" si="103"/>
        <v>11</v>
      </c>
      <c r="P456" s="24">
        <f t="shared" ca="1" si="104"/>
        <v>55</v>
      </c>
      <c r="Q456" s="16" t="str">
        <f t="shared" ca="1" si="105"/>
        <v>Promoted</v>
      </c>
      <c r="R456" s="16" t="str" cm="1">
        <f t="array" ref="R456" ca="1">INDEX(Lookup!$E$2:$E$6,RANDBETWEEN(1,5))</f>
        <v>Bachelor's</v>
      </c>
      <c r="S456" s="16" t="str" cm="1">
        <f t="array" ref="S456" ca="1">INDEX(Lookup!$J$2:$J$11,RANDBETWEEN(1,10))</f>
        <v>Liam Byrne</v>
      </c>
      <c r="T456" s="16" t="str">
        <f t="shared" ca="1" si="106"/>
        <v>william.green@hranalytics.com</v>
      </c>
      <c r="U456" s="16" t="str">
        <f t="shared" ca="1" si="107"/>
        <v>0861426530</v>
      </c>
      <c r="V456" s="16" t="str" cm="1">
        <f t="array" ref="V456" ca="1">_xlfn.LET(_xlpm.r,RANDBETWEEN(1,100),_xlfn.IFS(_xlpm.r&lt;=70,"Full-Time",_xlpm.r&lt;=85,"Part-Time",_xlpm.r&lt;=95,"Contract",TRUE,"Intern"))</f>
        <v>Full-Time</v>
      </c>
      <c r="W456" s="16" cm="1">
        <f t="array" ref="W456" ca="1">IF(K456&lt;&gt;"Active",0,_xlfn.IFS(M456=5,L456*15%,M456=4,L456*10%,M456=3,L456*5%,M456=2,L456*2%,TRUE,0))</f>
        <v>8280</v>
      </c>
      <c r="X456" s="24">
        <f t="shared" ca="1" si="108"/>
        <v>3</v>
      </c>
      <c r="Y456" s="24">
        <f t="shared" ca="1" si="109"/>
        <v>1</v>
      </c>
    </row>
    <row r="457" spans="1:25">
      <c r="A457" s="16" t="str">
        <f t="shared" si="110"/>
        <v>EMP456</v>
      </c>
      <c r="B457" s="16" t="str" cm="1">
        <f t="array" ref="B457" ca="1">IF(D457="Male",INDEX(Lookup!$L$2:$L$13,RANDBETWEEN(1,12)),IF(D457="Female",INDEX(Lookup!$M$2:$M$13,RANDBETWEEN(1,12)),INDEX(Lookup!$N$2:$N$13,RANDBETWEEN(1,12))))</f>
        <v>David</v>
      </c>
      <c r="C457" s="16" t="str" cm="1">
        <f t="array" ref="C457" ca="1">INDEX(Lookup!$K$2:$K$31,RANDBETWEEN(1,30))</f>
        <v>White</v>
      </c>
      <c r="D457" s="16" t="str" cm="1">
        <f t="array" ref="D457" ca="1">INDEX(Lookup!$H$2:$H$4,RANDBETWEEN(1,3))</f>
        <v>Male</v>
      </c>
      <c r="E457" s="16">
        <f t="shared" ca="1" si="98"/>
        <v>23</v>
      </c>
      <c r="F457" s="16" t="str" cm="1">
        <f t="array" ref="F457" ca="1">INDEX(Lookup!$A$2:$A$10,RANDBETWEEN(1,9))</f>
        <v>Legal</v>
      </c>
      <c r="G457" s="16" t="str" cm="1">
        <f t="array" ref="G457" ca="1">_xlfn.LET(_xlpm.Roles,_xlfn._xlws.FILTER(Lookup!$P$2:$P$28,Lookup!$O$2:$O$28=F457),INDEX(_xlpm.Roles,RANDBETWEEN(1,ROWS(_xlpm.Roles))))</f>
        <v>Legal Executive</v>
      </c>
      <c r="H457" s="16" t="str" cm="1">
        <f t="array" ref="H457" ca="1">INDEX(Lookup!$B$2:$B$7,RANDBETWEEN(1,6))</f>
        <v>Galway</v>
      </c>
      <c r="I457" s="22">
        <f t="shared" ca="1" si="99"/>
        <v>45398</v>
      </c>
      <c r="J457" s="22" t="str">
        <f t="shared" ca="1" si="100"/>
        <v/>
      </c>
      <c r="K457" s="16" t="str">
        <f t="shared" ca="1" si="101"/>
        <v>Active</v>
      </c>
      <c r="L457" s="26">
        <f ca="1">_xlfn.XLOOKUP(G457,Lookup!$P$2:$P$28,Lookup!$Q$2:$Q$28)*(1+MIN(X457*3%,30%))</f>
        <v>55120</v>
      </c>
      <c r="M457" s="24">
        <f t="shared" ca="1" si="111"/>
        <v>3</v>
      </c>
      <c r="N457" s="24">
        <f t="shared" ca="1" si="102"/>
        <v>78</v>
      </c>
      <c r="O457" s="24">
        <f t="shared" ca="1" si="103"/>
        <v>17</v>
      </c>
      <c r="P457" s="24">
        <f t="shared" ca="1" si="104"/>
        <v>12</v>
      </c>
      <c r="Q457" s="16" t="str">
        <f t="shared" ca="1" si="105"/>
        <v>Promoted</v>
      </c>
      <c r="R457" s="16" t="str" cm="1">
        <f t="array" ref="R457" ca="1">INDEX(Lookup!$E$2:$E$6,RANDBETWEEN(1,5))</f>
        <v>High School</v>
      </c>
      <c r="S457" s="16" t="str" cm="1">
        <f t="array" ref="S457" ca="1">INDEX(Lookup!$J$2:$J$11,RANDBETWEEN(1,10))</f>
        <v>James Taylor</v>
      </c>
      <c r="T457" s="16" t="str">
        <f t="shared" ca="1" si="106"/>
        <v>david.white@hranalytics.com</v>
      </c>
      <c r="U457" s="16" t="str">
        <f t="shared" ca="1" si="107"/>
        <v>0855048282</v>
      </c>
      <c r="V457" s="16" t="str" cm="1">
        <f t="array" ref="V457" ca="1">_xlfn.LET(_xlpm.r,RANDBETWEEN(1,100),_xlfn.IFS(_xlpm.r&lt;=70,"Full-Time",_xlpm.r&lt;=85,"Part-Time",_xlpm.r&lt;=95,"Contract",TRUE,"Intern"))</f>
        <v>Intern</v>
      </c>
      <c r="W457" s="16" cm="1">
        <f t="array" ref="W457" ca="1">IF(K457&lt;&gt;"Active",0,_xlfn.IFS(M457=5,L457*15%,M457=4,L457*10%,M457=3,L457*5%,M457=2,L457*2%,TRUE,0))</f>
        <v>5512</v>
      </c>
      <c r="X457" s="24">
        <f t="shared" ca="1" si="108"/>
        <v>2</v>
      </c>
      <c r="Y457" s="24">
        <f t="shared" ca="1" si="109"/>
        <v>3</v>
      </c>
    </row>
    <row r="458" spans="1:25">
      <c r="A458" s="16" t="str">
        <f t="shared" si="110"/>
        <v>EMP457</v>
      </c>
      <c r="B458" s="16" t="str" cm="1">
        <f t="array" ref="B458" ca="1">IF(D458="Male",INDEX(Lookup!$L$2:$L$13,RANDBETWEEN(1,12)),IF(D458="Female",INDEX(Lookup!$M$2:$M$13,RANDBETWEEN(1,12)),INDEX(Lookup!$N$2:$N$13,RANDBETWEEN(1,12))))</f>
        <v>Sophia</v>
      </c>
      <c r="C458" s="16" t="str" cm="1">
        <f t="array" ref="C458" ca="1">INDEX(Lookup!$K$2:$K$31,RANDBETWEEN(1,30))</f>
        <v>Hill</v>
      </c>
      <c r="D458" s="16" t="str" cm="1">
        <f t="array" ref="D458" ca="1">INDEX(Lookup!$H$2:$H$4,RANDBETWEEN(1,3))</f>
        <v>Female</v>
      </c>
      <c r="E458" s="16">
        <f t="shared" ca="1" si="98"/>
        <v>23</v>
      </c>
      <c r="F458" s="16" t="str" cm="1">
        <f t="array" ref="F458" ca="1">INDEX(Lookup!$A$2:$A$10,RANDBETWEEN(1,9))</f>
        <v>Procurement</v>
      </c>
      <c r="G458" s="16" t="str" cm="1">
        <f t="array" ref="G458" ca="1">_xlfn.LET(_xlpm.Roles,_xlfn._xlws.FILTER(Lookup!$P$2:$P$28,Lookup!$O$2:$O$28=F458),INDEX(_xlpm.Roles,RANDBETWEEN(1,ROWS(_xlpm.Roles))))</f>
        <v>Procurement Officer</v>
      </c>
      <c r="H458" s="16" t="str" cm="1">
        <f t="array" ref="H458" ca="1">INDEX(Lookup!$B$2:$B$7,RANDBETWEEN(1,6))</f>
        <v>Dublin</v>
      </c>
      <c r="I458" s="22">
        <f t="shared" ca="1" si="99"/>
        <v>45049</v>
      </c>
      <c r="J458" s="22" t="str">
        <f t="shared" ca="1" si="100"/>
        <v/>
      </c>
      <c r="K458" s="16" t="str">
        <f t="shared" ca="1" si="101"/>
        <v>Active</v>
      </c>
      <c r="L458" s="26">
        <f ca="1">_xlfn.XLOOKUP(G458,Lookup!$P$2:$P$28,Lookup!$Q$2:$Q$28)*(1+MIN(X458*3%,30%))</f>
        <v>50400</v>
      </c>
      <c r="M458" s="24">
        <f t="shared" ca="1" si="111"/>
        <v>4</v>
      </c>
      <c r="N458" s="24">
        <f t="shared" ca="1" si="102"/>
        <v>73</v>
      </c>
      <c r="O458" s="24">
        <f t="shared" ca="1" si="103"/>
        <v>3</v>
      </c>
      <c r="P458" s="24">
        <f t="shared" ca="1" si="104"/>
        <v>12</v>
      </c>
      <c r="Q458" s="16" t="str">
        <f t="shared" ca="1" si="105"/>
        <v>Promoted</v>
      </c>
      <c r="R458" s="16" t="str" cm="1">
        <f t="array" ref="R458" ca="1">INDEX(Lookup!$E$2:$E$6,RANDBETWEEN(1,5))</f>
        <v>High School</v>
      </c>
      <c r="S458" s="16" t="str" cm="1">
        <f t="array" ref="S458" ca="1">INDEX(Lookup!$J$2:$J$11,RANDBETWEEN(1,10))</f>
        <v>Sarah Johnson</v>
      </c>
      <c r="T458" s="16" t="str">
        <f t="shared" ca="1" si="106"/>
        <v>sophia.hill@hranalytics.com</v>
      </c>
      <c r="U458" s="16" t="str">
        <f t="shared" ca="1" si="107"/>
        <v>0855263547</v>
      </c>
      <c r="V458" s="16" t="str" cm="1">
        <f t="array" ref="V458" ca="1">_xlfn.LET(_xlpm.r,RANDBETWEEN(1,100),_xlfn.IFS(_xlpm.r&lt;=70,"Full-Time",_xlpm.r&lt;=85,"Part-Time",_xlpm.r&lt;=95,"Contract",TRUE,"Intern"))</f>
        <v>Full-Time</v>
      </c>
      <c r="W458" s="16" cm="1">
        <f t="array" ref="W458" ca="1">IF(K458&lt;&gt;"Active",0,_xlfn.IFS(M458=5,L458*15%,M458=4,L458*10%,M458=3,L458*5%,M458=2,L458*2%,TRUE,0))</f>
        <v>2520</v>
      </c>
      <c r="X458" s="24">
        <f t="shared" ca="1" si="108"/>
        <v>3</v>
      </c>
      <c r="Y458" s="24">
        <f t="shared" ca="1" si="109"/>
        <v>2</v>
      </c>
    </row>
    <row r="459" spans="1:25">
      <c r="A459" s="16" t="str">
        <f t="shared" si="110"/>
        <v>EMP458</v>
      </c>
      <c r="B459" s="16" t="str" cm="1">
        <f t="array" ref="B459" ca="1">IF(D459="Male",INDEX(Lookup!$L$2:$L$13,RANDBETWEEN(1,12)),IF(D459="Female",INDEX(Lookup!$M$2:$M$13,RANDBETWEEN(1,12)),INDEX(Lookup!$N$2:$N$13,RANDBETWEEN(1,12))))</f>
        <v>Casey</v>
      </c>
      <c r="C459" s="16" t="str" cm="1">
        <f t="array" ref="C459" ca="1">INDEX(Lookup!$K$2:$K$31,RANDBETWEEN(1,30))</f>
        <v>Johnson</v>
      </c>
      <c r="D459" s="16" t="str" cm="1">
        <f t="array" ref="D459" ca="1">INDEX(Lookup!$H$2:$H$4,RANDBETWEEN(1,3))</f>
        <v>Other</v>
      </c>
      <c r="E459" s="16">
        <f t="shared" ca="1" si="98"/>
        <v>26</v>
      </c>
      <c r="F459" s="16" t="str" cm="1">
        <f t="array" ref="F459" ca="1">INDEX(Lookup!$A$2:$A$10,RANDBETWEEN(1,9))</f>
        <v>Legal</v>
      </c>
      <c r="G459" s="16" t="str" cm="1">
        <f t="array" ref="G459" ca="1">_xlfn.LET(_xlpm.Roles,_xlfn._xlws.FILTER(Lookup!$P$2:$P$28,Lookup!$O$2:$O$28=F459),INDEX(_xlpm.Roles,RANDBETWEEN(1,ROWS(_xlpm.Roles))))</f>
        <v>Legal Executive</v>
      </c>
      <c r="H459" s="16" t="str" cm="1">
        <f t="array" ref="H459" ca="1">INDEX(Lookup!$B$2:$B$7,RANDBETWEEN(1,6))</f>
        <v>Galway</v>
      </c>
      <c r="I459" s="22">
        <f t="shared" ca="1" si="99"/>
        <v>43424</v>
      </c>
      <c r="J459" s="22">
        <f t="shared" ca="1" si="100"/>
        <v>44561</v>
      </c>
      <c r="K459" s="16" t="str">
        <f t="shared" ca="1" si="101"/>
        <v>Resigned</v>
      </c>
      <c r="L459" s="26">
        <f ca="1">_xlfn.XLOOKUP(G459,Lookup!$P$2:$P$28,Lookup!$Q$2:$Q$28)*(1+MIN(X459*3%,30%))</f>
        <v>58240</v>
      </c>
      <c r="M459" s="24">
        <f t="shared" ca="1" si="111"/>
        <v>4</v>
      </c>
      <c r="N459" s="24">
        <f t="shared" ca="1" si="102"/>
        <v>30</v>
      </c>
      <c r="O459" s="24">
        <f t="shared" ca="1" si="103"/>
        <v>3</v>
      </c>
      <c r="P459" s="24">
        <f t="shared" ca="1" si="104"/>
        <v>24</v>
      </c>
      <c r="Q459" s="16" t="str">
        <f t="shared" ca="1" si="105"/>
        <v>Promoted</v>
      </c>
      <c r="R459" s="16" t="str" cm="1">
        <f t="array" ref="R459" ca="1">INDEX(Lookup!$E$2:$E$6,RANDBETWEEN(1,5))</f>
        <v>Master's</v>
      </c>
      <c r="S459" s="16" t="str" cm="1">
        <f t="array" ref="S459" ca="1">INDEX(Lookup!$J$2:$J$11,RANDBETWEEN(1,10))</f>
        <v>Sarah Johnson</v>
      </c>
      <c r="T459" s="16" t="str">
        <f t="shared" ca="1" si="106"/>
        <v>casey.johnson@hranalytics.com</v>
      </c>
      <c r="U459" s="16" t="str">
        <f t="shared" ca="1" si="107"/>
        <v>0862975361</v>
      </c>
      <c r="V459" s="16" t="str" cm="1">
        <f t="array" ref="V459" ca="1">_xlfn.LET(_xlpm.r,RANDBETWEEN(1,100),_xlfn.IFS(_xlpm.r&lt;=70,"Full-Time",_xlpm.r&lt;=85,"Part-Time",_xlpm.r&lt;=95,"Contract",TRUE,"Intern"))</f>
        <v>Contract</v>
      </c>
      <c r="W459" s="16" cm="1">
        <f t="array" ref="W459" ca="1">IF(K459&lt;&gt;"Active",0,_xlfn.IFS(M459=5,L459*15%,M459=4,L459*10%,M459=3,L459*5%,M459=2,L459*2%,TRUE,0))</f>
        <v>8736</v>
      </c>
      <c r="X459" s="24">
        <f t="shared" ca="1" si="108"/>
        <v>7</v>
      </c>
      <c r="Y459" s="24">
        <f t="shared" ca="1" si="109"/>
        <v>3</v>
      </c>
    </row>
    <row r="460" spans="1:25">
      <c r="A460" s="16" t="str">
        <f t="shared" si="110"/>
        <v>EMP459</v>
      </c>
      <c r="B460" s="16" t="str" cm="1">
        <f t="array" ref="B460" ca="1">IF(D460="Male",INDEX(Lookup!$L$2:$L$13,RANDBETWEEN(1,12)),IF(D460="Female",INDEX(Lookup!$M$2:$M$13,RANDBETWEEN(1,12)),INDEX(Lookup!$N$2:$N$13,RANDBETWEEN(1,12))))</f>
        <v>Riley</v>
      </c>
      <c r="C460" s="16" t="str" cm="1">
        <f t="array" ref="C460" ca="1">INDEX(Lookup!$K$2:$K$31,RANDBETWEEN(1,30))</f>
        <v>Thomas</v>
      </c>
      <c r="D460" s="16" t="str" cm="1">
        <f t="array" ref="D460" ca="1">INDEX(Lookup!$H$2:$H$4,RANDBETWEEN(1,3))</f>
        <v>Other</v>
      </c>
      <c r="E460" s="16">
        <f t="shared" ca="1" si="98"/>
        <v>57</v>
      </c>
      <c r="F460" s="16" t="str" cm="1">
        <f t="array" ref="F460" ca="1">INDEX(Lookup!$A$2:$A$10,RANDBETWEEN(1,9))</f>
        <v>Operations</v>
      </c>
      <c r="G460" s="16" t="str" cm="1">
        <f t="array" ref="G460" ca="1">_xlfn.LET(_xlpm.Roles,_xlfn._xlws.FILTER(Lookup!$P$2:$P$28,Lookup!$O$2:$O$28=F460),INDEX(_xlpm.Roles,RANDBETWEEN(1,ROWS(_xlpm.Roles))))</f>
        <v>Operations Executive</v>
      </c>
      <c r="H460" s="16" t="str" cm="1">
        <f t="array" ref="H460" ca="1">INDEX(Lookup!$B$2:$B$7,RANDBETWEEN(1,6))</f>
        <v>Limerick</v>
      </c>
      <c r="I460" s="22">
        <f t="shared" ca="1" si="99"/>
        <v>45026</v>
      </c>
      <c r="J460" s="22" t="str">
        <f t="shared" ca="1" si="100"/>
        <v/>
      </c>
      <c r="K460" s="16" t="str">
        <f t="shared" ca="1" si="101"/>
        <v>Active</v>
      </c>
      <c r="L460" s="26">
        <f ca="1">_xlfn.XLOOKUP(G460,Lookup!$P$2:$P$28,Lookup!$Q$2:$Q$28)*(1+MIN(X460*3%,30%))</f>
        <v>50820</v>
      </c>
      <c r="M460" s="24">
        <f t="shared" ca="1" si="111"/>
        <v>1</v>
      </c>
      <c r="N460" s="24">
        <f t="shared" ca="1" si="102"/>
        <v>70</v>
      </c>
      <c r="O460" s="24">
        <f t="shared" ca="1" si="103"/>
        <v>7</v>
      </c>
      <c r="P460" s="24">
        <f t="shared" ca="1" si="104"/>
        <v>10</v>
      </c>
      <c r="Q460" s="16" t="str">
        <f t="shared" ca="1" si="105"/>
        <v>Promoted</v>
      </c>
      <c r="R460" s="16" t="str" cm="1">
        <f t="array" ref="R460" ca="1">INDEX(Lookup!$E$2:$E$6,RANDBETWEEN(1,5))</f>
        <v>Bachelor's</v>
      </c>
      <c r="S460" s="16" t="str" cm="1">
        <f t="array" ref="S460" ca="1">INDEX(Lookup!$J$2:$J$11,RANDBETWEEN(1,10))</f>
        <v>Olivia Smith</v>
      </c>
      <c r="T460" s="16" t="str">
        <f t="shared" ca="1" si="106"/>
        <v>riley.thomas@hranalytics.com</v>
      </c>
      <c r="U460" s="16" t="str">
        <f t="shared" ca="1" si="107"/>
        <v>0895463620</v>
      </c>
      <c r="V460" s="16" t="str" cm="1">
        <f t="array" ref="V460" ca="1">_xlfn.LET(_xlpm.r,RANDBETWEEN(1,100),_xlfn.IFS(_xlpm.r&lt;=70,"Full-Time",_xlpm.r&lt;=85,"Part-Time",_xlpm.r&lt;=95,"Contract",TRUE,"Intern"))</f>
        <v>Full-Time</v>
      </c>
      <c r="W460" s="16" cm="1">
        <f t="array" ref="W460" ca="1">IF(K460&lt;&gt;"Active",0,_xlfn.IFS(M460=5,L460*15%,M460=4,L460*10%,M460=3,L460*5%,M460=2,L460*2%,TRUE,0))</f>
        <v>2541</v>
      </c>
      <c r="X460" s="24">
        <f t="shared" ca="1" si="108"/>
        <v>3</v>
      </c>
      <c r="Y460" s="24">
        <f t="shared" ca="1" si="109"/>
        <v>2</v>
      </c>
    </row>
    <row r="461" spans="1:25">
      <c r="A461" s="16" t="str">
        <f t="shared" si="110"/>
        <v>EMP460</v>
      </c>
      <c r="B461" s="16" t="str" cm="1">
        <f t="array" ref="B461" ca="1">IF(D461="Male",INDEX(Lookup!$L$2:$L$13,RANDBETWEEN(1,12)),IF(D461="Female",INDEX(Lookup!$M$2:$M$13,RANDBETWEEN(1,12)),INDEX(Lookup!$N$2:$N$13,RANDBETWEEN(1,12))))</f>
        <v>Emma</v>
      </c>
      <c r="C461" s="16" t="str" cm="1">
        <f t="array" ref="C461" ca="1">INDEX(Lookup!$K$2:$K$31,RANDBETWEEN(1,30))</f>
        <v>Adams</v>
      </c>
      <c r="D461" s="16" t="str" cm="1">
        <f t="array" ref="D461" ca="1">INDEX(Lookup!$H$2:$H$4,RANDBETWEEN(1,3))</f>
        <v>Female</v>
      </c>
      <c r="E461" s="16">
        <f t="shared" ca="1" si="98"/>
        <v>49</v>
      </c>
      <c r="F461" s="16" t="str" cm="1">
        <f t="array" ref="F461" ca="1">INDEX(Lookup!$A$2:$A$10,RANDBETWEEN(1,9))</f>
        <v>Marketing</v>
      </c>
      <c r="G461" s="16" t="str" cm="1">
        <f t="array" ref="G461" ca="1">_xlfn.LET(_xlpm.Roles,_xlfn._xlws.FILTER(Lookup!$P$2:$P$28,Lookup!$O$2:$O$28=F461),INDEX(_xlpm.Roles,RANDBETWEEN(1,ROWS(_xlpm.Roles))))</f>
        <v>Brand Executive</v>
      </c>
      <c r="H461" s="16" t="str" cm="1">
        <f t="array" ref="H461" ca="1">INDEX(Lookup!$B$2:$B$7,RANDBETWEEN(1,6))</f>
        <v>Galway</v>
      </c>
      <c r="I461" s="22">
        <f t="shared" ca="1" si="99"/>
        <v>44918</v>
      </c>
      <c r="J461" s="22" t="str">
        <f t="shared" ca="1" si="100"/>
        <v/>
      </c>
      <c r="K461" s="16" t="str">
        <f t="shared" ca="1" si="101"/>
        <v>Active</v>
      </c>
      <c r="L461" s="26">
        <f ca="1">_xlfn.XLOOKUP(G461,Lookup!$P$2:$P$28,Lookup!$Q$2:$Q$28)*(1+MIN(X461*3%,30%))</f>
        <v>52900</v>
      </c>
      <c r="M461" s="24">
        <f t="shared" ca="1" si="111"/>
        <v>4</v>
      </c>
      <c r="N461" s="24">
        <f t="shared" ca="1" si="102"/>
        <v>45</v>
      </c>
      <c r="O461" s="24">
        <f t="shared" ca="1" si="103"/>
        <v>10</v>
      </c>
      <c r="P461" s="24">
        <f t="shared" ca="1" si="104"/>
        <v>55</v>
      </c>
      <c r="Q461" s="16" t="str">
        <f t="shared" ca="1" si="105"/>
        <v>Not Promoted</v>
      </c>
      <c r="R461" s="16" t="str" cm="1">
        <f t="array" ref="R461" ca="1">INDEX(Lookup!$E$2:$E$6,RANDBETWEEN(1,5))</f>
        <v>Master's</v>
      </c>
      <c r="S461" s="16" t="str" cm="1">
        <f t="array" ref="S461" ca="1">INDEX(Lookup!$J$2:$J$11,RANDBETWEEN(1,10))</f>
        <v>Liam Byrne</v>
      </c>
      <c r="T461" s="16" t="str">
        <f t="shared" ca="1" si="106"/>
        <v>emma.adams@hranalytics.com</v>
      </c>
      <c r="U461" s="16" t="str">
        <f t="shared" ca="1" si="107"/>
        <v>0857351902</v>
      </c>
      <c r="V461" s="16" t="str" cm="1">
        <f t="array" ref="V461" ca="1">_xlfn.LET(_xlpm.r,RANDBETWEEN(1,100),_xlfn.IFS(_xlpm.r&lt;=70,"Full-Time",_xlpm.r&lt;=85,"Part-Time",_xlpm.r&lt;=95,"Contract",TRUE,"Intern"))</f>
        <v>Part-Time</v>
      </c>
      <c r="W461" s="16" cm="1">
        <f t="array" ref="W461" ca="1">IF(K461&lt;&gt;"Active",0,_xlfn.IFS(M461=5,L461*15%,M461=4,L461*10%,M461=3,L461*5%,M461=2,L461*2%,TRUE,0))</f>
        <v>0</v>
      </c>
      <c r="X461" s="24">
        <f t="shared" ca="1" si="108"/>
        <v>3</v>
      </c>
      <c r="Y461" s="24">
        <f t="shared" ca="1" si="109"/>
        <v>3</v>
      </c>
    </row>
    <row r="462" spans="1:25">
      <c r="A462" s="16" t="str">
        <f t="shared" si="110"/>
        <v>EMP461</v>
      </c>
      <c r="B462" s="16" t="str" cm="1">
        <f t="array" ref="B462" ca="1">IF(D462="Male",INDEX(Lookup!$L$2:$L$13,RANDBETWEEN(1,12)),IF(D462="Female",INDEX(Lookup!$M$2:$M$13,RANDBETWEEN(1,12)),INDEX(Lookup!$N$2:$N$13,RANDBETWEEN(1,12))))</f>
        <v>Casey</v>
      </c>
      <c r="C462" s="16" t="str" cm="1">
        <f t="array" ref="C462" ca="1">INDEX(Lookup!$K$2:$K$31,RANDBETWEEN(1,30))</f>
        <v>Turner</v>
      </c>
      <c r="D462" s="16" t="str" cm="1">
        <f t="array" ref="D462" ca="1">INDEX(Lookup!$H$2:$H$4,RANDBETWEEN(1,3))</f>
        <v>Other</v>
      </c>
      <c r="E462" s="16">
        <f t="shared" ca="1" si="98"/>
        <v>60</v>
      </c>
      <c r="F462" s="16" t="str" cm="1">
        <f t="array" ref="F462" ca="1">INDEX(Lookup!$A$2:$A$10,RANDBETWEEN(1,9))</f>
        <v>HR</v>
      </c>
      <c r="G462" s="16" t="str" cm="1">
        <f t="array" ref="G462" ca="1">_xlfn.LET(_xlpm.Roles,_xlfn._xlws.FILTER(Lookup!$P$2:$P$28,Lookup!$O$2:$O$28=F462),INDEX(_xlpm.Roles,RANDBETWEEN(1,ROWS(_xlpm.Roles))))</f>
        <v>HR Assistant</v>
      </c>
      <c r="H462" s="16" t="str" cm="1">
        <f t="array" ref="H462" ca="1">INDEX(Lookup!$B$2:$B$7,RANDBETWEEN(1,6))</f>
        <v>Cork</v>
      </c>
      <c r="I462" s="22">
        <f t="shared" ca="1" si="99"/>
        <v>46003</v>
      </c>
      <c r="J462" s="22" t="str">
        <f t="shared" ca="1" si="100"/>
        <v/>
      </c>
      <c r="K462" s="16" t="str">
        <f t="shared" ca="1" si="101"/>
        <v>Active</v>
      </c>
      <c r="L462" s="26">
        <f ca="1">_xlfn.XLOOKUP(G462,Lookup!$P$2:$P$28,Lookup!$Q$2:$Q$28)*(1+MIN(X462*3%,30%))</f>
        <v>38080</v>
      </c>
      <c r="M462" s="24">
        <f t="shared" ca="1" si="111"/>
        <v>3</v>
      </c>
      <c r="N462" s="24">
        <f t="shared" ca="1" si="102"/>
        <v>11</v>
      </c>
      <c r="O462" s="24">
        <f t="shared" ca="1" si="103"/>
        <v>1</v>
      </c>
      <c r="P462" s="24">
        <f t="shared" ca="1" si="104"/>
        <v>20</v>
      </c>
      <c r="Q462" s="16" t="str">
        <f t="shared" ca="1" si="105"/>
        <v>Not Promoted</v>
      </c>
      <c r="R462" s="16" t="str" cm="1">
        <f t="array" ref="R462" ca="1">INDEX(Lookup!$E$2:$E$6,RANDBETWEEN(1,5))</f>
        <v>High School</v>
      </c>
      <c r="S462" s="16" t="str" cm="1">
        <f t="array" ref="S462" ca="1">INDEX(Lookup!$J$2:$J$11,RANDBETWEEN(1,10))</f>
        <v>Michael Brown</v>
      </c>
      <c r="T462" s="16" t="str">
        <f t="shared" ca="1" si="106"/>
        <v>casey.turner@hranalytics.com</v>
      </c>
      <c r="U462" s="16" t="str">
        <f t="shared" ca="1" si="107"/>
        <v>0883098697</v>
      </c>
      <c r="V462" s="16" t="str" cm="1">
        <f t="array" ref="V462" ca="1">_xlfn.LET(_xlpm.r,RANDBETWEEN(1,100),_xlfn.IFS(_xlpm.r&lt;=70,"Full-Time",_xlpm.r&lt;=85,"Part-Time",_xlpm.r&lt;=95,"Contract",TRUE,"Intern"))</f>
        <v>Full-Time</v>
      </c>
      <c r="W462" s="16" cm="1">
        <f t="array" ref="W462" ca="1">IF(K462&lt;&gt;"Active",0,_xlfn.IFS(M462=5,L462*15%,M462=4,L462*10%,M462=3,L462*5%,M462=2,L462*2%,TRUE,0))</f>
        <v>0</v>
      </c>
      <c r="X462" s="24">
        <f t="shared" ca="1" si="108"/>
        <v>0</v>
      </c>
      <c r="Y462" s="24">
        <f t="shared" ca="1" si="109"/>
        <v>1</v>
      </c>
    </row>
    <row r="463" spans="1:25">
      <c r="A463" s="16" t="str">
        <f t="shared" si="110"/>
        <v>EMP462</v>
      </c>
      <c r="B463" s="16" t="str" cm="1">
        <f t="array" ref="B463" ca="1">IF(D463="Male",INDEX(Lookup!$L$2:$L$13,RANDBETWEEN(1,12)),IF(D463="Female",INDEX(Lookup!$M$2:$M$13,RANDBETWEEN(1,12)),INDEX(Lookup!$N$2:$N$13,RANDBETWEEN(1,12))))</f>
        <v>Casey</v>
      </c>
      <c r="C463" s="16" t="str" cm="1">
        <f t="array" ref="C463" ca="1">INDEX(Lookup!$K$2:$K$31,RANDBETWEEN(1,30))</f>
        <v>Baker</v>
      </c>
      <c r="D463" s="16" t="str" cm="1">
        <f t="array" ref="D463" ca="1">INDEX(Lookup!$H$2:$H$4,RANDBETWEEN(1,3))</f>
        <v>Other</v>
      </c>
      <c r="E463" s="16">
        <f t="shared" ca="1" si="98"/>
        <v>37</v>
      </c>
      <c r="F463" s="16" t="str" cm="1">
        <f t="array" ref="F463" ca="1">INDEX(Lookup!$A$2:$A$10,RANDBETWEEN(1,9))</f>
        <v>Sales</v>
      </c>
      <c r="G463" s="16" t="str" cm="1">
        <f t="array" ref="G463" ca="1">_xlfn.LET(_xlpm.Roles,_xlfn._xlws.FILTER(Lookup!$P$2:$P$28,Lookup!$O$2:$O$28=F463),INDEX(_xlpm.Roles,RANDBETWEEN(1,ROWS(_xlpm.Roles))))</f>
        <v>Business Development Executive</v>
      </c>
      <c r="H463" s="16" t="str" cm="1">
        <f t="array" ref="H463" ca="1">INDEX(Lookup!$B$2:$B$7,RANDBETWEEN(1,6))</f>
        <v>Cork</v>
      </c>
      <c r="I463" s="22">
        <f t="shared" ca="1" si="99"/>
        <v>44487</v>
      </c>
      <c r="J463" s="22" t="str">
        <f t="shared" ca="1" si="100"/>
        <v/>
      </c>
      <c r="K463" s="16" t="str">
        <f t="shared" ca="1" si="101"/>
        <v>Active</v>
      </c>
      <c r="L463" s="26">
        <f ca="1">_xlfn.XLOOKUP(G463,Lookup!$P$2:$P$28,Lookup!$Q$2:$Q$28)*(1+MIN(X463*3%,30%))</f>
        <v>50880</v>
      </c>
      <c r="M463" s="24">
        <f t="shared" ca="1" si="111"/>
        <v>2</v>
      </c>
      <c r="N463" s="24">
        <f t="shared" ca="1" si="102"/>
        <v>71</v>
      </c>
      <c r="O463" s="24">
        <f t="shared" ca="1" si="103"/>
        <v>7</v>
      </c>
      <c r="P463" s="24">
        <f t="shared" ca="1" si="104"/>
        <v>49</v>
      </c>
      <c r="Q463" s="16" t="str">
        <f t="shared" ca="1" si="105"/>
        <v>Promoted</v>
      </c>
      <c r="R463" s="16" t="str" cm="1">
        <f t="array" ref="R463" ca="1">INDEX(Lookup!$E$2:$E$6,RANDBETWEEN(1,5))</f>
        <v>PhD</v>
      </c>
      <c r="S463" s="16" t="str" cm="1">
        <f t="array" ref="S463" ca="1">INDEX(Lookup!$J$2:$J$11,RANDBETWEEN(1,10))</f>
        <v>James Taylor</v>
      </c>
      <c r="T463" s="16" t="str">
        <f t="shared" ca="1" si="106"/>
        <v>casey.baker@hranalytics.com</v>
      </c>
      <c r="U463" s="16" t="str">
        <f t="shared" ca="1" si="107"/>
        <v>0863199152</v>
      </c>
      <c r="V463" s="16" t="str" cm="1">
        <f t="array" ref="V463" ca="1">_xlfn.LET(_xlpm.r,RANDBETWEEN(1,100),_xlfn.IFS(_xlpm.r&lt;=70,"Full-Time",_xlpm.r&lt;=85,"Part-Time",_xlpm.r&lt;=95,"Contract",TRUE,"Intern"))</f>
        <v>Full-Time</v>
      </c>
      <c r="W463" s="16" cm="1">
        <f t="array" ref="W463" ca="1">IF(K463&lt;&gt;"Active",0,_xlfn.IFS(M463=5,L463*15%,M463=4,L463*10%,M463=3,L463*5%,M463=2,L463*2%,TRUE,0))</f>
        <v>2544</v>
      </c>
      <c r="X463" s="24">
        <f t="shared" ca="1" si="108"/>
        <v>4</v>
      </c>
      <c r="Y463" s="24">
        <f t="shared" ca="1" si="109"/>
        <v>3</v>
      </c>
    </row>
    <row r="464" spans="1:25">
      <c r="A464" s="16" t="str">
        <f t="shared" si="110"/>
        <v>EMP463</v>
      </c>
      <c r="B464" s="16" t="str" cm="1">
        <f t="array" ref="B464" ca="1">IF(D464="Male",INDEX(Lookup!$L$2:$L$13,RANDBETWEEN(1,12)),IF(D464="Female",INDEX(Lookup!$M$2:$M$13,RANDBETWEEN(1,12)),INDEX(Lookup!$N$2:$N$13,RANDBETWEEN(1,12))))</f>
        <v>Riley</v>
      </c>
      <c r="C464" s="16" t="str" cm="1">
        <f t="array" ref="C464" ca="1">INDEX(Lookup!$K$2:$K$31,RANDBETWEEN(1,30))</f>
        <v>Young</v>
      </c>
      <c r="D464" s="16" t="str" cm="1">
        <f t="array" ref="D464" ca="1">INDEX(Lookup!$H$2:$H$4,RANDBETWEEN(1,3))</f>
        <v>Other</v>
      </c>
      <c r="E464" s="16">
        <f t="shared" ca="1" si="98"/>
        <v>42</v>
      </c>
      <c r="F464" s="16" t="str" cm="1">
        <f t="array" ref="F464" ca="1">INDEX(Lookup!$A$2:$A$10,RANDBETWEEN(1,9))</f>
        <v>Customer Support</v>
      </c>
      <c r="G464" s="16" t="str" cm="1">
        <f t="array" ref="G464" ca="1">_xlfn.LET(_xlpm.Roles,_xlfn._xlws.FILTER(Lookup!$P$2:$P$28,Lookup!$O$2:$O$28=F464),INDEX(_xlpm.Roles,RANDBETWEEN(1,ROWS(_xlpm.Roles))))</f>
        <v>Technical Support Specialist</v>
      </c>
      <c r="H464" s="16" t="str" cm="1">
        <f t="array" ref="H464" ca="1">INDEX(Lookup!$B$2:$B$7,RANDBETWEEN(1,6))</f>
        <v>Galway</v>
      </c>
      <c r="I464" s="22">
        <f t="shared" ca="1" si="99"/>
        <v>44964</v>
      </c>
      <c r="J464" s="22" t="str">
        <f t="shared" ca="1" si="100"/>
        <v/>
      </c>
      <c r="K464" s="16" t="str">
        <f t="shared" ca="1" si="101"/>
        <v>Active</v>
      </c>
      <c r="L464" s="26">
        <f ca="1">_xlfn.XLOOKUP(G464,Lookup!$P$2:$P$28,Lookup!$Q$2:$Q$28)*(1+MIN(X464*3%,30%))</f>
        <v>50400</v>
      </c>
      <c r="M464" s="24">
        <f t="shared" ca="1" si="111"/>
        <v>4</v>
      </c>
      <c r="N464" s="24">
        <f t="shared" ca="1" si="102"/>
        <v>59</v>
      </c>
      <c r="O464" s="24">
        <f t="shared" ca="1" si="103"/>
        <v>13</v>
      </c>
      <c r="P464" s="24">
        <f t="shared" ca="1" si="104"/>
        <v>11</v>
      </c>
      <c r="Q464" s="16" t="str">
        <f t="shared" ca="1" si="105"/>
        <v>Promoted</v>
      </c>
      <c r="R464" s="16" t="str" cm="1">
        <f t="array" ref="R464" ca="1">INDEX(Lookup!$E$2:$E$6,RANDBETWEEN(1,5))</f>
        <v>High School</v>
      </c>
      <c r="S464" s="16" t="str" cm="1">
        <f t="array" ref="S464" ca="1">INDEX(Lookup!$J$2:$J$11,RANDBETWEEN(1,10))</f>
        <v>Olivia Smith</v>
      </c>
      <c r="T464" s="16" t="str">
        <f t="shared" ca="1" si="106"/>
        <v>riley.young@hranalytics.com</v>
      </c>
      <c r="U464" s="16" t="str">
        <f t="shared" ca="1" si="107"/>
        <v>0831613591</v>
      </c>
      <c r="V464" s="16" t="str" cm="1">
        <f t="array" ref="V464" ca="1">_xlfn.LET(_xlpm.r,RANDBETWEEN(1,100),_xlfn.IFS(_xlpm.r&lt;=70,"Full-Time",_xlpm.r&lt;=85,"Part-Time",_xlpm.r&lt;=95,"Contract",TRUE,"Intern"))</f>
        <v>Full-Time</v>
      </c>
      <c r="W464" s="16" cm="1">
        <f t="array" ref="W464" ca="1">IF(K464&lt;&gt;"Active",0,_xlfn.IFS(M464=5,L464*15%,M464=4,L464*10%,M464=3,L464*5%,M464=2,L464*2%,TRUE,0))</f>
        <v>2520</v>
      </c>
      <c r="X464" s="24">
        <f t="shared" ca="1" si="108"/>
        <v>3</v>
      </c>
      <c r="Y464" s="24">
        <f t="shared" ca="1" si="109"/>
        <v>3</v>
      </c>
    </row>
    <row r="465" spans="1:25">
      <c r="A465" s="16" t="str">
        <f t="shared" si="110"/>
        <v>EMP464</v>
      </c>
      <c r="B465" s="16" t="str" cm="1">
        <f t="array" ref="B465" ca="1">IF(D465="Male",INDEX(Lookup!$L$2:$L$13,RANDBETWEEN(1,12)),IF(D465="Female",INDEX(Lookup!$M$2:$M$13,RANDBETWEEN(1,12)),INDEX(Lookup!$N$2:$N$13,RANDBETWEEN(1,12))))</f>
        <v>David</v>
      </c>
      <c r="C465" s="16" t="str" cm="1">
        <f t="array" ref="C465" ca="1">INDEX(Lookup!$K$2:$K$31,RANDBETWEEN(1,30))</f>
        <v>Smith</v>
      </c>
      <c r="D465" s="16" t="str" cm="1">
        <f t="array" ref="D465" ca="1">INDEX(Lookup!$H$2:$H$4,RANDBETWEEN(1,3))</f>
        <v>Male</v>
      </c>
      <c r="E465" s="16">
        <f t="shared" ca="1" si="98"/>
        <v>27</v>
      </c>
      <c r="F465" s="16" t="str" cm="1">
        <f t="array" ref="F465" ca="1">INDEX(Lookup!$A$2:$A$10,RANDBETWEEN(1,9))</f>
        <v>Sales</v>
      </c>
      <c r="G465" s="16" t="str" cm="1">
        <f t="array" ref="G465" ca="1">_xlfn.LET(_xlpm.Roles,_xlfn._xlws.FILTER(Lookup!$P$2:$P$28,Lookup!$O$2:$O$28=F465),INDEX(_xlpm.Roles,RANDBETWEEN(1,ROWS(_xlpm.Roles))))</f>
        <v>Sales Executive</v>
      </c>
      <c r="H465" s="16" t="str" cm="1">
        <f t="array" ref="H465" ca="1">INDEX(Lookup!$B$2:$B$7,RANDBETWEEN(1,6))</f>
        <v>Belfast</v>
      </c>
      <c r="I465" s="22">
        <f t="shared" ca="1" si="99"/>
        <v>44282</v>
      </c>
      <c r="J465" s="22">
        <f t="shared" ca="1" si="100"/>
        <v>44894</v>
      </c>
      <c r="K465" s="16" t="str">
        <f t="shared" ca="1" si="101"/>
        <v>Resigned</v>
      </c>
      <c r="L465" s="26">
        <f ca="1">_xlfn.XLOOKUP(G465,Lookup!$P$2:$P$28,Lookup!$Q$2:$Q$28)*(1+MIN(X465*3%,30%))</f>
        <v>41200</v>
      </c>
      <c r="M465" s="24">
        <f t="shared" ca="1" si="111"/>
        <v>4</v>
      </c>
      <c r="N465" s="24">
        <f t="shared" ca="1" si="102"/>
        <v>58</v>
      </c>
      <c r="O465" s="24">
        <f t="shared" ca="1" si="103"/>
        <v>14</v>
      </c>
      <c r="P465" s="24">
        <f t="shared" ca="1" si="104"/>
        <v>0</v>
      </c>
      <c r="Q465" s="16" t="str">
        <f t="shared" ca="1" si="105"/>
        <v>Not Promoted</v>
      </c>
      <c r="R465" s="16" t="str" cm="1">
        <f t="array" ref="R465" ca="1">INDEX(Lookup!$E$2:$E$6,RANDBETWEEN(1,5))</f>
        <v>Bachelor's</v>
      </c>
      <c r="S465" s="16" t="str" cm="1">
        <f t="array" ref="S465" ca="1">INDEX(Lookup!$J$2:$J$11,RANDBETWEEN(1,10))</f>
        <v>David Murphy</v>
      </c>
      <c r="T465" s="16" t="str">
        <f t="shared" ca="1" si="106"/>
        <v>david.smith@hranalytics.com</v>
      </c>
      <c r="U465" s="16" t="str">
        <f t="shared" ca="1" si="107"/>
        <v>0895523054</v>
      </c>
      <c r="V465" s="16" t="str" cm="1">
        <f t="array" ref="V465" ca="1">_xlfn.LET(_xlpm.r,RANDBETWEEN(1,100),_xlfn.IFS(_xlpm.r&lt;=70,"Full-Time",_xlpm.r&lt;=85,"Part-Time",_xlpm.r&lt;=95,"Contract",TRUE,"Intern"))</f>
        <v>Full-Time</v>
      </c>
      <c r="W465" s="16" cm="1">
        <f t="array" ref="W465" ca="1">IF(K465&lt;&gt;"Active",0,_xlfn.IFS(M465=5,L465*15%,M465=4,L465*10%,M465=3,L465*5%,M465=2,L465*2%,TRUE,0))</f>
        <v>0</v>
      </c>
      <c r="X465" s="24">
        <f t="shared" ca="1" si="108"/>
        <v>5</v>
      </c>
      <c r="Y465" s="24">
        <f t="shared" ca="1" si="109"/>
        <v>3</v>
      </c>
    </row>
    <row r="466" spans="1:25">
      <c r="A466" s="16" t="str">
        <f t="shared" si="110"/>
        <v>EMP465</v>
      </c>
      <c r="B466" s="16" t="str" cm="1">
        <f t="array" ref="B466" ca="1">IF(D466="Male",INDEX(Lookup!$L$2:$L$13,RANDBETWEEN(1,12)),IF(D466="Female",INDEX(Lookup!$M$2:$M$13,RANDBETWEEN(1,12)),INDEX(Lookup!$N$2:$N$13,RANDBETWEEN(1,12))))</f>
        <v>John</v>
      </c>
      <c r="C466" s="16" t="str" cm="1">
        <f t="array" ref="C466" ca="1">INDEX(Lookup!$K$2:$K$31,RANDBETWEEN(1,30))</f>
        <v>Taylor</v>
      </c>
      <c r="D466" s="16" t="str" cm="1">
        <f t="array" ref="D466" ca="1">INDEX(Lookup!$H$2:$H$4,RANDBETWEEN(1,3))</f>
        <v>Male</v>
      </c>
      <c r="E466" s="16">
        <f t="shared" ca="1" si="98"/>
        <v>58</v>
      </c>
      <c r="F466" s="16" t="str" cm="1">
        <f t="array" ref="F466" ca="1">INDEX(Lookup!$A$2:$A$10,RANDBETWEEN(1,9))</f>
        <v>Sales</v>
      </c>
      <c r="G466" s="16" t="str" cm="1">
        <f t="array" ref="G466" ca="1">_xlfn.LET(_xlpm.Roles,_xlfn._xlws.FILTER(Lookup!$P$2:$P$28,Lookup!$O$2:$O$28=F466),INDEX(_xlpm.Roles,RANDBETWEEN(1,ROWS(_xlpm.Roles))))</f>
        <v>Business Development Executive</v>
      </c>
      <c r="H466" s="16" t="str" cm="1">
        <f t="array" ref="H466" ca="1">INDEX(Lookup!$B$2:$B$7,RANDBETWEEN(1,6))</f>
        <v>Dublin</v>
      </c>
      <c r="I466" s="22">
        <f t="shared" ca="1" si="99"/>
        <v>45539</v>
      </c>
      <c r="J466" s="22" t="str">
        <f t="shared" ca="1" si="100"/>
        <v/>
      </c>
      <c r="K466" s="16" t="str">
        <f t="shared" ca="1" si="101"/>
        <v>Active</v>
      </c>
      <c r="L466" s="26">
        <f ca="1">_xlfn.XLOOKUP(G466,Lookup!$P$2:$P$28,Lookup!$Q$2:$Q$28)*(1+MIN(X466*3%,30%))</f>
        <v>53760</v>
      </c>
      <c r="M466" s="24">
        <f t="shared" ca="1" si="111"/>
        <v>4</v>
      </c>
      <c r="N466" s="24">
        <f t="shared" ca="1" si="102"/>
        <v>79</v>
      </c>
      <c r="O466" s="24">
        <f t="shared" ca="1" si="103"/>
        <v>15</v>
      </c>
      <c r="P466" s="24">
        <f t="shared" ca="1" si="104"/>
        <v>32</v>
      </c>
      <c r="Q466" s="16" t="str">
        <f t="shared" ca="1" si="105"/>
        <v>Promoted</v>
      </c>
      <c r="R466" s="16" t="str" cm="1">
        <f t="array" ref="R466" ca="1">INDEX(Lookup!$E$2:$E$6,RANDBETWEEN(1,5))</f>
        <v>PhD</v>
      </c>
      <c r="S466" s="16" t="str" cm="1">
        <f t="array" ref="S466" ca="1">INDEX(Lookup!$J$2:$J$11,RANDBETWEEN(1,10))</f>
        <v>Grace O'Connor</v>
      </c>
      <c r="T466" s="16" t="str">
        <f t="shared" ca="1" si="106"/>
        <v>john.taylor@hranalytics.com</v>
      </c>
      <c r="U466" s="16" t="str">
        <f t="shared" ca="1" si="107"/>
        <v>0892945794</v>
      </c>
      <c r="V466" s="16" t="str" cm="1">
        <f t="array" ref="V466" ca="1">_xlfn.LET(_xlpm.r,RANDBETWEEN(1,100),_xlfn.IFS(_xlpm.r&lt;=70,"Full-Time",_xlpm.r&lt;=85,"Part-Time",_xlpm.r&lt;=95,"Contract",TRUE,"Intern"))</f>
        <v>Full-Time</v>
      </c>
      <c r="W466" s="16" cm="1">
        <f t="array" ref="W466" ca="1">IF(K466&lt;&gt;"Active",0,_xlfn.IFS(M466=5,L466*15%,M466=4,L466*10%,M466=3,L466*5%,M466=2,L466*2%,TRUE,0))</f>
        <v>2688</v>
      </c>
      <c r="X466" s="24">
        <f t="shared" ca="1" si="108"/>
        <v>1</v>
      </c>
      <c r="Y466" s="24">
        <f t="shared" ca="1" si="109"/>
        <v>2</v>
      </c>
    </row>
    <row r="467" spans="1:25">
      <c r="A467" s="16" t="str">
        <f t="shared" si="110"/>
        <v>EMP466</v>
      </c>
      <c r="B467" s="16" t="str" cm="1">
        <f t="array" ref="B467" ca="1">IF(D467="Male",INDEX(Lookup!$L$2:$L$13,RANDBETWEEN(1,12)),IF(D467="Female",INDEX(Lookup!$M$2:$M$13,RANDBETWEEN(1,12)),INDEX(Lookup!$N$2:$N$13,RANDBETWEEN(1,12))))</f>
        <v>Mia</v>
      </c>
      <c r="C467" s="16" t="str" cm="1">
        <f t="array" ref="C467" ca="1">INDEX(Lookup!$K$2:$K$31,RANDBETWEEN(1,30))</f>
        <v>Martin</v>
      </c>
      <c r="D467" s="16" t="str" cm="1">
        <f t="array" ref="D467" ca="1">INDEX(Lookup!$H$2:$H$4,RANDBETWEEN(1,3))</f>
        <v>Female</v>
      </c>
      <c r="E467" s="16">
        <f t="shared" ca="1" si="98"/>
        <v>38</v>
      </c>
      <c r="F467" s="16" t="str" cm="1">
        <f t="array" ref="F467" ca="1">INDEX(Lookup!$A$2:$A$10,RANDBETWEEN(1,9))</f>
        <v>Sales</v>
      </c>
      <c r="G467" s="16" t="str" cm="1">
        <f t="array" ref="G467" ca="1">_xlfn.LET(_xlpm.Roles,_xlfn._xlws.FILTER(Lookup!$P$2:$P$28,Lookup!$O$2:$O$28=F467),INDEX(_xlpm.Roles,RANDBETWEEN(1,ROWS(_xlpm.Roles))))</f>
        <v>Sales Executive</v>
      </c>
      <c r="H467" s="16" t="str" cm="1">
        <f t="array" ref="H467" ca="1">INDEX(Lookup!$B$2:$B$7,RANDBETWEEN(1,6))</f>
        <v>Waterford</v>
      </c>
      <c r="I467" s="22">
        <f t="shared" ca="1" si="99"/>
        <v>44809</v>
      </c>
      <c r="J467" s="22">
        <f t="shared" ca="1" si="100"/>
        <v>45606</v>
      </c>
      <c r="K467" s="16" t="str">
        <f t="shared" ca="1" si="101"/>
        <v>Resigned</v>
      </c>
      <c r="L467" s="26">
        <f ca="1">_xlfn.XLOOKUP(G467,Lookup!$P$2:$P$28,Lookup!$Q$2:$Q$28)*(1+MIN(X467*3%,30%))</f>
        <v>48400</v>
      </c>
      <c r="M467" s="24">
        <f t="shared" ca="1" si="111"/>
        <v>4</v>
      </c>
      <c r="N467" s="24">
        <f t="shared" ca="1" si="102"/>
        <v>25</v>
      </c>
      <c r="O467" s="24">
        <f t="shared" ca="1" si="103"/>
        <v>9</v>
      </c>
      <c r="P467" s="24">
        <f t="shared" ca="1" si="104"/>
        <v>25</v>
      </c>
      <c r="Q467" s="16" t="str">
        <f t="shared" ca="1" si="105"/>
        <v>Promoted</v>
      </c>
      <c r="R467" s="16" t="str" cm="1">
        <f t="array" ref="R467" ca="1">INDEX(Lookup!$E$2:$E$6,RANDBETWEEN(1,5))</f>
        <v>Master's</v>
      </c>
      <c r="S467" s="16" t="str" cm="1">
        <f t="array" ref="S467" ca="1">INDEX(Lookup!$J$2:$J$11,RANDBETWEEN(1,10))</f>
        <v>Sophia Martin</v>
      </c>
      <c r="T467" s="16" t="str">
        <f t="shared" ca="1" si="106"/>
        <v>mia.martin@hranalytics.com</v>
      </c>
      <c r="U467" s="16" t="str">
        <f t="shared" ca="1" si="107"/>
        <v>0864781427</v>
      </c>
      <c r="V467" s="16" t="str" cm="1">
        <f t="array" ref="V467" ca="1">_xlfn.LET(_xlpm.r,RANDBETWEEN(1,100),_xlfn.IFS(_xlpm.r&lt;=70,"Full-Time",_xlpm.r&lt;=85,"Part-Time",_xlpm.r&lt;=95,"Contract",TRUE,"Intern"))</f>
        <v>Part-Time</v>
      </c>
      <c r="W467" s="16" cm="1">
        <f t="array" ref="W467" ca="1">IF(K467&lt;&gt;"Active",0,_xlfn.IFS(M467=5,L467*15%,M467=4,L467*10%,M467=3,L467*5%,M467=2,L467*2%,TRUE,0))</f>
        <v>7260</v>
      </c>
      <c r="X467" s="24">
        <f t="shared" ca="1" si="108"/>
        <v>3</v>
      </c>
      <c r="Y467" s="24">
        <f t="shared" ca="1" si="109"/>
        <v>1</v>
      </c>
    </row>
    <row r="468" spans="1:25">
      <c r="A468" s="16" t="str">
        <f t="shared" si="110"/>
        <v>EMP467</v>
      </c>
      <c r="B468" s="16" t="str" cm="1">
        <f t="array" ref="B468" ca="1">IF(D468="Male",INDEX(Lookup!$L$2:$L$13,RANDBETWEEN(1,12)),IF(D468="Female",INDEX(Lookup!$M$2:$M$13,RANDBETWEEN(1,12)),INDEX(Lookup!$N$2:$N$13,RANDBETWEEN(1,12))))</f>
        <v>Avery</v>
      </c>
      <c r="C468" s="16" t="str" cm="1">
        <f t="array" ref="C468" ca="1">INDEX(Lookup!$K$2:$K$31,RANDBETWEEN(1,30))</f>
        <v>Parker</v>
      </c>
      <c r="D468" s="16" t="str" cm="1">
        <f t="array" ref="D468" ca="1">INDEX(Lookup!$H$2:$H$4,RANDBETWEEN(1,3))</f>
        <v>Other</v>
      </c>
      <c r="E468" s="16">
        <f t="shared" ca="1" si="98"/>
        <v>32</v>
      </c>
      <c r="F468" s="16" t="str" cm="1">
        <f t="array" ref="F468" ca="1">INDEX(Lookup!$A$2:$A$10,RANDBETWEEN(1,9))</f>
        <v>Legal</v>
      </c>
      <c r="G468" s="16" t="str" cm="1">
        <f t="array" ref="G468" ca="1">_xlfn.LET(_xlpm.Roles,_xlfn._xlws.FILTER(Lookup!$P$2:$P$28,Lookup!$O$2:$O$28=F468),INDEX(_xlpm.Roles,RANDBETWEEN(1,ROWS(_xlpm.Roles))))</f>
        <v>Compliance Officer</v>
      </c>
      <c r="H468" s="16" t="str" cm="1">
        <f t="array" ref="H468" ca="1">INDEX(Lookup!$B$2:$B$7,RANDBETWEEN(1,6))</f>
        <v>Waterford</v>
      </c>
      <c r="I468" s="22">
        <f t="shared" ca="1" si="99"/>
        <v>45675</v>
      </c>
      <c r="J468" s="22" t="str">
        <f t="shared" ca="1" si="100"/>
        <v/>
      </c>
      <c r="K468" s="16" t="str">
        <f t="shared" ca="1" si="101"/>
        <v>Active</v>
      </c>
      <c r="L468" s="26">
        <f ca="1">_xlfn.XLOOKUP(G468,Lookup!$P$2:$P$28,Lookup!$Q$2:$Q$28)*(1+MIN(X468*3%,30%))</f>
        <v>72600</v>
      </c>
      <c r="M468" s="24">
        <f t="shared" ca="1" si="111"/>
        <v>3</v>
      </c>
      <c r="N468" s="24">
        <f t="shared" ca="1" si="102"/>
        <v>50</v>
      </c>
      <c r="O468" s="24">
        <f t="shared" ca="1" si="103"/>
        <v>13</v>
      </c>
      <c r="P468" s="24">
        <f t="shared" ca="1" si="104"/>
        <v>49</v>
      </c>
      <c r="Q468" s="16" t="str">
        <f t="shared" ca="1" si="105"/>
        <v>Promoted</v>
      </c>
      <c r="R468" s="16" t="str" cm="1">
        <f t="array" ref="R468" ca="1">INDEX(Lookup!$E$2:$E$6,RANDBETWEEN(1,5))</f>
        <v>Bachelor's</v>
      </c>
      <c r="S468" s="16" t="str" cm="1">
        <f t="array" ref="S468" ca="1">INDEX(Lookup!$J$2:$J$11,RANDBETWEEN(1,10))</f>
        <v>James Taylor</v>
      </c>
      <c r="T468" s="16" t="str">
        <f t="shared" ca="1" si="106"/>
        <v>avery.parker@hranalytics.com</v>
      </c>
      <c r="U468" s="16" t="str">
        <f t="shared" ca="1" si="107"/>
        <v>0871141853</v>
      </c>
      <c r="V468" s="16" t="str" cm="1">
        <f t="array" ref="V468" ca="1">_xlfn.LET(_xlpm.r,RANDBETWEEN(1,100),_xlfn.IFS(_xlpm.r&lt;=70,"Full-Time",_xlpm.r&lt;=85,"Part-Time",_xlpm.r&lt;=95,"Contract",TRUE,"Intern"))</f>
        <v>Full-Time</v>
      </c>
      <c r="W468" s="16" cm="1">
        <f t="array" ref="W468" ca="1">IF(K468&lt;&gt;"Active",0,_xlfn.IFS(M468=5,L468*15%,M468=4,L468*10%,M468=3,L468*5%,M468=2,L468*2%,TRUE,0))</f>
        <v>1452</v>
      </c>
      <c r="X468" s="24">
        <f t="shared" ca="1" si="108"/>
        <v>1</v>
      </c>
      <c r="Y468" s="24">
        <f t="shared" ca="1" si="109"/>
        <v>1</v>
      </c>
    </row>
    <row r="469" spans="1:25">
      <c r="A469" s="16" t="str">
        <f t="shared" si="110"/>
        <v>EMP468</v>
      </c>
      <c r="B469" s="16" t="str" cm="1">
        <f t="array" ref="B469" ca="1">IF(D469="Male",INDEX(Lookup!$L$2:$L$13,RANDBETWEEN(1,12)),IF(D469="Female",INDEX(Lookup!$M$2:$M$13,RANDBETWEEN(1,12)),INDEX(Lookup!$N$2:$N$13,RANDBETWEEN(1,12))))</f>
        <v>Noah</v>
      </c>
      <c r="C469" s="16" t="str" cm="1">
        <f t="array" ref="C469" ca="1">INDEX(Lookup!$K$2:$K$31,RANDBETWEEN(1,30))</f>
        <v>Moore</v>
      </c>
      <c r="D469" s="16" t="str" cm="1">
        <f t="array" ref="D469" ca="1">INDEX(Lookup!$H$2:$H$4,RANDBETWEEN(1,3))</f>
        <v>Male</v>
      </c>
      <c r="E469" s="16">
        <f t="shared" ca="1" si="98"/>
        <v>42</v>
      </c>
      <c r="F469" s="16" t="str" cm="1">
        <f t="array" ref="F469" ca="1">INDEX(Lookup!$A$2:$A$10,RANDBETWEEN(1,9))</f>
        <v>IT</v>
      </c>
      <c r="G469" s="16" t="str" cm="1">
        <f t="array" ref="G469" ca="1">_xlfn.LET(_xlpm.Roles,_xlfn._xlws.FILTER(Lookup!$P$2:$P$28,Lookup!$O$2:$O$28=F469),INDEX(_xlpm.Roles,RANDBETWEEN(1,ROWS(_xlpm.Roles))))</f>
        <v>Data Analyst</v>
      </c>
      <c r="H469" s="16" t="str" cm="1">
        <f t="array" ref="H469" ca="1">INDEX(Lookup!$B$2:$B$7,RANDBETWEEN(1,6))</f>
        <v>Limerick</v>
      </c>
      <c r="I469" s="22">
        <f t="shared" ca="1" si="99"/>
        <v>44668</v>
      </c>
      <c r="J469" s="22" t="str">
        <f t="shared" ca="1" si="100"/>
        <v/>
      </c>
      <c r="K469" s="16" t="str">
        <f t="shared" ca="1" si="101"/>
        <v>Active</v>
      </c>
      <c r="L469" s="26">
        <f ca="1">_xlfn.XLOOKUP(G469,Lookup!$P$2:$P$28,Lookup!$Q$2:$Q$28)*(1+MIN(X469*3%,30%))</f>
        <v>59950</v>
      </c>
      <c r="M469" s="24">
        <f t="shared" ca="1" si="111"/>
        <v>2</v>
      </c>
      <c r="N469" s="24">
        <f t="shared" ca="1" si="102"/>
        <v>4</v>
      </c>
      <c r="O469" s="24">
        <f t="shared" ca="1" si="103"/>
        <v>8</v>
      </c>
      <c r="P469" s="24">
        <f t="shared" ca="1" si="104"/>
        <v>44</v>
      </c>
      <c r="Q469" s="16" t="str">
        <f t="shared" ca="1" si="105"/>
        <v>Promoted</v>
      </c>
      <c r="R469" s="16" t="str" cm="1">
        <f t="array" ref="R469" ca="1">INDEX(Lookup!$E$2:$E$6,RANDBETWEEN(1,5))</f>
        <v>Bachelor's</v>
      </c>
      <c r="S469" s="16" t="str" cm="1">
        <f t="array" ref="S469" ca="1">INDEX(Lookup!$J$2:$J$11,RANDBETWEEN(1,10))</f>
        <v>Michael Brown</v>
      </c>
      <c r="T469" s="16" t="str">
        <f t="shared" ca="1" si="106"/>
        <v>noah.moore@hranalytics.com</v>
      </c>
      <c r="U469" s="16" t="str">
        <f t="shared" ca="1" si="107"/>
        <v>0888987487</v>
      </c>
      <c r="V469" s="16" t="str" cm="1">
        <f t="array" ref="V469" ca="1">_xlfn.LET(_xlpm.r,RANDBETWEEN(1,100),_xlfn.IFS(_xlpm.r&lt;=70,"Full-Time",_xlpm.r&lt;=85,"Part-Time",_xlpm.r&lt;=95,"Contract",TRUE,"Intern"))</f>
        <v>Part-Time</v>
      </c>
      <c r="W469" s="16" cm="1">
        <f t="array" ref="W469" ca="1">IF(K469&lt;&gt;"Active",0,_xlfn.IFS(M469=5,L469*15%,M469=4,L469*10%,M469=3,L469*5%,M469=2,L469*2%,TRUE,0))</f>
        <v>1199</v>
      </c>
      <c r="X469" s="24">
        <f t="shared" ca="1" si="108"/>
        <v>4</v>
      </c>
      <c r="Y469" s="24">
        <f t="shared" ca="1" si="109"/>
        <v>3</v>
      </c>
    </row>
    <row r="470" spans="1:25">
      <c r="A470" s="16" t="str">
        <f t="shared" si="110"/>
        <v>EMP469</v>
      </c>
      <c r="B470" s="16" t="str" cm="1">
        <f t="array" ref="B470" ca="1">IF(D470="Male",INDEX(Lookup!$L$2:$L$13,RANDBETWEEN(1,12)),IF(D470="Female",INDEX(Lookup!$M$2:$M$13,RANDBETWEEN(1,12)),INDEX(Lookup!$N$2:$N$13,RANDBETWEEN(1,12))))</f>
        <v>Daniel</v>
      </c>
      <c r="C470" s="16" t="str" cm="1">
        <f t="array" ref="C470" ca="1">INDEX(Lookup!$K$2:$K$31,RANDBETWEEN(1,30))</f>
        <v>Brown</v>
      </c>
      <c r="D470" s="16" t="str" cm="1">
        <f t="array" ref="D470" ca="1">INDEX(Lookup!$H$2:$H$4,RANDBETWEEN(1,3))</f>
        <v>Male</v>
      </c>
      <c r="E470" s="16">
        <f t="shared" ca="1" si="98"/>
        <v>49</v>
      </c>
      <c r="F470" s="16" t="str" cm="1">
        <f t="array" ref="F470" ca="1">INDEX(Lookup!$A$2:$A$10,RANDBETWEEN(1,9))</f>
        <v>Procurement</v>
      </c>
      <c r="G470" s="16" t="str" cm="1">
        <f t="array" ref="G470" ca="1">_xlfn.LET(_xlpm.Roles,_xlfn._xlws.FILTER(Lookup!$P$2:$P$28,Lookup!$O$2:$O$28=F470),INDEX(_xlpm.Roles,RANDBETWEEN(1,ROWS(_xlpm.Roles))))</f>
        <v>Procurement Analyst</v>
      </c>
      <c r="H470" s="16" t="str" cm="1">
        <f t="array" ref="H470" ca="1">INDEX(Lookup!$B$2:$B$7,RANDBETWEEN(1,6))</f>
        <v>Galway</v>
      </c>
      <c r="I470" s="22">
        <f t="shared" ca="1" si="99"/>
        <v>44788</v>
      </c>
      <c r="J470" s="22" t="str">
        <f t="shared" ca="1" si="100"/>
        <v/>
      </c>
      <c r="K470" s="16" t="str">
        <f t="shared" ca="1" si="101"/>
        <v>Active</v>
      </c>
      <c r="L470" s="26">
        <f ca="1">_xlfn.XLOOKUP(G470,Lookup!$P$2:$P$28,Lookup!$Q$2:$Q$28)*(1+MIN(X470*3%,30%))</f>
        <v>60500</v>
      </c>
      <c r="M470" s="24">
        <f t="shared" ca="1" si="111"/>
        <v>4</v>
      </c>
      <c r="N470" s="24">
        <f t="shared" ca="1" si="102"/>
        <v>32</v>
      </c>
      <c r="O470" s="24">
        <f t="shared" ca="1" si="103"/>
        <v>1</v>
      </c>
      <c r="P470" s="24">
        <f t="shared" ca="1" si="104"/>
        <v>1</v>
      </c>
      <c r="Q470" s="16" t="str">
        <f t="shared" ca="1" si="105"/>
        <v>Not Promoted</v>
      </c>
      <c r="R470" s="16" t="str" cm="1">
        <f t="array" ref="R470" ca="1">INDEX(Lookup!$E$2:$E$6,RANDBETWEEN(1,5))</f>
        <v>High School</v>
      </c>
      <c r="S470" s="16" t="str" cm="1">
        <f t="array" ref="S470" ca="1">INDEX(Lookup!$J$2:$J$11,RANDBETWEEN(1,10))</f>
        <v>Sophia Martin</v>
      </c>
      <c r="T470" s="16" t="str">
        <f t="shared" ca="1" si="106"/>
        <v>daniel.brown@hranalytics.com</v>
      </c>
      <c r="U470" s="16" t="str">
        <f t="shared" ca="1" si="107"/>
        <v>0856986888</v>
      </c>
      <c r="V470" s="16" t="str" cm="1">
        <f t="array" ref="V470" ca="1">_xlfn.LET(_xlpm.r,RANDBETWEEN(1,100),_xlfn.IFS(_xlpm.r&lt;=70,"Full-Time",_xlpm.r&lt;=85,"Part-Time",_xlpm.r&lt;=95,"Contract",TRUE,"Intern"))</f>
        <v>Intern</v>
      </c>
      <c r="W470" s="16" cm="1">
        <f t="array" ref="W470" ca="1">IF(K470&lt;&gt;"Active",0,_xlfn.IFS(M470=5,L470*15%,M470=4,L470*10%,M470=3,L470*5%,M470=2,L470*2%,TRUE,0))</f>
        <v>0</v>
      </c>
      <c r="X470" s="24">
        <f t="shared" ca="1" si="108"/>
        <v>4</v>
      </c>
      <c r="Y470" s="24">
        <f t="shared" ca="1" si="109"/>
        <v>1</v>
      </c>
    </row>
    <row r="471" spans="1:25">
      <c r="A471" s="16" t="str">
        <f t="shared" si="110"/>
        <v>EMP470</v>
      </c>
      <c r="B471" s="16" t="str" cm="1">
        <f t="array" ref="B471" ca="1">IF(D471="Male",INDEX(Lookup!$L$2:$L$13,RANDBETWEEN(1,12)),IF(D471="Female",INDEX(Lookup!$M$2:$M$13,RANDBETWEEN(1,12)),INDEX(Lookup!$N$2:$N$13,RANDBETWEEN(1,12))))</f>
        <v>Jack</v>
      </c>
      <c r="C471" s="16" t="str" cm="1">
        <f t="array" ref="C471" ca="1">INDEX(Lookup!$K$2:$K$31,RANDBETWEEN(1,30))</f>
        <v>Walker</v>
      </c>
      <c r="D471" s="16" t="str" cm="1">
        <f t="array" ref="D471" ca="1">INDEX(Lookup!$H$2:$H$4,RANDBETWEEN(1,3))</f>
        <v>Male</v>
      </c>
      <c r="E471" s="16">
        <f t="shared" ca="1" si="98"/>
        <v>30</v>
      </c>
      <c r="F471" s="16" t="str" cm="1">
        <f t="array" ref="F471" ca="1">INDEX(Lookup!$A$2:$A$10,RANDBETWEEN(1,9))</f>
        <v>Marketing</v>
      </c>
      <c r="G471" s="16" t="str" cm="1">
        <f t="array" ref="G471" ca="1">_xlfn.LET(_xlpm.Roles,_xlfn._xlws.FILTER(Lookup!$P$2:$P$28,Lookup!$O$2:$O$28=F471),INDEX(_xlpm.Roles,RANDBETWEEN(1,ROWS(_xlpm.Roles))))</f>
        <v>Digital Marketing Specialist</v>
      </c>
      <c r="H471" s="16" t="str" cm="1">
        <f t="array" ref="H471" ca="1">INDEX(Lookup!$B$2:$B$7,RANDBETWEEN(1,6))</f>
        <v>Galway</v>
      </c>
      <c r="I471" s="22">
        <f t="shared" ca="1" si="99"/>
        <v>43143</v>
      </c>
      <c r="J471" s="22">
        <f t="shared" ca="1" si="100"/>
        <v>44764</v>
      </c>
      <c r="K471" s="16" t="str">
        <f t="shared" ca="1" si="101"/>
        <v>Resigned</v>
      </c>
      <c r="L471" s="26">
        <f ca="1">_xlfn.XLOOKUP(G471,Lookup!$P$2:$P$28,Lookup!$Q$2:$Q$28)*(1+MIN(X471*3%,30%))</f>
        <v>51500</v>
      </c>
      <c r="M471" s="24">
        <f t="shared" ca="1" si="111"/>
        <v>2</v>
      </c>
      <c r="N471" s="24">
        <f t="shared" ca="1" si="102"/>
        <v>7</v>
      </c>
      <c r="O471" s="24">
        <f t="shared" ca="1" si="103"/>
        <v>13</v>
      </c>
      <c r="P471" s="24">
        <f t="shared" ca="1" si="104"/>
        <v>23</v>
      </c>
      <c r="Q471" s="16" t="str">
        <f t="shared" ca="1" si="105"/>
        <v>Not Promoted</v>
      </c>
      <c r="R471" s="16" t="str" cm="1">
        <f t="array" ref="R471" ca="1">INDEX(Lookup!$E$2:$E$6,RANDBETWEEN(1,5))</f>
        <v>PhD</v>
      </c>
      <c r="S471" s="16" t="str" cm="1">
        <f t="array" ref="S471" ca="1">INDEX(Lookup!$J$2:$J$11,RANDBETWEEN(1,10))</f>
        <v>Daniel Kelly</v>
      </c>
      <c r="T471" s="16" t="str">
        <f t="shared" ca="1" si="106"/>
        <v>jack.walker@hranalytics.com</v>
      </c>
      <c r="U471" s="16" t="str">
        <f t="shared" ca="1" si="107"/>
        <v>0841010815</v>
      </c>
      <c r="V471" s="16" t="str" cm="1">
        <f t="array" ref="V471" ca="1">_xlfn.LET(_xlpm.r,RANDBETWEEN(1,100),_xlfn.IFS(_xlpm.r&lt;=70,"Full-Time",_xlpm.r&lt;=85,"Part-Time",_xlpm.r&lt;=95,"Contract",TRUE,"Intern"))</f>
        <v>Part-Time</v>
      </c>
      <c r="W471" s="16" cm="1">
        <f t="array" ref="W471" ca="1">IF(K471&lt;&gt;"Active",0,_xlfn.IFS(M471=5,L471*15%,M471=4,L471*10%,M471=3,L471*5%,M471=2,L471*2%,TRUE,0))</f>
        <v>1030</v>
      </c>
      <c r="X471" s="24">
        <f t="shared" ca="1" si="108"/>
        <v>8</v>
      </c>
      <c r="Y471" s="24">
        <f t="shared" ca="1" si="109"/>
        <v>2</v>
      </c>
    </row>
    <row r="472" spans="1:25">
      <c r="A472" s="16" t="str">
        <f t="shared" si="110"/>
        <v>EMP471</v>
      </c>
      <c r="B472" s="16" t="str" cm="1">
        <f t="array" ref="B472" ca="1">IF(D472="Male",INDEX(Lookup!$L$2:$L$13,RANDBETWEEN(1,12)),IF(D472="Female",INDEX(Lookup!$M$2:$M$13,RANDBETWEEN(1,12)),INDEX(Lookup!$N$2:$N$13,RANDBETWEEN(1,12))))</f>
        <v>Riley</v>
      </c>
      <c r="C472" s="16" t="str" cm="1">
        <f t="array" ref="C472" ca="1">INDEX(Lookup!$K$2:$K$31,RANDBETWEEN(1,30))</f>
        <v>Hall</v>
      </c>
      <c r="D472" s="16" t="str" cm="1">
        <f t="array" ref="D472" ca="1">INDEX(Lookup!$H$2:$H$4,RANDBETWEEN(1,3))</f>
        <v>Other</v>
      </c>
      <c r="E472" s="16">
        <f t="shared" ca="1" si="98"/>
        <v>44</v>
      </c>
      <c r="F472" s="16" t="str" cm="1">
        <f t="array" ref="F472" ca="1">INDEX(Lookup!$A$2:$A$10,RANDBETWEEN(1,9))</f>
        <v>Procurement</v>
      </c>
      <c r="G472" s="16" t="str" cm="1">
        <f t="array" ref="G472" ca="1">_xlfn.LET(_xlpm.Roles,_xlfn._xlws.FILTER(Lookup!$P$2:$P$28,Lookup!$O$2:$O$28=F472),INDEX(_xlpm.Roles,RANDBETWEEN(1,ROWS(_xlpm.Roles))))</f>
        <v>Procurement Analyst</v>
      </c>
      <c r="H472" s="16" t="str" cm="1">
        <f t="array" ref="H472" ca="1">INDEX(Lookup!$B$2:$B$7,RANDBETWEEN(1,6))</f>
        <v>Limerick</v>
      </c>
      <c r="I472" s="22">
        <f t="shared" ca="1" si="99"/>
        <v>43657</v>
      </c>
      <c r="J472" s="22" t="str">
        <f t="shared" ca="1" si="100"/>
        <v/>
      </c>
      <c r="K472" s="16" t="str">
        <f t="shared" ca="1" si="101"/>
        <v>Active</v>
      </c>
      <c r="L472" s="26">
        <f ca="1">_xlfn.XLOOKUP(G472,Lookup!$P$2:$P$28,Lookup!$Q$2:$Q$28)*(1+MIN(X472*3%,30%))</f>
        <v>53000</v>
      </c>
      <c r="M472" s="24">
        <f t="shared" ca="1" si="111"/>
        <v>5</v>
      </c>
      <c r="N472" s="24">
        <f t="shared" ca="1" si="102"/>
        <v>38</v>
      </c>
      <c r="O472" s="24">
        <f t="shared" ca="1" si="103"/>
        <v>8</v>
      </c>
      <c r="P472" s="24">
        <f t="shared" ca="1" si="104"/>
        <v>7</v>
      </c>
      <c r="Q472" s="16" t="str">
        <f t="shared" ca="1" si="105"/>
        <v>Promoted</v>
      </c>
      <c r="R472" s="16" t="str" cm="1">
        <f t="array" ref="R472" ca="1">INDEX(Lookup!$E$2:$E$6,RANDBETWEEN(1,5))</f>
        <v>High School</v>
      </c>
      <c r="S472" s="16" t="str" cm="1">
        <f t="array" ref="S472" ca="1">INDEX(Lookup!$J$2:$J$11,RANDBETWEEN(1,10))</f>
        <v>Sophia Martin</v>
      </c>
      <c r="T472" s="16" t="str">
        <f t="shared" ca="1" si="106"/>
        <v>riley.hall@hranalytics.com</v>
      </c>
      <c r="U472" s="16" t="str">
        <f t="shared" ca="1" si="107"/>
        <v>0861441895</v>
      </c>
      <c r="V472" s="16" t="str" cm="1">
        <f t="array" ref="V472" ca="1">_xlfn.LET(_xlpm.r,RANDBETWEEN(1,100),_xlfn.IFS(_xlpm.r&lt;=70,"Full-Time",_xlpm.r&lt;=85,"Part-Time",_xlpm.r&lt;=95,"Contract",TRUE,"Intern"))</f>
        <v>Full-Time</v>
      </c>
      <c r="W472" s="16" cm="1">
        <f t="array" ref="W472" ca="1">IF(K472&lt;&gt;"Active",0,_xlfn.IFS(M472=5,L472*15%,M472=4,L472*10%,M472=3,L472*5%,M472=2,L472*2%,TRUE,0))</f>
        <v>5300</v>
      </c>
      <c r="X472" s="24">
        <f t="shared" ca="1" si="108"/>
        <v>7</v>
      </c>
      <c r="Y472" s="24">
        <f t="shared" ca="1" si="109"/>
        <v>3</v>
      </c>
    </row>
    <row r="473" spans="1:25">
      <c r="A473" s="16" t="str">
        <f t="shared" si="110"/>
        <v>EMP472</v>
      </c>
      <c r="B473" s="16" t="str" cm="1">
        <f t="array" ref="B473" ca="1">IF(D473="Male",INDEX(Lookup!$L$2:$L$13,RANDBETWEEN(1,12)),IF(D473="Female",INDEX(Lookup!$M$2:$M$13,RANDBETWEEN(1,12)),INDEX(Lookup!$N$2:$N$13,RANDBETWEEN(1,12))))</f>
        <v>David</v>
      </c>
      <c r="C473" s="16" t="str" cm="1">
        <f t="array" ref="C473" ca="1">INDEX(Lookup!$K$2:$K$31,RANDBETWEEN(1,30))</f>
        <v>Edwards</v>
      </c>
      <c r="D473" s="16" t="str" cm="1">
        <f t="array" ref="D473" ca="1">INDEX(Lookup!$H$2:$H$4,RANDBETWEEN(1,3))</f>
        <v>Male</v>
      </c>
      <c r="E473" s="16">
        <f t="shared" ca="1" si="98"/>
        <v>60</v>
      </c>
      <c r="F473" s="16" t="str" cm="1">
        <f t="array" ref="F473" ca="1">INDEX(Lookup!$A$2:$A$10,RANDBETWEEN(1,9))</f>
        <v>Customer Support</v>
      </c>
      <c r="G473" s="16" t="str" cm="1">
        <f t="array" ref="G473" ca="1">_xlfn.LET(_xlpm.Roles,_xlfn._xlws.FILTER(Lookup!$P$2:$P$28,Lookup!$O$2:$O$28=F473),INDEX(_xlpm.Roles,RANDBETWEEN(1,ROWS(_xlpm.Roles))))</f>
        <v>Technical Support Specialist</v>
      </c>
      <c r="H473" s="16" t="str" cm="1">
        <f t="array" ref="H473" ca="1">INDEX(Lookup!$B$2:$B$7,RANDBETWEEN(1,6))</f>
        <v>Cork</v>
      </c>
      <c r="I473" s="22">
        <f t="shared" ca="1" si="99"/>
        <v>44625</v>
      </c>
      <c r="J473" s="22" t="str">
        <f t="shared" ca="1" si="100"/>
        <v/>
      </c>
      <c r="K473" s="16" t="str">
        <f t="shared" ca="1" si="101"/>
        <v>Active</v>
      </c>
      <c r="L473" s="26">
        <f ca="1">_xlfn.XLOOKUP(G473,Lookup!$P$2:$P$28,Lookup!$Q$2:$Q$28)*(1+MIN(X473*3%,30%))</f>
        <v>50400</v>
      </c>
      <c r="M473" s="24">
        <f t="shared" ca="1" si="111"/>
        <v>4</v>
      </c>
      <c r="N473" s="24">
        <f t="shared" ca="1" si="102"/>
        <v>69</v>
      </c>
      <c r="O473" s="24">
        <f t="shared" ca="1" si="103"/>
        <v>11</v>
      </c>
      <c r="P473" s="24">
        <f t="shared" ca="1" si="104"/>
        <v>15</v>
      </c>
      <c r="Q473" s="16" t="str">
        <f t="shared" ca="1" si="105"/>
        <v>Promoted</v>
      </c>
      <c r="R473" s="16" t="str" cm="1">
        <f t="array" ref="R473" ca="1">INDEX(Lookup!$E$2:$E$6,RANDBETWEEN(1,5))</f>
        <v>Bachelor's</v>
      </c>
      <c r="S473" s="16" t="str" cm="1">
        <f t="array" ref="S473" ca="1">INDEX(Lookup!$J$2:$J$11,RANDBETWEEN(1,10))</f>
        <v>Sophia Martin</v>
      </c>
      <c r="T473" s="16" t="str">
        <f t="shared" ca="1" si="106"/>
        <v>david.edwards@hranalytics.com</v>
      </c>
      <c r="U473" s="16" t="str">
        <f t="shared" ca="1" si="107"/>
        <v>0892923931</v>
      </c>
      <c r="V473" s="16" t="str" cm="1">
        <f t="array" ref="V473" ca="1">_xlfn.LET(_xlpm.r,RANDBETWEEN(1,100),_xlfn.IFS(_xlpm.r&lt;=70,"Full-Time",_xlpm.r&lt;=85,"Part-Time",_xlpm.r&lt;=95,"Contract",TRUE,"Intern"))</f>
        <v>Full-Time</v>
      </c>
      <c r="W473" s="16" cm="1">
        <f t="array" ref="W473" ca="1">IF(K473&lt;&gt;"Active",0,_xlfn.IFS(M473=5,L473*15%,M473=4,L473*10%,M473=3,L473*5%,M473=2,L473*2%,TRUE,0))</f>
        <v>2520</v>
      </c>
      <c r="X473" s="24">
        <f t="shared" ca="1" si="108"/>
        <v>4</v>
      </c>
      <c r="Y473" s="24">
        <f t="shared" ca="1" si="109"/>
        <v>2</v>
      </c>
    </row>
    <row r="474" spans="1:25">
      <c r="A474" s="16" t="str">
        <f t="shared" si="110"/>
        <v>EMP473</v>
      </c>
      <c r="B474" s="16" t="str" cm="1">
        <f t="array" ref="B474" ca="1">IF(D474="Male",INDEX(Lookup!$L$2:$L$13,RANDBETWEEN(1,12)),IF(D474="Female",INDEX(Lookup!$M$2:$M$13,RANDBETWEEN(1,12)),INDEX(Lookup!$N$2:$N$13,RANDBETWEEN(1,12))))</f>
        <v>Taylor</v>
      </c>
      <c r="C474" s="16" t="str" cm="1">
        <f t="array" ref="C474" ca="1">INDEX(Lookup!$K$2:$K$31,RANDBETWEEN(1,30))</f>
        <v>Scott</v>
      </c>
      <c r="D474" s="16" t="str" cm="1">
        <f t="array" ref="D474" ca="1">INDEX(Lookup!$H$2:$H$4,RANDBETWEEN(1,3))</f>
        <v>Other</v>
      </c>
      <c r="E474" s="16">
        <f t="shared" ca="1" si="98"/>
        <v>59</v>
      </c>
      <c r="F474" s="16" t="str" cm="1">
        <f t="array" ref="F474" ca="1">INDEX(Lookup!$A$2:$A$10,RANDBETWEEN(1,9))</f>
        <v>Finance</v>
      </c>
      <c r="G474" s="16" t="str" cm="1">
        <f t="array" ref="G474" ca="1">_xlfn.LET(_xlpm.Roles,_xlfn._xlws.FILTER(Lookup!$P$2:$P$28,Lookup!$O$2:$O$28=F474),INDEX(_xlpm.Roles,RANDBETWEEN(1,ROWS(_xlpm.Roles))))</f>
        <v>Accountant</v>
      </c>
      <c r="H474" s="16" t="str" cm="1">
        <f t="array" ref="H474" ca="1">INDEX(Lookup!$B$2:$B$7,RANDBETWEEN(1,6))</f>
        <v>Limerick</v>
      </c>
      <c r="I474" s="22">
        <f t="shared" ca="1" si="99"/>
        <v>44750</v>
      </c>
      <c r="J474" s="22" t="str">
        <f t="shared" ca="1" si="100"/>
        <v/>
      </c>
      <c r="K474" s="16" t="str">
        <f t="shared" ca="1" si="101"/>
        <v>Active</v>
      </c>
      <c r="L474" s="26">
        <f ca="1">_xlfn.XLOOKUP(G474,Lookup!$P$2:$P$28,Lookup!$Q$2:$Q$28)*(1+MIN(X474*3%,30%))</f>
        <v>51500</v>
      </c>
      <c r="M474" s="24">
        <f t="shared" ca="1" si="111"/>
        <v>5</v>
      </c>
      <c r="N474" s="24">
        <f t="shared" ca="1" si="102"/>
        <v>54</v>
      </c>
      <c r="O474" s="24">
        <f t="shared" ca="1" si="103"/>
        <v>13</v>
      </c>
      <c r="P474" s="24">
        <f t="shared" ca="1" si="104"/>
        <v>43</v>
      </c>
      <c r="Q474" s="16" t="str">
        <f t="shared" ca="1" si="105"/>
        <v>Not Promoted</v>
      </c>
      <c r="R474" s="16" t="str" cm="1">
        <f t="array" ref="R474" ca="1">INDEX(Lookup!$E$2:$E$6,RANDBETWEEN(1,5))</f>
        <v>High School</v>
      </c>
      <c r="S474" s="16" t="str" cm="1">
        <f t="array" ref="S474" ca="1">INDEX(Lookup!$J$2:$J$11,RANDBETWEEN(1,10))</f>
        <v>Michael Brown</v>
      </c>
      <c r="T474" s="16" t="str">
        <f t="shared" ca="1" si="106"/>
        <v>taylor.scott@hranalytics.com</v>
      </c>
      <c r="U474" s="16" t="str">
        <f t="shared" ca="1" si="107"/>
        <v>0888596120</v>
      </c>
      <c r="V474" s="16" t="str" cm="1">
        <f t="array" ref="V474" ca="1">_xlfn.LET(_xlpm.r,RANDBETWEEN(1,100),_xlfn.IFS(_xlpm.r&lt;=70,"Full-Time",_xlpm.r&lt;=85,"Part-Time",_xlpm.r&lt;=95,"Contract",TRUE,"Intern"))</f>
        <v>Full-Time</v>
      </c>
      <c r="W474" s="16" cm="1">
        <f t="array" ref="W474" ca="1">IF(K474&lt;&gt;"Active",0,_xlfn.IFS(M474=5,L474*15%,M474=4,L474*10%,M474=3,L474*5%,M474=2,L474*2%,TRUE,0))</f>
        <v>7725</v>
      </c>
      <c r="X474" s="24">
        <f t="shared" ca="1" si="108"/>
        <v>4</v>
      </c>
      <c r="Y474" s="24">
        <f t="shared" ca="1" si="109"/>
        <v>1</v>
      </c>
    </row>
    <row r="475" spans="1:25">
      <c r="A475" s="16" t="str">
        <f t="shared" si="110"/>
        <v>EMP474</v>
      </c>
      <c r="B475" s="16" t="str" cm="1">
        <f t="array" ref="B475" ca="1">IF(D475="Male",INDEX(Lookup!$L$2:$L$13,RANDBETWEEN(1,12)),IF(D475="Female",INDEX(Lookup!$M$2:$M$13,RANDBETWEEN(1,12)),INDEX(Lookup!$N$2:$N$13,RANDBETWEEN(1,12))))</f>
        <v>Ryan</v>
      </c>
      <c r="C475" s="16" t="str" cm="1">
        <f t="array" ref="C475" ca="1">INDEX(Lookup!$K$2:$K$31,RANDBETWEEN(1,30))</f>
        <v>Adams</v>
      </c>
      <c r="D475" s="16" t="str" cm="1">
        <f t="array" ref="D475" ca="1">INDEX(Lookup!$H$2:$H$4,RANDBETWEEN(1,3))</f>
        <v>Male</v>
      </c>
      <c r="E475" s="16">
        <f t="shared" ca="1" si="98"/>
        <v>35</v>
      </c>
      <c r="F475" s="16" t="str" cm="1">
        <f t="array" ref="F475" ca="1">INDEX(Lookup!$A$2:$A$10,RANDBETWEEN(1,9))</f>
        <v>Customer Support</v>
      </c>
      <c r="G475" s="16" t="str" cm="1">
        <f t="array" ref="G475" ca="1">_xlfn.LET(_xlpm.Roles,_xlfn._xlws.FILTER(Lookup!$P$2:$P$28,Lookup!$O$2:$O$28=F475),INDEX(_xlpm.Roles,RANDBETWEEN(1,ROWS(_xlpm.Roles))))</f>
        <v>Technical Support Specialist</v>
      </c>
      <c r="H475" s="16" t="str" cm="1">
        <f t="array" ref="H475" ca="1">INDEX(Lookup!$B$2:$B$7,RANDBETWEEN(1,6))</f>
        <v>Waterford</v>
      </c>
      <c r="I475" s="22">
        <f t="shared" ca="1" si="99"/>
        <v>43195</v>
      </c>
      <c r="J475" s="22" t="str">
        <f t="shared" ca="1" si="100"/>
        <v/>
      </c>
      <c r="K475" s="16" t="str">
        <f t="shared" ca="1" si="101"/>
        <v>Active</v>
      </c>
      <c r="L475" s="26">
        <f ca="1">_xlfn.XLOOKUP(G475,Lookup!$P$2:$P$28,Lookup!$Q$2:$Q$28)*(1+MIN(X475*3%,30%))</f>
        <v>51750</v>
      </c>
      <c r="M475" s="24">
        <f t="shared" ca="1" si="111"/>
        <v>5</v>
      </c>
      <c r="N475" s="24">
        <f t="shared" ca="1" si="102"/>
        <v>23</v>
      </c>
      <c r="O475" s="24">
        <f t="shared" ca="1" si="103"/>
        <v>16</v>
      </c>
      <c r="P475" s="24">
        <f t="shared" ca="1" si="104"/>
        <v>58</v>
      </c>
      <c r="Q475" s="16" t="str">
        <f t="shared" ca="1" si="105"/>
        <v>Not Promoted</v>
      </c>
      <c r="R475" s="16" t="str" cm="1">
        <f t="array" ref="R475" ca="1">INDEX(Lookup!$E$2:$E$6,RANDBETWEEN(1,5))</f>
        <v>Dipolma</v>
      </c>
      <c r="S475" s="16" t="str" cm="1">
        <f t="array" ref="S475" ca="1">INDEX(Lookup!$J$2:$J$11,RANDBETWEEN(1,10))</f>
        <v>Emma Wilson</v>
      </c>
      <c r="T475" s="16" t="str">
        <f t="shared" ca="1" si="106"/>
        <v>ryan.adams@hranalytics.com</v>
      </c>
      <c r="U475" s="16" t="str">
        <f t="shared" ca="1" si="107"/>
        <v>0832061079</v>
      </c>
      <c r="V475" s="16" t="str" cm="1">
        <f t="array" ref="V475" ca="1">_xlfn.LET(_xlpm.r,RANDBETWEEN(1,100),_xlfn.IFS(_xlpm.r&lt;=70,"Full-Time",_xlpm.r&lt;=85,"Part-Time",_xlpm.r&lt;=95,"Contract",TRUE,"Intern"))</f>
        <v>Full-Time</v>
      </c>
      <c r="W475" s="16" cm="1">
        <f t="array" ref="W475" ca="1">IF(K475&lt;&gt;"Active",0,_xlfn.IFS(M475=5,L475*15%,M475=4,L475*10%,M475=3,L475*5%,M475=2,L475*2%,TRUE,0))</f>
        <v>0</v>
      </c>
      <c r="X475" s="24">
        <f t="shared" ca="1" si="108"/>
        <v>8</v>
      </c>
      <c r="Y475" s="24">
        <f t="shared" ca="1" si="109"/>
        <v>1</v>
      </c>
    </row>
    <row r="476" spans="1:25">
      <c r="A476" s="16" t="str">
        <f t="shared" si="110"/>
        <v>EMP475</v>
      </c>
      <c r="B476" s="16" t="str" cm="1">
        <f t="array" ref="B476" ca="1">IF(D476="Male",INDEX(Lookup!$L$2:$L$13,RANDBETWEEN(1,12)),IF(D476="Female",INDEX(Lookup!$M$2:$M$13,RANDBETWEEN(1,12)),INDEX(Lookup!$N$2:$N$13,RANDBETWEEN(1,12))))</f>
        <v>Isabella</v>
      </c>
      <c r="C476" s="16" t="str" cm="1">
        <f t="array" ref="C476" ca="1">INDEX(Lookup!$K$2:$K$31,RANDBETWEEN(1,30))</f>
        <v>Campbell</v>
      </c>
      <c r="D476" s="16" t="str" cm="1">
        <f t="array" ref="D476" ca="1">INDEX(Lookup!$H$2:$H$4,RANDBETWEEN(1,3))</f>
        <v>Female</v>
      </c>
      <c r="E476" s="16">
        <f t="shared" ca="1" si="98"/>
        <v>28</v>
      </c>
      <c r="F476" s="16" t="str" cm="1">
        <f t="array" ref="F476" ca="1">INDEX(Lookup!$A$2:$A$10,RANDBETWEEN(1,9))</f>
        <v>Procurement</v>
      </c>
      <c r="G476" s="16" t="str" cm="1">
        <f t="array" ref="G476" ca="1">_xlfn.LET(_xlpm.Roles,_xlfn._xlws.FILTER(Lookup!$P$2:$P$28,Lookup!$O$2:$O$28=F476),INDEX(_xlpm.Roles,RANDBETWEEN(1,ROWS(_xlpm.Roles))))</f>
        <v>Purchasing Executive</v>
      </c>
      <c r="H476" s="16" t="str" cm="1">
        <f t="array" ref="H476" ca="1">INDEX(Lookup!$B$2:$B$7,RANDBETWEEN(1,6))</f>
        <v>Waterford</v>
      </c>
      <c r="I476" s="22">
        <f t="shared" ca="1" si="99"/>
        <v>43361</v>
      </c>
      <c r="J476" s="22" t="str">
        <f t="shared" ca="1" si="100"/>
        <v/>
      </c>
      <c r="K476" s="16" t="str">
        <f t="shared" ca="1" si="101"/>
        <v>Active</v>
      </c>
      <c r="L476" s="26">
        <f ca="1">_xlfn.XLOOKUP(G476,Lookup!$P$2:$P$28,Lookup!$Q$2:$Q$28)*(1+MIN(X476*3%,30%))</f>
        <v>44520</v>
      </c>
      <c r="M476" s="24">
        <f t="shared" ca="1" si="111"/>
        <v>1</v>
      </c>
      <c r="N476" s="24">
        <f t="shared" ca="1" si="102"/>
        <v>2</v>
      </c>
      <c r="O476" s="24">
        <f t="shared" ca="1" si="103"/>
        <v>19</v>
      </c>
      <c r="P476" s="24">
        <f t="shared" ca="1" si="104"/>
        <v>37</v>
      </c>
      <c r="Q476" s="16" t="str">
        <f t="shared" ca="1" si="105"/>
        <v>Not Promoted</v>
      </c>
      <c r="R476" s="16" t="str" cm="1">
        <f t="array" ref="R476" ca="1">INDEX(Lookup!$E$2:$E$6,RANDBETWEEN(1,5))</f>
        <v>Master's</v>
      </c>
      <c r="S476" s="16" t="str" cm="1">
        <f t="array" ref="S476" ca="1">INDEX(Lookup!$J$2:$J$11,RANDBETWEEN(1,10))</f>
        <v>Sophia Martin</v>
      </c>
      <c r="T476" s="16" t="str">
        <f t="shared" ca="1" si="106"/>
        <v>isabella.campbell@hranalytics.com</v>
      </c>
      <c r="U476" s="16" t="str">
        <f t="shared" ca="1" si="107"/>
        <v>0841030505</v>
      </c>
      <c r="V476" s="16" t="str" cm="1">
        <f t="array" ref="V476" ca="1">_xlfn.LET(_xlpm.r,RANDBETWEEN(1,100),_xlfn.IFS(_xlpm.r&lt;=70,"Full-Time",_xlpm.r&lt;=85,"Part-Time",_xlpm.r&lt;=95,"Contract",TRUE,"Intern"))</f>
        <v>Full-Time</v>
      </c>
      <c r="W476" s="16" cm="1">
        <f t="array" ref="W476" ca="1">IF(K476&lt;&gt;"Active",0,_xlfn.IFS(M476=5,L476*15%,M476=4,L476*10%,M476=3,L476*5%,M476=2,L476*2%,TRUE,0))</f>
        <v>0</v>
      </c>
      <c r="X476" s="24">
        <f t="shared" ca="1" si="108"/>
        <v>7</v>
      </c>
      <c r="Y476" s="24">
        <f t="shared" ca="1" si="109"/>
        <v>1</v>
      </c>
    </row>
    <row r="477" spans="1:25">
      <c r="A477" s="16" t="str">
        <f t="shared" si="110"/>
        <v>EMP476</v>
      </c>
      <c r="B477" s="16" t="str" cm="1">
        <f t="array" ref="B477" ca="1">IF(D477="Male",INDEX(Lookup!$L$2:$L$13,RANDBETWEEN(1,12)),IF(D477="Female",INDEX(Lookup!$M$2:$M$13,RANDBETWEEN(1,12)),INDEX(Lookup!$N$2:$N$13,RANDBETWEEN(1,12))))</f>
        <v>Daniel</v>
      </c>
      <c r="C477" s="16" t="str" cm="1">
        <f t="array" ref="C477" ca="1">INDEX(Lookup!$K$2:$K$31,RANDBETWEEN(1,30))</f>
        <v>Collins</v>
      </c>
      <c r="D477" s="16" t="str" cm="1">
        <f t="array" ref="D477" ca="1">INDEX(Lookup!$H$2:$H$4,RANDBETWEEN(1,3))</f>
        <v>Male</v>
      </c>
      <c r="E477" s="16">
        <f t="shared" ca="1" si="98"/>
        <v>54</v>
      </c>
      <c r="F477" s="16" t="str" cm="1">
        <f t="array" ref="F477" ca="1">INDEX(Lookup!$A$2:$A$10,RANDBETWEEN(1,9))</f>
        <v>IT</v>
      </c>
      <c r="G477" s="16" t="str" cm="1">
        <f t="array" ref="G477" ca="1">_xlfn.LET(_xlpm.Roles,_xlfn._xlws.FILTER(Lookup!$P$2:$P$28,Lookup!$O$2:$O$28=F477),INDEX(_xlpm.Roles,RANDBETWEEN(1,ROWS(_xlpm.Roles))))</f>
        <v>Business Analyst</v>
      </c>
      <c r="H477" s="16" t="str" cm="1">
        <f t="array" ref="H477" ca="1">INDEX(Lookup!$B$2:$B$7,RANDBETWEEN(1,6))</f>
        <v>Waterford</v>
      </c>
      <c r="I477" s="22">
        <f t="shared" ca="1" si="99"/>
        <v>44953</v>
      </c>
      <c r="J477" s="22" t="str">
        <f t="shared" ca="1" si="100"/>
        <v/>
      </c>
      <c r="K477" s="16" t="str">
        <f t="shared" ca="1" si="101"/>
        <v>Active</v>
      </c>
      <c r="L477" s="26">
        <f ca="1">_xlfn.XLOOKUP(G477,Lookup!$P$2:$P$28,Lookup!$Q$2:$Q$28)*(1+MIN(X477*3%,30%))</f>
        <v>70800</v>
      </c>
      <c r="M477" s="24">
        <f t="shared" ca="1" si="111"/>
        <v>1</v>
      </c>
      <c r="N477" s="24">
        <f t="shared" ca="1" si="102"/>
        <v>31</v>
      </c>
      <c r="O477" s="24">
        <f t="shared" ca="1" si="103"/>
        <v>5</v>
      </c>
      <c r="P477" s="24">
        <f t="shared" ca="1" si="104"/>
        <v>14</v>
      </c>
      <c r="Q477" s="16" t="str">
        <f t="shared" ca="1" si="105"/>
        <v>Promoted</v>
      </c>
      <c r="R477" s="16" t="str" cm="1">
        <f t="array" ref="R477" ca="1">INDEX(Lookup!$E$2:$E$6,RANDBETWEEN(1,5))</f>
        <v>High School</v>
      </c>
      <c r="S477" s="16" t="str" cm="1">
        <f t="array" ref="S477" ca="1">INDEX(Lookup!$J$2:$J$11,RANDBETWEEN(1,10))</f>
        <v>Grace O'Connor</v>
      </c>
      <c r="T477" s="16" t="str">
        <f t="shared" ca="1" si="106"/>
        <v>daniel.collins@hranalytics.com</v>
      </c>
      <c r="U477" s="16" t="str">
        <f t="shared" ca="1" si="107"/>
        <v>0838792698</v>
      </c>
      <c r="V477" s="16" t="str" cm="1">
        <f t="array" ref="V477" ca="1">_xlfn.LET(_xlpm.r,RANDBETWEEN(1,100),_xlfn.IFS(_xlpm.r&lt;=70,"Full-Time",_xlpm.r&lt;=85,"Part-Time",_xlpm.r&lt;=95,"Contract",TRUE,"Intern"))</f>
        <v>Full-Time</v>
      </c>
      <c r="W477" s="16" cm="1">
        <f t="array" ref="W477" ca="1">IF(K477&lt;&gt;"Active",0,_xlfn.IFS(M477=5,L477*15%,M477=4,L477*10%,M477=3,L477*5%,M477=2,L477*2%,TRUE,0))</f>
        <v>7080</v>
      </c>
      <c r="X477" s="24">
        <f t="shared" ca="1" si="108"/>
        <v>3</v>
      </c>
      <c r="Y477" s="24">
        <f t="shared" ca="1" si="109"/>
        <v>3</v>
      </c>
    </row>
    <row r="478" spans="1:25">
      <c r="A478" s="16" t="str">
        <f t="shared" si="110"/>
        <v>EMP477</v>
      </c>
      <c r="B478" s="16" t="str" cm="1">
        <f t="array" ref="B478" ca="1">IF(D478="Male",INDEX(Lookup!$L$2:$L$13,RANDBETWEEN(1,12)),IF(D478="Female",INDEX(Lookup!$M$2:$M$13,RANDBETWEEN(1,12)),INDEX(Lookup!$N$2:$N$13,RANDBETWEEN(1,12))))</f>
        <v>Robin</v>
      </c>
      <c r="C478" s="16" t="str" cm="1">
        <f t="array" ref="C478" ca="1">INDEX(Lookup!$K$2:$K$31,RANDBETWEEN(1,30))</f>
        <v>Baker</v>
      </c>
      <c r="D478" s="16" t="str" cm="1">
        <f t="array" ref="D478" ca="1">INDEX(Lookup!$H$2:$H$4,RANDBETWEEN(1,3))</f>
        <v>Other</v>
      </c>
      <c r="E478" s="16">
        <f t="shared" ca="1" si="98"/>
        <v>54</v>
      </c>
      <c r="F478" s="16" t="str" cm="1">
        <f t="array" ref="F478" ca="1">INDEX(Lookup!$A$2:$A$10,RANDBETWEEN(1,9))</f>
        <v>Operations</v>
      </c>
      <c r="G478" s="16" t="str" cm="1">
        <f t="array" ref="G478" ca="1">_xlfn.LET(_xlpm.Roles,_xlfn._xlws.FILTER(Lookup!$P$2:$P$28,Lookup!$O$2:$O$28=F478),INDEX(_xlpm.Roles,RANDBETWEEN(1,ROWS(_xlpm.Roles))))</f>
        <v>Operations Executive</v>
      </c>
      <c r="H478" s="16" t="str" cm="1">
        <f t="array" ref="H478" ca="1">INDEX(Lookup!$B$2:$B$7,RANDBETWEEN(1,6))</f>
        <v>Belfast</v>
      </c>
      <c r="I478" s="22">
        <f t="shared" ca="1" si="99"/>
        <v>43111</v>
      </c>
      <c r="J478" s="22" t="str">
        <f t="shared" ca="1" si="100"/>
        <v/>
      </c>
      <c r="K478" s="16" t="str">
        <f t="shared" ca="1" si="101"/>
        <v>Active</v>
      </c>
      <c r="L478" s="26">
        <f ca="1">_xlfn.XLOOKUP(G478,Lookup!$P$2:$P$28,Lookup!$Q$2:$Q$28)*(1+MIN(X478*3%,30%))</f>
        <v>42000</v>
      </c>
      <c r="M478" s="24">
        <f t="shared" ca="1" si="111"/>
        <v>4</v>
      </c>
      <c r="N478" s="24">
        <f t="shared" ca="1" si="102"/>
        <v>51</v>
      </c>
      <c r="O478" s="24">
        <f t="shared" ca="1" si="103"/>
        <v>17</v>
      </c>
      <c r="P478" s="24">
        <f t="shared" ca="1" si="104"/>
        <v>17</v>
      </c>
      <c r="Q478" s="16" t="str">
        <f t="shared" ca="1" si="105"/>
        <v>Not Promoted</v>
      </c>
      <c r="R478" s="16" t="str" cm="1">
        <f t="array" ref="R478" ca="1">INDEX(Lookup!$E$2:$E$6,RANDBETWEEN(1,5))</f>
        <v>High School</v>
      </c>
      <c r="S478" s="16" t="str" cm="1">
        <f t="array" ref="S478" ca="1">INDEX(Lookup!$J$2:$J$11,RANDBETWEEN(1,10))</f>
        <v>Liam Byrne</v>
      </c>
      <c r="T478" s="16" t="str">
        <f t="shared" ca="1" si="106"/>
        <v>robin.baker@hranalytics.com</v>
      </c>
      <c r="U478" s="16" t="str">
        <f t="shared" ca="1" si="107"/>
        <v>0887412355</v>
      </c>
      <c r="V478" s="16" t="str" cm="1">
        <f t="array" ref="V478" ca="1">_xlfn.LET(_xlpm.r,RANDBETWEEN(1,100),_xlfn.IFS(_xlpm.r&lt;=70,"Full-Time",_xlpm.r&lt;=85,"Part-Time",_xlpm.r&lt;=95,"Contract",TRUE,"Intern"))</f>
        <v>Full-Time</v>
      </c>
      <c r="W478" s="16" cm="1">
        <f t="array" ref="W478" ca="1">IF(K478&lt;&gt;"Active",0,_xlfn.IFS(M478=5,L478*15%,M478=4,L478*10%,M478=3,L478*5%,M478=2,L478*2%,TRUE,0))</f>
        <v>840</v>
      </c>
      <c r="X478" s="24">
        <f t="shared" ca="1" si="108"/>
        <v>8</v>
      </c>
      <c r="Y478" s="24">
        <f t="shared" ca="1" si="109"/>
        <v>2</v>
      </c>
    </row>
    <row r="479" spans="1:25">
      <c r="A479" s="16" t="str">
        <f t="shared" si="110"/>
        <v>EMP478</v>
      </c>
      <c r="B479" s="16" t="str" cm="1">
        <f t="array" ref="B479" ca="1">IF(D479="Male",INDEX(Lookup!$L$2:$L$13,RANDBETWEEN(1,12)),IF(D479="Female",INDEX(Lookup!$M$2:$M$13,RANDBETWEEN(1,12)),INDEX(Lookup!$N$2:$N$13,RANDBETWEEN(1,12))))</f>
        <v>John</v>
      </c>
      <c r="C479" s="16" t="str" cm="1">
        <f t="array" ref="C479" ca="1">INDEX(Lookup!$K$2:$K$31,RANDBETWEEN(1,30))</f>
        <v>Green</v>
      </c>
      <c r="D479" s="16" t="str" cm="1">
        <f t="array" ref="D479" ca="1">INDEX(Lookup!$H$2:$H$4,RANDBETWEEN(1,3))</f>
        <v>Male</v>
      </c>
      <c r="E479" s="16">
        <f t="shared" ca="1" si="98"/>
        <v>57</v>
      </c>
      <c r="F479" s="16" t="str" cm="1">
        <f t="array" ref="F479" ca="1">INDEX(Lookup!$A$2:$A$10,RANDBETWEEN(1,9))</f>
        <v>Sales</v>
      </c>
      <c r="G479" s="16" t="str" cm="1">
        <f t="array" ref="G479" ca="1">_xlfn.LET(_xlpm.Roles,_xlfn._xlws.FILTER(Lookup!$P$2:$P$28,Lookup!$O$2:$O$28=F479),INDEX(_xlpm.Roles,RANDBETWEEN(1,ROWS(_xlpm.Roles))))</f>
        <v>Account Manager</v>
      </c>
      <c r="H479" s="16" t="str" cm="1">
        <f t="array" ref="H479" ca="1">INDEX(Lookup!$B$2:$B$7,RANDBETWEEN(1,6))</f>
        <v>Dublin</v>
      </c>
      <c r="I479" s="22">
        <f t="shared" ca="1" si="99"/>
        <v>44132</v>
      </c>
      <c r="J479" s="22" t="str">
        <f t="shared" ca="1" si="100"/>
        <v/>
      </c>
      <c r="K479" s="16" t="str">
        <f t="shared" ca="1" si="101"/>
        <v>Active</v>
      </c>
      <c r="L479" s="26">
        <f ca="1">_xlfn.XLOOKUP(G479,Lookup!$P$2:$P$28,Lookup!$Q$2:$Q$28)*(1+MIN(X479*3%,30%))</f>
        <v>61600</v>
      </c>
      <c r="M479" s="24">
        <f t="shared" ca="1" si="111"/>
        <v>1</v>
      </c>
      <c r="N479" s="24">
        <f t="shared" ca="1" si="102"/>
        <v>70</v>
      </c>
      <c r="O479" s="24">
        <f t="shared" ca="1" si="103"/>
        <v>13</v>
      </c>
      <c r="P479" s="24">
        <f t="shared" ca="1" si="104"/>
        <v>37</v>
      </c>
      <c r="Q479" s="16" t="str">
        <f t="shared" ca="1" si="105"/>
        <v>Promoted</v>
      </c>
      <c r="R479" s="16" t="str" cm="1">
        <f t="array" ref="R479" ca="1">INDEX(Lookup!$E$2:$E$6,RANDBETWEEN(1,5))</f>
        <v>Dipolma</v>
      </c>
      <c r="S479" s="16" t="str" cm="1">
        <f t="array" ref="S479" ca="1">INDEX(Lookup!$J$2:$J$11,RANDBETWEEN(1,10))</f>
        <v>Liam Byrne</v>
      </c>
      <c r="T479" s="16" t="str">
        <f t="shared" ca="1" si="106"/>
        <v>john.green@hranalytics.com</v>
      </c>
      <c r="U479" s="16" t="str">
        <f t="shared" ca="1" si="107"/>
        <v>0861349976</v>
      </c>
      <c r="V479" s="16" t="str" cm="1">
        <f t="array" ref="V479" ca="1">_xlfn.LET(_xlpm.r,RANDBETWEEN(1,100),_xlfn.IFS(_xlpm.r&lt;=70,"Full-Time",_xlpm.r&lt;=85,"Part-Time",_xlpm.r&lt;=95,"Contract",TRUE,"Intern"))</f>
        <v>Contract</v>
      </c>
      <c r="W479" s="16" cm="1">
        <f t="array" ref="W479" ca="1">IF(K479&lt;&gt;"Active",0,_xlfn.IFS(M479=5,L479*15%,M479=4,L479*10%,M479=3,L479*5%,M479=2,L479*2%,TRUE,0))</f>
        <v>9240</v>
      </c>
      <c r="X479" s="24">
        <f t="shared" ca="1" si="108"/>
        <v>5</v>
      </c>
      <c r="Y479" s="24">
        <f t="shared" ca="1" si="109"/>
        <v>2</v>
      </c>
    </row>
    <row r="480" spans="1:25">
      <c r="A480" s="16" t="str">
        <f t="shared" si="110"/>
        <v>EMP479</v>
      </c>
      <c r="B480" s="16" t="str" cm="1">
        <f t="array" ref="B480" ca="1">IF(D480="Male",INDEX(Lookup!$L$2:$L$13,RANDBETWEEN(1,12)),IF(D480="Female",INDEX(Lookup!$M$2:$M$13,RANDBETWEEN(1,12)),INDEX(Lookup!$N$2:$N$13,RANDBETWEEN(1,12))))</f>
        <v>Mia</v>
      </c>
      <c r="C480" s="16" t="str" cm="1">
        <f t="array" ref="C480" ca="1">INDEX(Lookup!$K$2:$K$31,RANDBETWEEN(1,30))</f>
        <v>Martin</v>
      </c>
      <c r="D480" s="16" t="str" cm="1">
        <f t="array" ref="D480" ca="1">INDEX(Lookup!$H$2:$H$4,RANDBETWEEN(1,3))</f>
        <v>Female</v>
      </c>
      <c r="E480" s="16">
        <f t="shared" ca="1" si="98"/>
        <v>25</v>
      </c>
      <c r="F480" s="16" t="str" cm="1">
        <f t="array" ref="F480" ca="1">INDEX(Lookup!$A$2:$A$10,RANDBETWEEN(1,9))</f>
        <v>Finance</v>
      </c>
      <c r="G480" s="16" t="str" cm="1">
        <f t="array" ref="G480" ca="1">_xlfn.LET(_xlpm.Roles,_xlfn._xlws.FILTER(Lookup!$P$2:$P$28,Lookup!$O$2:$O$28=F480),INDEX(_xlpm.Roles,RANDBETWEEN(1,ROWS(_xlpm.Roles))))</f>
        <v>Accountant</v>
      </c>
      <c r="H480" s="16" t="str" cm="1">
        <f t="array" ref="H480" ca="1">INDEX(Lookup!$B$2:$B$7,RANDBETWEEN(1,6))</f>
        <v>Dublin</v>
      </c>
      <c r="I480" s="22">
        <f t="shared" ca="1" si="99"/>
        <v>44658</v>
      </c>
      <c r="J480" s="22" t="str">
        <f t="shared" ca="1" si="100"/>
        <v/>
      </c>
      <c r="K480" s="16" t="str">
        <f t="shared" ca="1" si="101"/>
        <v>Active</v>
      </c>
      <c r="L480" s="26">
        <f ca="1">_xlfn.XLOOKUP(G480,Lookup!$P$2:$P$28,Lookup!$Q$2:$Q$28)*(1+MIN(X480*3%,30%))</f>
        <v>59000</v>
      </c>
      <c r="M480" s="24">
        <f t="shared" ca="1" si="111"/>
        <v>4</v>
      </c>
      <c r="N480" s="24">
        <f t="shared" ca="1" si="102"/>
        <v>12</v>
      </c>
      <c r="O480" s="24">
        <f t="shared" ca="1" si="103"/>
        <v>12</v>
      </c>
      <c r="P480" s="24">
        <f t="shared" ca="1" si="104"/>
        <v>49</v>
      </c>
      <c r="Q480" s="16" t="str">
        <f t="shared" ca="1" si="105"/>
        <v>Promoted</v>
      </c>
      <c r="R480" s="16" t="str" cm="1">
        <f t="array" ref="R480" ca="1">INDEX(Lookup!$E$2:$E$6,RANDBETWEEN(1,5))</f>
        <v>High School</v>
      </c>
      <c r="S480" s="16" t="str" cm="1">
        <f t="array" ref="S480" ca="1">INDEX(Lookup!$J$2:$J$11,RANDBETWEEN(1,10))</f>
        <v>Olivia Smith</v>
      </c>
      <c r="T480" s="16" t="str">
        <f t="shared" ca="1" si="106"/>
        <v>mia.martin@hranalytics.com</v>
      </c>
      <c r="U480" s="16" t="str">
        <f t="shared" ca="1" si="107"/>
        <v>0844429681</v>
      </c>
      <c r="V480" s="16" t="str" cm="1">
        <f t="array" ref="V480" ca="1">_xlfn.LET(_xlpm.r,RANDBETWEEN(1,100),_xlfn.IFS(_xlpm.r&lt;=70,"Full-Time",_xlpm.r&lt;=85,"Part-Time",_xlpm.r&lt;=95,"Contract",TRUE,"Intern"))</f>
        <v>Full-Time</v>
      </c>
      <c r="W480" s="16" cm="1">
        <f t="array" ref="W480" ca="1">IF(K480&lt;&gt;"Active",0,_xlfn.IFS(M480=5,L480*15%,M480=4,L480*10%,M480=3,L480*5%,M480=2,L480*2%,TRUE,0))</f>
        <v>8850</v>
      </c>
      <c r="X480" s="24">
        <f t="shared" ca="1" si="108"/>
        <v>4</v>
      </c>
      <c r="Y480" s="24">
        <f t="shared" ca="1" si="109"/>
        <v>3</v>
      </c>
    </row>
    <row r="481" spans="1:25">
      <c r="A481" s="16" t="str">
        <f t="shared" si="110"/>
        <v>EMP480</v>
      </c>
      <c r="B481" s="16" t="str" cm="1">
        <f t="array" ref="B481" ca="1">IF(D481="Male",INDEX(Lookup!$L$2:$L$13,RANDBETWEEN(1,12)),IF(D481="Female",INDEX(Lookup!$M$2:$M$13,RANDBETWEEN(1,12)),INDEX(Lookup!$N$2:$N$13,RANDBETWEEN(1,12))))</f>
        <v>Ryan</v>
      </c>
      <c r="C481" s="16" t="str" cm="1">
        <f t="array" ref="C481" ca="1">INDEX(Lookup!$K$2:$K$31,RANDBETWEEN(1,30))</f>
        <v>Wilson</v>
      </c>
      <c r="D481" s="16" t="str" cm="1">
        <f t="array" ref="D481" ca="1">INDEX(Lookup!$H$2:$H$4,RANDBETWEEN(1,3))</f>
        <v>Male</v>
      </c>
      <c r="E481" s="16">
        <f t="shared" ca="1" si="98"/>
        <v>55</v>
      </c>
      <c r="F481" s="16" t="str" cm="1">
        <f t="array" ref="F481" ca="1">INDEX(Lookup!$A$2:$A$10,RANDBETWEEN(1,9))</f>
        <v>Legal</v>
      </c>
      <c r="G481" s="16" t="str" cm="1">
        <f t="array" ref="G481" ca="1">_xlfn.LET(_xlpm.Roles,_xlfn._xlws.FILTER(Lookup!$P$2:$P$28,Lookup!$O$2:$O$28=F481),INDEX(_xlpm.Roles,RANDBETWEEN(1,ROWS(_xlpm.Roles))))</f>
        <v>Compliance Officer</v>
      </c>
      <c r="H481" s="16" t="str" cm="1">
        <f t="array" ref="H481" ca="1">INDEX(Lookup!$B$2:$B$7,RANDBETWEEN(1,6))</f>
        <v>Waterford</v>
      </c>
      <c r="I481" s="22">
        <f t="shared" ca="1" si="99"/>
        <v>43550</v>
      </c>
      <c r="J481" s="22" t="str">
        <f t="shared" ca="1" si="100"/>
        <v/>
      </c>
      <c r="K481" s="16" t="str">
        <f t="shared" ca="1" si="101"/>
        <v>Active</v>
      </c>
      <c r="L481" s="26">
        <f ca="1">_xlfn.XLOOKUP(G481,Lookup!$P$2:$P$28,Lookup!$Q$2:$Q$28)*(1+MIN(X481*3%,30%))</f>
        <v>67200</v>
      </c>
      <c r="M481" s="24">
        <f t="shared" ca="1" si="111"/>
        <v>3</v>
      </c>
      <c r="N481" s="24">
        <f t="shared" ca="1" si="102"/>
        <v>73</v>
      </c>
      <c r="O481" s="24">
        <f t="shared" ca="1" si="103"/>
        <v>12</v>
      </c>
      <c r="P481" s="24">
        <f t="shared" ca="1" si="104"/>
        <v>16</v>
      </c>
      <c r="Q481" s="16" t="str">
        <f t="shared" ca="1" si="105"/>
        <v>Promoted</v>
      </c>
      <c r="R481" s="16" t="str" cm="1">
        <f t="array" ref="R481" ca="1">INDEX(Lookup!$E$2:$E$6,RANDBETWEEN(1,5))</f>
        <v>Dipolma</v>
      </c>
      <c r="S481" s="16" t="str" cm="1">
        <f t="array" ref="S481" ca="1">INDEX(Lookup!$J$2:$J$11,RANDBETWEEN(1,10))</f>
        <v>Michael Brown</v>
      </c>
      <c r="T481" s="16" t="str">
        <f t="shared" ca="1" si="106"/>
        <v>ryan.wilson@hranalytics.com</v>
      </c>
      <c r="U481" s="16" t="str">
        <f t="shared" ca="1" si="107"/>
        <v>0874934898</v>
      </c>
      <c r="V481" s="16" t="str" cm="1">
        <f t="array" ref="V481" ca="1">_xlfn.LET(_xlpm.r,RANDBETWEEN(1,100),_xlfn.IFS(_xlpm.r&lt;=70,"Full-Time",_xlpm.r&lt;=85,"Part-Time",_xlpm.r&lt;=95,"Contract",TRUE,"Intern"))</f>
        <v>Full-Time</v>
      </c>
      <c r="W481" s="16" cm="1">
        <f t="array" ref="W481" ca="1">IF(K481&lt;&gt;"Active",0,_xlfn.IFS(M481=5,L481*15%,M481=4,L481*10%,M481=3,L481*5%,M481=2,L481*2%,TRUE,0))</f>
        <v>10080</v>
      </c>
      <c r="X481" s="24">
        <f t="shared" ca="1" si="108"/>
        <v>7</v>
      </c>
      <c r="Y481" s="24">
        <f t="shared" ca="1" si="109"/>
        <v>1</v>
      </c>
    </row>
    <row r="482" spans="1:25">
      <c r="A482" s="16" t="str">
        <f t="shared" si="110"/>
        <v>EMP481</v>
      </c>
      <c r="B482" s="16" t="str" cm="1">
        <f t="array" ref="B482" ca="1">IF(D482="Male",INDEX(Lookup!$L$2:$L$13,RANDBETWEEN(1,12)),IF(D482="Female",INDEX(Lookup!$M$2:$M$13,RANDBETWEEN(1,12)),INDEX(Lookup!$N$2:$N$13,RANDBETWEEN(1,12))))</f>
        <v>Taylor</v>
      </c>
      <c r="C482" s="16" t="str" cm="1">
        <f t="array" ref="C482" ca="1">INDEX(Lookup!$K$2:$K$31,RANDBETWEEN(1,30))</f>
        <v>White</v>
      </c>
      <c r="D482" s="16" t="str" cm="1">
        <f t="array" ref="D482" ca="1">INDEX(Lookup!$H$2:$H$4,RANDBETWEEN(1,3))</f>
        <v>Other</v>
      </c>
      <c r="E482" s="16">
        <f t="shared" ca="1" si="98"/>
        <v>44</v>
      </c>
      <c r="F482" s="16" t="str" cm="1">
        <f t="array" ref="F482" ca="1">INDEX(Lookup!$A$2:$A$10,RANDBETWEEN(1,9))</f>
        <v>Marketing</v>
      </c>
      <c r="G482" s="16" t="str" cm="1">
        <f t="array" ref="G482" ca="1">_xlfn.LET(_xlpm.Roles,_xlfn._xlws.FILTER(Lookup!$P$2:$P$28,Lookup!$O$2:$O$28=F482),INDEX(_xlpm.Roles,RANDBETWEEN(1,ROWS(_xlpm.Roles))))</f>
        <v>Brand Executive</v>
      </c>
      <c r="H482" s="16" t="str" cm="1">
        <f t="array" ref="H482" ca="1">INDEX(Lookup!$B$2:$B$7,RANDBETWEEN(1,6))</f>
        <v>Waterford</v>
      </c>
      <c r="I482" s="22">
        <f t="shared" ca="1" si="99"/>
        <v>45189</v>
      </c>
      <c r="J482" s="22" t="str">
        <f t="shared" ca="1" si="100"/>
        <v/>
      </c>
      <c r="K482" s="16" t="str">
        <f t="shared" ca="1" si="101"/>
        <v>Active</v>
      </c>
      <c r="L482" s="26">
        <f ca="1">_xlfn.XLOOKUP(G482,Lookup!$P$2:$P$28,Lookup!$Q$2:$Q$28)*(1+MIN(X482*3%,30%))</f>
        <v>47380</v>
      </c>
      <c r="M482" s="24">
        <f t="shared" ca="1" si="111"/>
        <v>5</v>
      </c>
      <c r="N482" s="24">
        <f t="shared" ca="1" si="102"/>
        <v>23</v>
      </c>
      <c r="O482" s="24">
        <f t="shared" ca="1" si="103"/>
        <v>3</v>
      </c>
      <c r="P482" s="24">
        <f t="shared" ca="1" si="104"/>
        <v>23</v>
      </c>
      <c r="Q482" s="16" t="str">
        <f t="shared" ca="1" si="105"/>
        <v>Not Promoted</v>
      </c>
      <c r="R482" s="16" t="str" cm="1">
        <f t="array" ref="R482" ca="1">INDEX(Lookup!$E$2:$E$6,RANDBETWEEN(1,5))</f>
        <v>Bachelor's</v>
      </c>
      <c r="S482" s="16" t="str" cm="1">
        <f t="array" ref="S482" ca="1">INDEX(Lookup!$J$2:$J$11,RANDBETWEEN(1,10))</f>
        <v>Michael Brown</v>
      </c>
      <c r="T482" s="16" t="str">
        <f t="shared" ca="1" si="106"/>
        <v>taylor.white@hranalytics.com</v>
      </c>
      <c r="U482" s="16" t="str">
        <f t="shared" ca="1" si="107"/>
        <v>0898183781</v>
      </c>
      <c r="V482" s="16" t="str" cm="1">
        <f t="array" ref="V482" ca="1">_xlfn.LET(_xlpm.r,RANDBETWEEN(1,100),_xlfn.IFS(_xlpm.r&lt;=70,"Full-Time",_xlpm.r&lt;=85,"Part-Time",_xlpm.r&lt;=95,"Contract",TRUE,"Intern"))</f>
        <v>Full-Time</v>
      </c>
      <c r="W482" s="16" cm="1">
        <f t="array" ref="W482" ca="1">IF(K482&lt;&gt;"Active",0,_xlfn.IFS(M482=5,L482*15%,M482=4,L482*10%,M482=3,L482*5%,M482=2,L482*2%,TRUE,0))</f>
        <v>947.6</v>
      </c>
      <c r="X482" s="24">
        <f t="shared" ca="1" si="108"/>
        <v>2</v>
      </c>
      <c r="Y482" s="24">
        <f t="shared" ca="1" si="109"/>
        <v>3</v>
      </c>
    </row>
    <row r="483" spans="1:25">
      <c r="A483" s="16" t="str">
        <f t="shared" si="110"/>
        <v>EMP482</v>
      </c>
      <c r="B483" s="16" t="str" cm="1">
        <f t="array" ref="B483" ca="1">IF(D483="Male",INDEX(Lookup!$L$2:$L$13,RANDBETWEEN(1,12)),IF(D483="Female",INDEX(Lookup!$M$2:$M$13,RANDBETWEEN(1,12)),INDEX(Lookup!$N$2:$N$13,RANDBETWEEN(1,12))))</f>
        <v>Avery</v>
      </c>
      <c r="C483" s="16" t="str" cm="1">
        <f t="array" ref="C483" ca="1">INDEX(Lookup!$K$2:$K$31,RANDBETWEEN(1,30))</f>
        <v>Hill</v>
      </c>
      <c r="D483" s="16" t="str" cm="1">
        <f t="array" ref="D483" ca="1">INDEX(Lookup!$H$2:$H$4,RANDBETWEEN(1,3))</f>
        <v>Other</v>
      </c>
      <c r="E483" s="16">
        <f t="shared" ca="1" si="98"/>
        <v>39</v>
      </c>
      <c r="F483" s="16" t="str" cm="1">
        <f t="array" ref="F483" ca="1">INDEX(Lookup!$A$2:$A$10,RANDBETWEEN(1,9))</f>
        <v>Customer Support</v>
      </c>
      <c r="G483" s="16" t="str" cm="1">
        <f t="array" ref="G483" ca="1">_xlfn.LET(_xlpm.Roles,_xlfn._xlws.FILTER(Lookup!$P$2:$P$28,Lookup!$O$2:$O$28=F483),INDEX(_xlpm.Roles,RANDBETWEEN(1,ROWS(_xlpm.Roles))))</f>
        <v>Technical Support Specialist</v>
      </c>
      <c r="H483" s="16" t="str" cm="1">
        <f t="array" ref="H483" ca="1">INDEX(Lookup!$B$2:$B$7,RANDBETWEEN(1,6))</f>
        <v>Cork</v>
      </c>
      <c r="I483" s="22">
        <f t="shared" ca="1" si="99"/>
        <v>43260</v>
      </c>
      <c r="J483" s="22" t="str">
        <f t="shared" ca="1" si="100"/>
        <v/>
      </c>
      <c r="K483" s="16" t="str">
        <f t="shared" ca="1" si="101"/>
        <v>Active</v>
      </c>
      <c r="L483" s="26">
        <f ca="1">_xlfn.XLOOKUP(G483,Lookup!$P$2:$P$28,Lookup!$Q$2:$Q$28)*(1+MIN(X483*3%,30%))</f>
        <v>54450</v>
      </c>
      <c r="M483" s="24">
        <f t="shared" ca="1" si="111"/>
        <v>2</v>
      </c>
      <c r="N483" s="24">
        <f t="shared" ca="1" si="102"/>
        <v>24</v>
      </c>
      <c r="O483" s="24">
        <f t="shared" ca="1" si="103"/>
        <v>6</v>
      </c>
      <c r="P483" s="24">
        <f t="shared" ca="1" si="104"/>
        <v>57</v>
      </c>
      <c r="Q483" s="16" t="str">
        <f t="shared" ca="1" si="105"/>
        <v>Promoted</v>
      </c>
      <c r="R483" s="16" t="str" cm="1">
        <f t="array" ref="R483" ca="1">INDEX(Lookup!$E$2:$E$6,RANDBETWEEN(1,5))</f>
        <v>Bachelor's</v>
      </c>
      <c r="S483" s="16" t="str" cm="1">
        <f t="array" ref="S483" ca="1">INDEX(Lookup!$J$2:$J$11,RANDBETWEEN(1,10))</f>
        <v>Sarah Johnson</v>
      </c>
      <c r="T483" s="16" t="str">
        <f t="shared" ca="1" si="106"/>
        <v>avery.hill@hranalytics.com</v>
      </c>
      <c r="U483" s="16" t="str">
        <f t="shared" ca="1" si="107"/>
        <v>0864418608</v>
      </c>
      <c r="V483" s="16" t="str" cm="1">
        <f t="array" ref="V483" ca="1">_xlfn.LET(_xlpm.r,RANDBETWEEN(1,100),_xlfn.IFS(_xlpm.r&lt;=70,"Full-Time",_xlpm.r&lt;=85,"Part-Time",_xlpm.r&lt;=95,"Contract",TRUE,"Intern"))</f>
        <v>Full-Time</v>
      </c>
      <c r="W483" s="16" cm="1">
        <f t="array" ref="W483" ca="1">IF(K483&lt;&gt;"Active",0,_xlfn.IFS(M483=5,L483*15%,M483=4,L483*10%,M483=3,L483*5%,M483=2,L483*2%,TRUE,0))</f>
        <v>5445</v>
      </c>
      <c r="X483" s="24">
        <f t="shared" ca="1" si="108"/>
        <v>8</v>
      </c>
      <c r="Y483" s="24">
        <f t="shared" ca="1" si="109"/>
        <v>2</v>
      </c>
    </row>
    <row r="484" spans="1:25">
      <c r="A484" s="16" t="str">
        <f t="shared" si="110"/>
        <v>EMP483</v>
      </c>
      <c r="B484" s="16" t="str" cm="1">
        <f t="array" ref="B484" ca="1">IF(D484="Male",INDEX(Lookup!$L$2:$L$13,RANDBETWEEN(1,12)),IF(D484="Female",INDEX(Lookup!$M$2:$M$13,RANDBETWEEN(1,12)),INDEX(Lookup!$N$2:$N$13,RANDBETWEEN(1,12))))</f>
        <v>David</v>
      </c>
      <c r="C484" s="16" t="str" cm="1">
        <f t="array" ref="C484" ca="1">INDEX(Lookup!$K$2:$K$31,RANDBETWEEN(1,30))</f>
        <v>Adams</v>
      </c>
      <c r="D484" s="16" t="str" cm="1">
        <f t="array" ref="D484" ca="1">INDEX(Lookup!$H$2:$H$4,RANDBETWEEN(1,3))</f>
        <v>Male</v>
      </c>
      <c r="E484" s="16">
        <f t="shared" ca="1" si="98"/>
        <v>44</v>
      </c>
      <c r="F484" s="16" t="str" cm="1">
        <f t="array" ref="F484" ca="1">INDEX(Lookup!$A$2:$A$10,RANDBETWEEN(1,9))</f>
        <v>Finance</v>
      </c>
      <c r="G484" s="16" t="str" cm="1">
        <f t="array" ref="G484" ca="1">_xlfn.LET(_xlpm.Roles,_xlfn._xlws.FILTER(Lookup!$P$2:$P$28,Lookup!$O$2:$O$28=F484),INDEX(_xlpm.Roles,RANDBETWEEN(1,ROWS(_xlpm.Roles))))</f>
        <v>Financial Analyst</v>
      </c>
      <c r="H484" s="16" t="str" cm="1">
        <f t="array" ref="H484" ca="1">INDEX(Lookup!$B$2:$B$7,RANDBETWEEN(1,6))</f>
        <v>Cork</v>
      </c>
      <c r="I484" s="22">
        <f t="shared" ca="1" si="99"/>
        <v>45364</v>
      </c>
      <c r="J484" s="22" t="str">
        <f t="shared" ca="1" si="100"/>
        <v/>
      </c>
      <c r="K484" s="16" t="str">
        <f t="shared" ca="1" si="101"/>
        <v>Active</v>
      </c>
      <c r="L484" s="26">
        <f ca="1">_xlfn.XLOOKUP(G484,Lookup!$P$2:$P$28,Lookup!$Q$2:$Q$28)*(1+MIN(X484*3%,30%))</f>
        <v>66700</v>
      </c>
      <c r="M484" s="24">
        <f t="shared" ca="1" si="111"/>
        <v>4</v>
      </c>
      <c r="N484" s="24">
        <f t="shared" ca="1" si="102"/>
        <v>67</v>
      </c>
      <c r="O484" s="24">
        <f t="shared" ca="1" si="103"/>
        <v>0</v>
      </c>
      <c r="P484" s="24">
        <f t="shared" ca="1" si="104"/>
        <v>55</v>
      </c>
      <c r="Q484" s="16" t="str">
        <f t="shared" ca="1" si="105"/>
        <v>Promoted</v>
      </c>
      <c r="R484" s="16" t="str" cm="1">
        <f t="array" ref="R484" ca="1">INDEX(Lookup!$E$2:$E$6,RANDBETWEEN(1,5))</f>
        <v>PhD</v>
      </c>
      <c r="S484" s="16" t="str" cm="1">
        <f t="array" ref="S484" ca="1">INDEX(Lookup!$J$2:$J$11,RANDBETWEEN(1,10))</f>
        <v>James Taylor</v>
      </c>
      <c r="T484" s="16" t="str">
        <f t="shared" ca="1" si="106"/>
        <v>david.adams@hranalytics.com</v>
      </c>
      <c r="U484" s="16" t="str">
        <f t="shared" ca="1" si="107"/>
        <v>0854141244</v>
      </c>
      <c r="V484" s="16" t="str" cm="1">
        <f t="array" ref="V484" ca="1">_xlfn.LET(_xlpm.r,RANDBETWEEN(1,100),_xlfn.IFS(_xlpm.r&lt;=70,"Full-Time",_xlpm.r&lt;=85,"Part-Time",_xlpm.r&lt;=95,"Contract",TRUE,"Intern"))</f>
        <v>Full-Time</v>
      </c>
      <c r="W484" s="16" cm="1">
        <f t="array" ref="W484" ca="1">IF(K484&lt;&gt;"Active",0,_xlfn.IFS(M484=5,L484*15%,M484=4,L484*10%,M484=3,L484*5%,M484=2,L484*2%,TRUE,0))</f>
        <v>0</v>
      </c>
      <c r="X484" s="24">
        <f t="shared" ca="1" si="108"/>
        <v>2</v>
      </c>
      <c r="Y484" s="24">
        <f t="shared" ca="1" si="109"/>
        <v>3</v>
      </c>
    </row>
    <row r="485" spans="1:25">
      <c r="A485" s="16" t="str">
        <f t="shared" si="110"/>
        <v>EMP484</v>
      </c>
      <c r="B485" s="16" t="str" cm="1">
        <f t="array" ref="B485" ca="1">IF(D485="Male",INDEX(Lookup!$L$2:$L$13,RANDBETWEEN(1,12)),IF(D485="Female",INDEX(Lookup!$M$2:$M$13,RANDBETWEEN(1,12)),INDEX(Lookup!$N$2:$N$13,RANDBETWEEN(1,12))))</f>
        <v>Michael</v>
      </c>
      <c r="C485" s="16" t="str" cm="1">
        <f t="array" ref="C485" ca="1">INDEX(Lookup!$K$2:$K$31,RANDBETWEEN(1,30))</f>
        <v>Murphy</v>
      </c>
      <c r="D485" s="16" t="str" cm="1">
        <f t="array" ref="D485" ca="1">INDEX(Lookup!$H$2:$H$4,RANDBETWEEN(1,3))</f>
        <v>Male</v>
      </c>
      <c r="E485" s="16">
        <f t="shared" ca="1" si="98"/>
        <v>35</v>
      </c>
      <c r="F485" s="16" t="str" cm="1">
        <f t="array" ref="F485" ca="1">INDEX(Lookup!$A$2:$A$10,RANDBETWEEN(1,9))</f>
        <v>Operations</v>
      </c>
      <c r="G485" s="16" t="str" cm="1">
        <f t="array" ref="G485" ca="1">_xlfn.LET(_xlpm.Roles,_xlfn._xlws.FILTER(Lookup!$P$2:$P$28,Lookup!$O$2:$O$28=F485),INDEX(_xlpm.Roles,RANDBETWEEN(1,ROWS(_xlpm.Roles))))</f>
        <v>Operations Manager</v>
      </c>
      <c r="H485" s="16" t="str" cm="1">
        <f t="array" ref="H485" ca="1">INDEX(Lookup!$B$2:$B$7,RANDBETWEEN(1,6))</f>
        <v>Limerick</v>
      </c>
      <c r="I485" s="22">
        <f t="shared" ca="1" si="99"/>
        <v>45298</v>
      </c>
      <c r="J485" s="22" t="str">
        <f t="shared" ca="1" si="100"/>
        <v/>
      </c>
      <c r="K485" s="16" t="str">
        <f t="shared" ca="1" si="101"/>
        <v>Active</v>
      </c>
      <c r="L485" s="26">
        <f ca="1">_xlfn.XLOOKUP(G485,Lookup!$P$2:$P$28,Lookup!$Q$2:$Q$28)*(1+MIN(X485*3%,30%))</f>
        <v>67580</v>
      </c>
      <c r="M485" s="24">
        <f t="shared" ca="1" si="111"/>
        <v>4</v>
      </c>
      <c r="N485" s="24">
        <f t="shared" ca="1" si="102"/>
        <v>13</v>
      </c>
      <c r="O485" s="24">
        <f t="shared" ca="1" si="103"/>
        <v>0</v>
      </c>
      <c r="P485" s="24">
        <f t="shared" ca="1" si="104"/>
        <v>13</v>
      </c>
      <c r="Q485" s="16" t="str">
        <f t="shared" ca="1" si="105"/>
        <v>Not Promoted</v>
      </c>
      <c r="R485" s="16" t="str" cm="1">
        <f t="array" ref="R485" ca="1">INDEX(Lookup!$E$2:$E$6,RANDBETWEEN(1,5))</f>
        <v>Master's</v>
      </c>
      <c r="S485" s="16" t="str" cm="1">
        <f t="array" ref="S485" ca="1">INDEX(Lookup!$J$2:$J$11,RANDBETWEEN(1,10))</f>
        <v>Sophia Martin</v>
      </c>
      <c r="T485" s="16" t="str">
        <f t="shared" ca="1" si="106"/>
        <v>michael.murphy@hranalytics.com</v>
      </c>
      <c r="U485" s="16" t="str">
        <f t="shared" ca="1" si="107"/>
        <v>0861618097</v>
      </c>
      <c r="V485" s="16" t="str" cm="1">
        <f t="array" ref="V485" ca="1">_xlfn.LET(_xlpm.r,RANDBETWEEN(1,100),_xlfn.IFS(_xlpm.r&lt;=70,"Full-Time",_xlpm.r&lt;=85,"Part-Time",_xlpm.r&lt;=95,"Contract",TRUE,"Intern"))</f>
        <v>Full-Time</v>
      </c>
      <c r="W485" s="16" cm="1">
        <f t="array" ref="W485" ca="1">IF(K485&lt;&gt;"Active",0,_xlfn.IFS(M485=5,L485*15%,M485=4,L485*10%,M485=3,L485*5%,M485=2,L485*2%,TRUE,0))</f>
        <v>0</v>
      </c>
      <c r="X485" s="24">
        <f t="shared" ca="1" si="108"/>
        <v>2</v>
      </c>
      <c r="Y485" s="24">
        <f t="shared" ca="1" si="109"/>
        <v>2</v>
      </c>
    </row>
    <row r="486" spans="1:25">
      <c r="A486" s="16" t="str">
        <f t="shared" si="110"/>
        <v>EMP485</v>
      </c>
      <c r="B486" s="16" t="str" cm="1">
        <f t="array" ref="B486" ca="1">IF(D486="Male",INDEX(Lookup!$L$2:$L$13,RANDBETWEEN(1,12)),IF(D486="Female",INDEX(Lookup!$M$2:$M$13,RANDBETWEEN(1,12)),INDEX(Lookup!$N$2:$N$13,RANDBETWEEN(1,12))))</f>
        <v>John</v>
      </c>
      <c r="C486" s="16" t="str" cm="1">
        <f t="array" ref="C486" ca="1">INDEX(Lookup!$K$2:$K$31,RANDBETWEEN(1,30))</f>
        <v>Martin</v>
      </c>
      <c r="D486" s="16" t="str" cm="1">
        <f t="array" ref="D486" ca="1">INDEX(Lookup!$H$2:$H$4,RANDBETWEEN(1,3))</f>
        <v>Male</v>
      </c>
      <c r="E486" s="16">
        <f t="shared" ca="1" si="98"/>
        <v>53</v>
      </c>
      <c r="F486" s="16" t="str" cm="1">
        <f t="array" ref="F486" ca="1">INDEX(Lookup!$A$2:$A$10,RANDBETWEEN(1,9))</f>
        <v>HR</v>
      </c>
      <c r="G486" s="16" t="str" cm="1">
        <f t="array" ref="G486" ca="1">_xlfn.LET(_xlpm.Roles,_xlfn._xlws.FILTER(Lookup!$P$2:$P$28,Lookup!$O$2:$O$28=F486),INDEX(_xlpm.Roles,RANDBETWEEN(1,ROWS(_xlpm.Roles))))</f>
        <v>HR Executive</v>
      </c>
      <c r="H486" s="16" t="str" cm="1">
        <f t="array" ref="H486" ca="1">INDEX(Lookup!$B$2:$B$7,RANDBETWEEN(1,6))</f>
        <v>Belfast</v>
      </c>
      <c r="I486" s="22">
        <f t="shared" ca="1" si="99"/>
        <v>44388</v>
      </c>
      <c r="J486" s="22" t="str">
        <f t="shared" ca="1" si="100"/>
        <v/>
      </c>
      <c r="K486" s="16" t="str">
        <f t="shared" ca="1" si="101"/>
        <v>Active</v>
      </c>
      <c r="L486" s="26">
        <f ca="1">_xlfn.XLOOKUP(G486,Lookup!$P$2:$P$28,Lookup!$Q$2:$Q$28)*(1+MIN(X486*3%,30%))</f>
        <v>45780</v>
      </c>
      <c r="M486" s="24">
        <f t="shared" ca="1" si="111"/>
        <v>3</v>
      </c>
      <c r="N486" s="24">
        <f t="shared" ca="1" si="102"/>
        <v>2</v>
      </c>
      <c r="O486" s="24">
        <f t="shared" ca="1" si="103"/>
        <v>10</v>
      </c>
      <c r="P486" s="24">
        <f t="shared" ca="1" si="104"/>
        <v>58</v>
      </c>
      <c r="Q486" s="16" t="str">
        <f t="shared" ca="1" si="105"/>
        <v>Not Promoted</v>
      </c>
      <c r="R486" s="16" t="str" cm="1">
        <f t="array" ref="R486" ca="1">INDEX(Lookup!$E$2:$E$6,RANDBETWEEN(1,5))</f>
        <v>Master's</v>
      </c>
      <c r="S486" s="16" t="str" cm="1">
        <f t="array" ref="S486" ca="1">INDEX(Lookup!$J$2:$J$11,RANDBETWEEN(1,10))</f>
        <v>Liam Byrne</v>
      </c>
      <c r="T486" s="16" t="str">
        <f t="shared" ca="1" si="106"/>
        <v>john.martin@hranalytics.com</v>
      </c>
      <c r="U486" s="16" t="str">
        <f t="shared" ca="1" si="107"/>
        <v>0863162319</v>
      </c>
      <c r="V486" s="16" t="str" cm="1">
        <f t="array" ref="V486" ca="1">_xlfn.LET(_xlpm.r,RANDBETWEEN(1,100),_xlfn.IFS(_xlpm.r&lt;=70,"Full-Time",_xlpm.r&lt;=85,"Part-Time",_xlpm.r&lt;=95,"Contract",TRUE,"Intern"))</f>
        <v>Full-Time</v>
      </c>
      <c r="W486" s="16" cm="1">
        <f t="array" ref="W486" ca="1">IF(K486&lt;&gt;"Active",0,_xlfn.IFS(M486=5,L486*15%,M486=4,L486*10%,M486=3,L486*5%,M486=2,L486*2%,TRUE,0))</f>
        <v>0</v>
      </c>
      <c r="X486" s="24">
        <f t="shared" ca="1" si="108"/>
        <v>5</v>
      </c>
      <c r="Y486" s="24">
        <f t="shared" ca="1" si="109"/>
        <v>1</v>
      </c>
    </row>
    <row r="487" spans="1:25">
      <c r="A487" s="16" t="str">
        <f t="shared" si="110"/>
        <v>EMP486</v>
      </c>
      <c r="B487" s="16" t="str" cm="1">
        <f t="array" ref="B487" ca="1">IF(D487="Male",INDEX(Lookup!$L$2:$L$13,RANDBETWEEN(1,12)),IF(D487="Female",INDEX(Lookup!$M$2:$M$13,RANDBETWEEN(1,12)),INDEX(Lookup!$N$2:$N$13,RANDBETWEEN(1,12))))</f>
        <v>John</v>
      </c>
      <c r="C487" s="16" t="str" cm="1">
        <f t="array" ref="C487" ca="1">INDEX(Lookup!$K$2:$K$31,RANDBETWEEN(1,30))</f>
        <v>Moore</v>
      </c>
      <c r="D487" s="16" t="str" cm="1">
        <f t="array" ref="D487" ca="1">INDEX(Lookup!$H$2:$H$4,RANDBETWEEN(1,3))</f>
        <v>Male</v>
      </c>
      <c r="E487" s="16">
        <f t="shared" ca="1" si="98"/>
        <v>57</v>
      </c>
      <c r="F487" s="16" t="str" cm="1">
        <f t="array" ref="F487" ca="1">INDEX(Lookup!$A$2:$A$10,RANDBETWEEN(1,9))</f>
        <v>Marketing</v>
      </c>
      <c r="G487" s="16" t="str" cm="1">
        <f t="array" ref="G487" ca="1">_xlfn.LET(_xlpm.Roles,_xlfn._xlws.FILTER(Lookup!$P$2:$P$28,Lookup!$O$2:$O$28=F487),INDEX(_xlpm.Roles,RANDBETWEEN(1,ROWS(_xlpm.Roles))))</f>
        <v>Digital Marketing Specialist</v>
      </c>
      <c r="H487" s="16" t="str" cm="1">
        <f t="array" ref="H487" ca="1">INDEX(Lookup!$B$2:$B$7,RANDBETWEEN(1,6))</f>
        <v>Limerick</v>
      </c>
      <c r="I487" s="22">
        <f t="shared" ca="1" si="99"/>
        <v>45314</v>
      </c>
      <c r="J487" s="22" t="str">
        <f t="shared" ca="1" si="100"/>
        <v/>
      </c>
      <c r="K487" s="16" t="str">
        <f t="shared" ca="1" si="101"/>
        <v>Active</v>
      </c>
      <c r="L487" s="26">
        <f ca="1">_xlfn.XLOOKUP(G487,Lookup!$P$2:$P$28,Lookup!$Q$2:$Q$28)*(1+MIN(X487*3%,30%))</f>
        <v>53000</v>
      </c>
      <c r="M487" s="24">
        <f t="shared" ca="1" si="111"/>
        <v>2</v>
      </c>
      <c r="N487" s="24">
        <f t="shared" ca="1" si="102"/>
        <v>17</v>
      </c>
      <c r="O487" s="24">
        <f t="shared" ca="1" si="103"/>
        <v>7</v>
      </c>
      <c r="P487" s="24">
        <f t="shared" ca="1" si="104"/>
        <v>6</v>
      </c>
      <c r="Q487" s="16" t="str">
        <f t="shared" ca="1" si="105"/>
        <v>Promoted</v>
      </c>
      <c r="R487" s="16" t="str" cm="1">
        <f t="array" ref="R487" ca="1">INDEX(Lookup!$E$2:$E$6,RANDBETWEEN(1,5))</f>
        <v>Bachelor's</v>
      </c>
      <c r="S487" s="16" t="str" cm="1">
        <f t="array" ref="S487" ca="1">INDEX(Lookup!$J$2:$J$11,RANDBETWEEN(1,10))</f>
        <v>David Murphy</v>
      </c>
      <c r="T487" s="16" t="str">
        <f t="shared" ca="1" si="106"/>
        <v>john.moore@hranalytics.com</v>
      </c>
      <c r="U487" s="16" t="str">
        <f t="shared" ca="1" si="107"/>
        <v>0888438920</v>
      </c>
      <c r="V487" s="16" t="str" cm="1">
        <f t="array" ref="V487" ca="1">_xlfn.LET(_xlpm.r,RANDBETWEEN(1,100),_xlfn.IFS(_xlpm.r&lt;=70,"Full-Time",_xlpm.r&lt;=85,"Part-Time",_xlpm.r&lt;=95,"Contract",TRUE,"Intern"))</f>
        <v>Full-Time</v>
      </c>
      <c r="W487" s="16" cm="1">
        <f t="array" ref="W487" ca="1">IF(K487&lt;&gt;"Active",0,_xlfn.IFS(M487=5,L487*15%,M487=4,L487*10%,M487=3,L487*5%,M487=2,L487*2%,TRUE,0))</f>
        <v>1060</v>
      </c>
      <c r="X487" s="24">
        <f t="shared" ca="1" si="108"/>
        <v>2</v>
      </c>
      <c r="Y487" s="24">
        <f t="shared" ca="1" si="109"/>
        <v>2</v>
      </c>
    </row>
    <row r="488" spans="1:25">
      <c r="A488" s="16" t="str">
        <f t="shared" si="110"/>
        <v>EMP487</v>
      </c>
      <c r="B488" s="16" t="str" cm="1">
        <f t="array" ref="B488" ca="1">IF(D488="Male",INDEX(Lookup!$L$2:$L$13,RANDBETWEEN(1,12)),IF(D488="Female",INDEX(Lookup!$M$2:$M$13,RANDBETWEEN(1,12)),INDEX(Lookup!$N$2:$N$13,RANDBETWEEN(1,12))))</f>
        <v>Quinn</v>
      </c>
      <c r="C488" s="16" t="str" cm="1">
        <f t="array" ref="C488" ca="1">INDEX(Lookup!$K$2:$K$31,RANDBETWEEN(1,30))</f>
        <v>Kelly</v>
      </c>
      <c r="D488" s="16" t="str" cm="1">
        <f t="array" ref="D488" ca="1">INDEX(Lookup!$H$2:$H$4,RANDBETWEEN(1,3))</f>
        <v>Other</v>
      </c>
      <c r="E488" s="16">
        <f t="shared" ca="1" si="98"/>
        <v>45</v>
      </c>
      <c r="F488" s="16" t="str" cm="1">
        <f t="array" ref="F488" ca="1">INDEX(Lookup!$A$2:$A$10,RANDBETWEEN(1,9))</f>
        <v>Customer Support</v>
      </c>
      <c r="G488" s="16" t="str" cm="1">
        <f t="array" ref="G488" ca="1">_xlfn.LET(_xlpm.Roles,_xlfn._xlws.FILTER(Lookup!$P$2:$P$28,Lookup!$O$2:$O$28=F488),INDEX(_xlpm.Roles,RANDBETWEEN(1,ROWS(_xlpm.Roles))))</f>
        <v>Customer Success Specialist</v>
      </c>
      <c r="H488" s="16" t="str" cm="1">
        <f t="array" ref="H488" ca="1">INDEX(Lookup!$B$2:$B$7,RANDBETWEEN(1,6))</f>
        <v>Belfast</v>
      </c>
      <c r="I488" s="22">
        <f t="shared" ca="1" si="99"/>
        <v>43821</v>
      </c>
      <c r="J488" s="22" t="str">
        <f t="shared" ca="1" si="100"/>
        <v/>
      </c>
      <c r="K488" s="16" t="str">
        <f t="shared" ca="1" si="101"/>
        <v>Active</v>
      </c>
      <c r="L488" s="26">
        <f ca="1">_xlfn.XLOOKUP(G488,Lookup!$P$2:$P$28,Lookup!$Q$2:$Q$28)*(1+MIN(X488*3%,30%))</f>
        <v>47040</v>
      </c>
      <c r="M488" s="24">
        <f t="shared" ca="1" si="111"/>
        <v>4</v>
      </c>
      <c r="N488" s="24">
        <f t="shared" ca="1" si="102"/>
        <v>36</v>
      </c>
      <c r="O488" s="24">
        <f t="shared" ca="1" si="103"/>
        <v>17</v>
      </c>
      <c r="P488" s="24">
        <f t="shared" ca="1" si="104"/>
        <v>25</v>
      </c>
      <c r="Q488" s="16" t="str">
        <f t="shared" ca="1" si="105"/>
        <v>Promoted</v>
      </c>
      <c r="R488" s="16" t="str" cm="1">
        <f t="array" ref="R488" ca="1">INDEX(Lookup!$E$2:$E$6,RANDBETWEEN(1,5))</f>
        <v>Bachelor's</v>
      </c>
      <c r="S488" s="16" t="str" cm="1">
        <f t="array" ref="S488" ca="1">INDEX(Lookup!$J$2:$J$11,RANDBETWEEN(1,10))</f>
        <v>Sarah Johnson</v>
      </c>
      <c r="T488" s="16" t="str">
        <f t="shared" ca="1" si="106"/>
        <v>quinn.kelly@hranalytics.com</v>
      </c>
      <c r="U488" s="16" t="str">
        <f t="shared" ca="1" si="107"/>
        <v>0898962252</v>
      </c>
      <c r="V488" s="16" t="str" cm="1">
        <f t="array" ref="V488" ca="1">_xlfn.LET(_xlpm.r,RANDBETWEEN(1,100),_xlfn.IFS(_xlpm.r&lt;=70,"Full-Time",_xlpm.r&lt;=85,"Part-Time",_xlpm.r&lt;=95,"Contract",TRUE,"Intern"))</f>
        <v>Full-Time</v>
      </c>
      <c r="W488" s="16" cm="1">
        <f t="array" ref="W488" ca="1">IF(K488&lt;&gt;"Active",0,_xlfn.IFS(M488=5,L488*15%,M488=4,L488*10%,M488=3,L488*5%,M488=2,L488*2%,TRUE,0))</f>
        <v>7056</v>
      </c>
      <c r="X488" s="24">
        <f t="shared" ca="1" si="108"/>
        <v>6</v>
      </c>
      <c r="Y488" s="24">
        <f t="shared" ca="1" si="109"/>
        <v>1</v>
      </c>
    </row>
    <row r="489" spans="1:25">
      <c r="A489" s="16" t="str">
        <f t="shared" si="110"/>
        <v>EMP488</v>
      </c>
      <c r="B489" s="16" t="str" cm="1">
        <f t="array" ref="B489" ca="1">IF(D489="Male",INDEX(Lookup!$L$2:$L$13,RANDBETWEEN(1,12)),IF(D489="Female",INDEX(Lookup!$M$2:$M$13,RANDBETWEEN(1,12)),INDEX(Lookup!$N$2:$N$13,RANDBETWEEN(1,12))))</f>
        <v>Quinn</v>
      </c>
      <c r="C489" s="16" t="str" cm="1">
        <f t="array" ref="C489" ca="1">INDEX(Lookup!$K$2:$K$31,RANDBETWEEN(1,30))</f>
        <v>Hall</v>
      </c>
      <c r="D489" s="16" t="str" cm="1">
        <f t="array" ref="D489" ca="1">INDEX(Lookup!$H$2:$H$4,RANDBETWEEN(1,3))</f>
        <v>Other</v>
      </c>
      <c r="E489" s="16">
        <f t="shared" ca="1" si="98"/>
        <v>43</v>
      </c>
      <c r="F489" s="16" t="str" cm="1">
        <f t="array" ref="F489" ca="1">INDEX(Lookup!$A$2:$A$10,RANDBETWEEN(1,9))</f>
        <v>Legal</v>
      </c>
      <c r="G489" s="16" t="str" cm="1">
        <f t="array" ref="G489" ca="1">_xlfn.LET(_xlpm.Roles,_xlfn._xlws.FILTER(Lookup!$P$2:$P$28,Lookup!$O$2:$O$28=F489),INDEX(_xlpm.Roles,RANDBETWEEN(1,ROWS(_xlpm.Roles))))</f>
        <v>Legal Executive</v>
      </c>
      <c r="H489" s="16" t="str" cm="1">
        <f t="array" ref="H489" ca="1">INDEX(Lookup!$B$2:$B$7,RANDBETWEEN(1,6))</f>
        <v>Dublin</v>
      </c>
      <c r="I489" s="22">
        <f t="shared" ca="1" si="99"/>
        <v>43285</v>
      </c>
      <c r="J489" s="22" t="str">
        <f t="shared" ca="1" si="100"/>
        <v/>
      </c>
      <c r="K489" s="16" t="str">
        <f t="shared" ca="1" si="101"/>
        <v>Active</v>
      </c>
      <c r="L489" s="26">
        <f ca="1">_xlfn.XLOOKUP(G489,Lookup!$P$2:$P$28,Lookup!$Q$2:$Q$28)*(1+MIN(X489*3%,30%))</f>
        <v>53560</v>
      </c>
      <c r="M489" s="24">
        <f t="shared" ca="1" si="111"/>
        <v>2</v>
      </c>
      <c r="N489" s="24">
        <f t="shared" ca="1" si="102"/>
        <v>75</v>
      </c>
      <c r="O489" s="24">
        <f t="shared" ca="1" si="103"/>
        <v>10</v>
      </c>
      <c r="P489" s="24">
        <f t="shared" ca="1" si="104"/>
        <v>22</v>
      </c>
      <c r="Q489" s="16" t="str">
        <f t="shared" ca="1" si="105"/>
        <v>Not Promoted</v>
      </c>
      <c r="R489" s="16" t="str" cm="1">
        <f t="array" ref="R489" ca="1">INDEX(Lookup!$E$2:$E$6,RANDBETWEEN(1,5))</f>
        <v>Master's</v>
      </c>
      <c r="S489" s="16" t="str" cm="1">
        <f t="array" ref="S489" ca="1">INDEX(Lookup!$J$2:$J$11,RANDBETWEEN(1,10))</f>
        <v>Emma Wilson</v>
      </c>
      <c r="T489" s="16" t="str">
        <f t="shared" ca="1" si="106"/>
        <v>quinn.hall@hranalytics.com</v>
      </c>
      <c r="U489" s="16" t="str">
        <f t="shared" ca="1" si="107"/>
        <v>0834706991</v>
      </c>
      <c r="V489" s="16" t="str" cm="1">
        <f t="array" ref="V489" ca="1">_xlfn.LET(_xlpm.r,RANDBETWEEN(1,100),_xlfn.IFS(_xlpm.r&lt;=70,"Full-Time",_xlpm.r&lt;=85,"Part-Time",_xlpm.r&lt;=95,"Contract",TRUE,"Intern"))</f>
        <v>Full-Time</v>
      </c>
      <c r="W489" s="16" cm="1">
        <f t="array" ref="W489" ca="1">IF(K489&lt;&gt;"Active",0,_xlfn.IFS(M489=5,L489*15%,M489=4,L489*10%,M489=3,L489*5%,M489=2,L489*2%,TRUE,0))</f>
        <v>2678</v>
      </c>
      <c r="X489" s="24">
        <f t="shared" ca="1" si="108"/>
        <v>8</v>
      </c>
      <c r="Y489" s="24">
        <f t="shared" ca="1" si="109"/>
        <v>2</v>
      </c>
    </row>
    <row r="490" spans="1:25">
      <c r="A490" s="16" t="str">
        <f t="shared" si="110"/>
        <v>EMP489</v>
      </c>
      <c r="B490" s="16" t="str" cm="1">
        <f t="array" ref="B490" ca="1">IF(D490="Male",INDEX(Lookup!$L$2:$L$13,RANDBETWEEN(1,12)),IF(D490="Female",INDEX(Lookup!$M$2:$M$13,RANDBETWEEN(1,12)),INDEX(Lookup!$N$2:$N$13,RANDBETWEEN(1,12))))</f>
        <v>Riley</v>
      </c>
      <c r="C490" s="16" t="str" cm="1">
        <f t="array" ref="C490" ca="1">INDEX(Lookup!$K$2:$K$31,RANDBETWEEN(1,30))</f>
        <v>Hill</v>
      </c>
      <c r="D490" s="16" t="str" cm="1">
        <f t="array" ref="D490" ca="1">INDEX(Lookup!$H$2:$H$4,RANDBETWEEN(1,3))</f>
        <v>Other</v>
      </c>
      <c r="E490" s="16">
        <f t="shared" ca="1" si="98"/>
        <v>33</v>
      </c>
      <c r="F490" s="16" t="str" cm="1">
        <f t="array" ref="F490" ca="1">INDEX(Lookup!$A$2:$A$10,RANDBETWEEN(1,9))</f>
        <v>Marketing</v>
      </c>
      <c r="G490" s="16" t="str" cm="1">
        <f t="array" ref="G490" ca="1">_xlfn.LET(_xlpm.Roles,_xlfn._xlws.FILTER(Lookup!$P$2:$P$28,Lookup!$O$2:$O$28=F490),INDEX(_xlpm.Roles,RANDBETWEEN(1,ROWS(_xlpm.Roles))))</f>
        <v>Marketing Executive</v>
      </c>
      <c r="H490" s="16" t="str" cm="1">
        <f t="array" ref="H490" ca="1">INDEX(Lookup!$B$2:$B$7,RANDBETWEEN(1,6))</f>
        <v>Dublin</v>
      </c>
      <c r="I490" s="22">
        <f t="shared" ca="1" si="99"/>
        <v>43514</v>
      </c>
      <c r="J490" s="22" t="str">
        <f t="shared" ca="1" si="100"/>
        <v/>
      </c>
      <c r="K490" s="16" t="str">
        <f t="shared" ca="1" si="101"/>
        <v>Active</v>
      </c>
      <c r="L490" s="26">
        <f ca="1">_xlfn.XLOOKUP(G490,Lookup!$P$2:$P$28,Lookup!$Q$2:$Q$28)*(1+MIN(X490*3%,30%))</f>
        <v>50820</v>
      </c>
      <c r="M490" s="24">
        <f t="shared" ca="1" si="111"/>
        <v>2</v>
      </c>
      <c r="N490" s="24">
        <f t="shared" ca="1" si="102"/>
        <v>76</v>
      </c>
      <c r="O490" s="24">
        <f t="shared" ca="1" si="103"/>
        <v>6</v>
      </c>
      <c r="P490" s="24">
        <f t="shared" ca="1" si="104"/>
        <v>21</v>
      </c>
      <c r="Q490" s="16" t="str">
        <f t="shared" ca="1" si="105"/>
        <v>Not Promoted</v>
      </c>
      <c r="R490" s="16" t="str" cm="1">
        <f t="array" ref="R490" ca="1">INDEX(Lookup!$E$2:$E$6,RANDBETWEEN(1,5))</f>
        <v>PhD</v>
      </c>
      <c r="S490" s="16" t="str" cm="1">
        <f t="array" ref="S490" ca="1">INDEX(Lookup!$J$2:$J$11,RANDBETWEEN(1,10))</f>
        <v>Michael Brown</v>
      </c>
      <c r="T490" s="16" t="str">
        <f t="shared" ca="1" si="106"/>
        <v>riley.hill@hranalytics.com</v>
      </c>
      <c r="U490" s="16" t="str">
        <f t="shared" ca="1" si="107"/>
        <v>0879453094</v>
      </c>
      <c r="V490" s="16" t="str" cm="1">
        <f t="array" ref="V490" ca="1">_xlfn.LET(_xlpm.r,RANDBETWEEN(1,100),_xlfn.IFS(_xlpm.r&lt;=70,"Full-Time",_xlpm.r&lt;=85,"Part-Time",_xlpm.r&lt;=95,"Contract",TRUE,"Intern"))</f>
        <v>Full-Time</v>
      </c>
      <c r="W490" s="16" cm="1">
        <f t="array" ref="W490" ca="1">IF(K490&lt;&gt;"Active",0,_xlfn.IFS(M490=5,L490*15%,M490=4,L490*10%,M490=3,L490*5%,M490=2,L490*2%,TRUE,0))</f>
        <v>0</v>
      </c>
      <c r="X490" s="24">
        <f t="shared" ca="1" si="108"/>
        <v>7</v>
      </c>
      <c r="Y490" s="24">
        <f t="shared" ca="1" si="109"/>
        <v>2</v>
      </c>
    </row>
    <row r="491" spans="1:25">
      <c r="A491" s="16" t="str">
        <f t="shared" si="110"/>
        <v>EMP490</v>
      </c>
      <c r="B491" s="16" t="str" cm="1">
        <f t="array" ref="B491" ca="1">IF(D491="Male",INDEX(Lookup!$L$2:$L$13,RANDBETWEEN(1,12)),IF(D491="Female",INDEX(Lookup!$M$2:$M$13,RANDBETWEEN(1,12)),INDEX(Lookup!$N$2:$N$13,RANDBETWEEN(1,12))))</f>
        <v>Mia</v>
      </c>
      <c r="C491" s="16" t="str" cm="1">
        <f t="array" ref="C491" ca="1">INDEX(Lookup!$K$2:$K$31,RANDBETWEEN(1,30))</f>
        <v>Green</v>
      </c>
      <c r="D491" s="16" t="str" cm="1">
        <f t="array" ref="D491" ca="1">INDEX(Lookup!$H$2:$H$4,RANDBETWEEN(1,3))</f>
        <v>Female</v>
      </c>
      <c r="E491" s="16">
        <f t="shared" ca="1" si="98"/>
        <v>27</v>
      </c>
      <c r="F491" s="16" t="str" cm="1">
        <f t="array" ref="F491" ca="1">INDEX(Lookup!$A$2:$A$10,RANDBETWEEN(1,9))</f>
        <v>IT</v>
      </c>
      <c r="G491" s="16" t="str" cm="1">
        <f t="array" ref="G491" ca="1">_xlfn.LET(_xlpm.Roles,_xlfn._xlws.FILTER(Lookup!$P$2:$P$28,Lookup!$O$2:$O$28=F491),INDEX(_xlpm.Roles,RANDBETWEEN(1,ROWS(_xlpm.Roles))))</f>
        <v>IT Support Specialist</v>
      </c>
      <c r="H491" s="16" t="str" cm="1">
        <f t="array" ref="H491" ca="1">INDEX(Lookup!$B$2:$B$7,RANDBETWEEN(1,6))</f>
        <v>Belfast</v>
      </c>
      <c r="I491" s="22">
        <f t="shared" ca="1" si="99"/>
        <v>43551</v>
      </c>
      <c r="J491" s="22" t="str">
        <f t="shared" ca="1" si="100"/>
        <v/>
      </c>
      <c r="K491" s="16" t="str">
        <f t="shared" ca="1" si="101"/>
        <v>Active</v>
      </c>
      <c r="L491" s="26">
        <f ca="1">_xlfn.XLOOKUP(G491,Lookup!$P$2:$P$28,Lookup!$Q$2:$Q$28)*(1+MIN(X491*3%,30%))</f>
        <v>49440</v>
      </c>
      <c r="M491" s="24">
        <f t="shared" ca="1" si="111"/>
        <v>1</v>
      </c>
      <c r="N491" s="24">
        <f t="shared" ca="1" si="102"/>
        <v>80</v>
      </c>
      <c r="O491" s="24">
        <f t="shared" ca="1" si="103"/>
        <v>3</v>
      </c>
      <c r="P491" s="24">
        <f t="shared" ca="1" si="104"/>
        <v>40</v>
      </c>
      <c r="Q491" s="16" t="str">
        <f t="shared" ca="1" si="105"/>
        <v>Not Promoted</v>
      </c>
      <c r="R491" s="16" t="str" cm="1">
        <f t="array" ref="R491" ca="1">INDEX(Lookup!$E$2:$E$6,RANDBETWEEN(1,5))</f>
        <v>Dipolma</v>
      </c>
      <c r="S491" s="16" t="str" cm="1">
        <f t="array" ref="S491" ca="1">INDEX(Lookup!$J$2:$J$11,RANDBETWEEN(1,10))</f>
        <v>Grace O'Connor</v>
      </c>
      <c r="T491" s="16" t="str">
        <f t="shared" ca="1" si="106"/>
        <v>mia.green@hranalytics.com</v>
      </c>
      <c r="U491" s="16" t="str">
        <f t="shared" ca="1" si="107"/>
        <v>0893324700</v>
      </c>
      <c r="V491" s="16" t="str" cm="1">
        <f t="array" ref="V491" ca="1">_xlfn.LET(_xlpm.r,RANDBETWEEN(1,100),_xlfn.IFS(_xlpm.r&lt;=70,"Full-Time",_xlpm.r&lt;=85,"Part-Time",_xlpm.r&lt;=95,"Contract",TRUE,"Intern"))</f>
        <v>Full-Time</v>
      </c>
      <c r="W491" s="16" cm="1">
        <f t="array" ref="W491" ca="1">IF(K491&lt;&gt;"Active",0,_xlfn.IFS(M491=5,L491*15%,M491=4,L491*10%,M491=3,L491*5%,M491=2,L491*2%,TRUE,0))</f>
        <v>7416</v>
      </c>
      <c r="X491" s="24">
        <f t="shared" ca="1" si="108"/>
        <v>7</v>
      </c>
      <c r="Y491" s="24">
        <f t="shared" ca="1" si="109"/>
        <v>1</v>
      </c>
    </row>
    <row r="492" spans="1:25">
      <c r="A492" s="16" t="str">
        <f t="shared" si="110"/>
        <v>EMP491</v>
      </c>
      <c r="B492" s="16" t="str" cm="1">
        <f t="array" ref="B492" ca="1">IF(D492="Male",INDEX(Lookup!$L$2:$L$13,RANDBETWEEN(1,12)),IF(D492="Female",INDEX(Lookup!$M$2:$M$13,RANDBETWEEN(1,12)),INDEX(Lookup!$N$2:$N$13,RANDBETWEEN(1,12))))</f>
        <v>Ella</v>
      </c>
      <c r="C492" s="16" t="str" cm="1">
        <f t="array" ref="C492" ca="1">INDEX(Lookup!$K$2:$K$31,RANDBETWEEN(1,30))</f>
        <v>Wilson</v>
      </c>
      <c r="D492" s="16" t="str" cm="1">
        <f t="array" ref="D492" ca="1">INDEX(Lookup!$H$2:$H$4,RANDBETWEEN(1,3))</f>
        <v>Female</v>
      </c>
      <c r="E492" s="16">
        <f t="shared" ca="1" si="98"/>
        <v>53</v>
      </c>
      <c r="F492" s="16" t="str" cm="1">
        <f t="array" ref="F492" ca="1">INDEX(Lookup!$A$2:$A$10,RANDBETWEEN(1,9))</f>
        <v>IT</v>
      </c>
      <c r="G492" s="16" t="str" cm="1">
        <f t="array" ref="G492" ca="1">_xlfn.LET(_xlpm.Roles,_xlfn._xlws.FILTER(Lookup!$P$2:$P$28,Lookup!$O$2:$O$28=F492),INDEX(_xlpm.Roles,RANDBETWEEN(1,ROWS(_xlpm.Roles))))</f>
        <v>IT Support Specialist</v>
      </c>
      <c r="H492" s="16" t="str" cm="1">
        <f t="array" ref="H492" ca="1">INDEX(Lookup!$B$2:$B$7,RANDBETWEEN(1,6))</f>
        <v>Dublin</v>
      </c>
      <c r="I492" s="22">
        <f t="shared" ca="1" si="99"/>
        <v>45976</v>
      </c>
      <c r="J492" s="22" t="str">
        <f t="shared" ca="1" si="100"/>
        <v/>
      </c>
      <c r="K492" s="16" t="str">
        <f t="shared" ca="1" si="101"/>
        <v>Active</v>
      </c>
      <c r="L492" s="26">
        <f ca="1">_xlfn.XLOOKUP(G492,Lookup!$P$2:$P$28,Lookup!$Q$2:$Q$28)*(1+MIN(X492*3%,30%))</f>
        <v>53760</v>
      </c>
      <c r="M492" s="24">
        <f t="shared" ca="1" si="111"/>
        <v>3</v>
      </c>
      <c r="N492" s="24">
        <f t="shared" ca="1" si="102"/>
        <v>71</v>
      </c>
      <c r="O492" s="24">
        <f t="shared" ca="1" si="103"/>
        <v>14</v>
      </c>
      <c r="P492" s="24">
        <f t="shared" ca="1" si="104"/>
        <v>21</v>
      </c>
      <c r="Q492" s="16" t="str">
        <f t="shared" ca="1" si="105"/>
        <v>Promoted</v>
      </c>
      <c r="R492" s="16" t="str" cm="1">
        <f t="array" ref="R492" ca="1">INDEX(Lookup!$E$2:$E$6,RANDBETWEEN(1,5))</f>
        <v>Dipolma</v>
      </c>
      <c r="S492" s="16" t="str" cm="1">
        <f t="array" ref="S492" ca="1">INDEX(Lookup!$J$2:$J$11,RANDBETWEEN(1,10))</f>
        <v>Daniel Kelly</v>
      </c>
      <c r="T492" s="16" t="str">
        <f t="shared" ca="1" si="106"/>
        <v>ella.wilson@hranalytics.com</v>
      </c>
      <c r="U492" s="16" t="str">
        <f t="shared" ca="1" si="107"/>
        <v>0893347110</v>
      </c>
      <c r="V492" s="16" t="str" cm="1">
        <f t="array" ref="V492" ca="1">_xlfn.LET(_xlpm.r,RANDBETWEEN(1,100),_xlfn.IFS(_xlpm.r&lt;=70,"Full-Time",_xlpm.r&lt;=85,"Part-Time",_xlpm.r&lt;=95,"Contract",TRUE,"Intern"))</f>
        <v>Full-Time</v>
      </c>
      <c r="W492" s="16" cm="1">
        <f t="array" ref="W492" ca="1">IF(K492&lt;&gt;"Active",0,_xlfn.IFS(M492=5,L492*15%,M492=4,L492*10%,M492=3,L492*5%,M492=2,L492*2%,TRUE,0))</f>
        <v>0</v>
      </c>
      <c r="X492" s="24">
        <f t="shared" ca="1" si="108"/>
        <v>0</v>
      </c>
      <c r="Y492" s="24">
        <f t="shared" ca="1" si="109"/>
        <v>2</v>
      </c>
    </row>
    <row r="493" spans="1:25">
      <c r="A493" s="16" t="str">
        <f t="shared" si="110"/>
        <v>EMP492</v>
      </c>
      <c r="B493" s="16" t="str" cm="1">
        <f t="array" ref="B493" ca="1">IF(D493="Male",INDEX(Lookup!$L$2:$L$13,RANDBETWEEN(1,12)),IF(D493="Female",INDEX(Lookup!$M$2:$M$13,RANDBETWEEN(1,12)),INDEX(Lookup!$N$2:$N$13,RANDBETWEEN(1,12))))</f>
        <v>Taylor</v>
      </c>
      <c r="C493" s="16" t="str" cm="1">
        <f t="array" ref="C493" ca="1">INDEX(Lookup!$K$2:$K$31,RANDBETWEEN(1,30))</f>
        <v>Turner</v>
      </c>
      <c r="D493" s="16" t="str" cm="1">
        <f t="array" ref="D493" ca="1">INDEX(Lookup!$H$2:$H$4,RANDBETWEEN(1,3))</f>
        <v>Other</v>
      </c>
      <c r="E493" s="16">
        <f t="shared" ca="1" si="98"/>
        <v>36</v>
      </c>
      <c r="F493" s="16" t="str" cm="1">
        <f t="array" ref="F493" ca="1">INDEX(Lookup!$A$2:$A$10,RANDBETWEEN(1,9))</f>
        <v>Sales</v>
      </c>
      <c r="G493" s="16" t="str" cm="1">
        <f t="array" ref="G493" ca="1">_xlfn.LET(_xlpm.Roles,_xlfn._xlws.FILTER(Lookup!$P$2:$P$28,Lookup!$O$2:$O$28=F493),INDEX(_xlpm.Roles,RANDBETWEEN(1,ROWS(_xlpm.Roles))))</f>
        <v>Sales Executive</v>
      </c>
      <c r="H493" s="16" t="str" cm="1">
        <f t="array" ref="H493" ca="1">INDEX(Lookup!$B$2:$B$7,RANDBETWEEN(1,6))</f>
        <v>Cork</v>
      </c>
      <c r="I493" s="22">
        <f t="shared" ca="1" si="99"/>
        <v>43960</v>
      </c>
      <c r="J493" s="22">
        <f t="shared" ca="1" si="100"/>
        <v>45200</v>
      </c>
      <c r="K493" s="16" t="str">
        <f t="shared" ca="1" si="101"/>
        <v>Resigned</v>
      </c>
      <c r="L493" s="26">
        <f ca="1">_xlfn.XLOOKUP(G493,Lookup!$P$2:$P$28,Lookup!$Q$2:$Q$28)*(1+MIN(X493*3%,30%))</f>
        <v>49600</v>
      </c>
      <c r="M493" s="24">
        <f t="shared" ca="1" si="111"/>
        <v>2</v>
      </c>
      <c r="N493" s="24">
        <f t="shared" ca="1" si="102"/>
        <v>76</v>
      </c>
      <c r="O493" s="24">
        <f t="shared" ca="1" si="103"/>
        <v>12</v>
      </c>
      <c r="P493" s="24">
        <f t="shared" ca="1" si="104"/>
        <v>38</v>
      </c>
      <c r="Q493" s="16" t="str">
        <f t="shared" ca="1" si="105"/>
        <v>Promoted</v>
      </c>
      <c r="R493" s="16" t="str" cm="1">
        <f t="array" ref="R493" ca="1">INDEX(Lookup!$E$2:$E$6,RANDBETWEEN(1,5))</f>
        <v>Master's</v>
      </c>
      <c r="S493" s="16" t="str" cm="1">
        <f t="array" ref="S493" ca="1">INDEX(Lookup!$J$2:$J$11,RANDBETWEEN(1,10))</f>
        <v>David Murphy</v>
      </c>
      <c r="T493" s="16" t="str">
        <f t="shared" ca="1" si="106"/>
        <v>taylor.turner@hranalytics.com</v>
      </c>
      <c r="U493" s="16" t="str">
        <f t="shared" ca="1" si="107"/>
        <v>0861768506</v>
      </c>
      <c r="V493" s="16" t="str" cm="1">
        <f t="array" ref="V493" ca="1">_xlfn.LET(_xlpm.r,RANDBETWEEN(1,100),_xlfn.IFS(_xlpm.r&lt;=70,"Full-Time",_xlpm.r&lt;=85,"Part-Time",_xlpm.r&lt;=95,"Contract",TRUE,"Intern"))</f>
        <v>Part-Time</v>
      </c>
      <c r="W493" s="16" cm="1">
        <f t="array" ref="W493" ca="1">IF(K493&lt;&gt;"Active",0,_xlfn.IFS(M493=5,L493*15%,M493=4,L493*10%,M493=3,L493*5%,M493=2,L493*2%,TRUE,0))</f>
        <v>992</v>
      </c>
      <c r="X493" s="24">
        <f t="shared" ca="1" si="108"/>
        <v>6</v>
      </c>
      <c r="Y493" s="24">
        <f t="shared" ca="1" si="109"/>
        <v>1</v>
      </c>
    </row>
    <row r="494" spans="1:25">
      <c r="A494" s="16" t="str">
        <f t="shared" si="110"/>
        <v>EMP493</v>
      </c>
      <c r="B494" s="16" t="str" cm="1">
        <f t="array" ref="B494" ca="1">IF(D494="Male",INDEX(Lookup!$L$2:$L$13,RANDBETWEEN(1,12)),IF(D494="Female",INDEX(Lookup!$M$2:$M$13,RANDBETWEEN(1,12)),INDEX(Lookup!$N$2:$N$13,RANDBETWEEN(1,12))))</f>
        <v>John</v>
      </c>
      <c r="C494" s="16" t="str" cm="1">
        <f t="array" ref="C494" ca="1">INDEX(Lookup!$K$2:$K$31,RANDBETWEEN(1,30))</f>
        <v>Johnson</v>
      </c>
      <c r="D494" s="16" t="str" cm="1">
        <f t="array" ref="D494" ca="1">INDEX(Lookup!$H$2:$H$4,RANDBETWEEN(1,3))</f>
        <v>Male</v>
      </c>
      <c r="E494" s="16">
        <f t="shared" ca="1" si="98"/>
        <v>34</v>
      </c>
      <c r="F494" s="16" t="str" cm="1">
        <f t="array" ref="F494" ca="1">INDEX(Lookup!$A$2:$A$10,RANDBETWEEN(1,9))</f>
        <v>Finance</v>
      </c>
      <c r="G494" s="16" t="str" cm="1">
        <f t="array" ref="G494" ca="1">_xlfn.LET(_xlpm.Roles,_xlfn._xlws.FILTER(Lookup!$P$2:$P$28,Lookup!$O$2:$O$28=F494),INDEX(_xlpm.Roles,RANDBETWEEN(1,ROWS(_xlpm.Roles))))</f>
        <v>Payroll Officer</v>
      </c>
      <c r="H494" s="16" t="str" cm="1">
        <f t="array" ref="H494" ca="1">INDEX(Lookup!$B$2:$B$7,RANDBETWEEN(1,6))</f>
        <v>Waterford</v>
      </c>
      <c r="I494" s="22">
        <f t="shared" ca="1" si="99"/>
        <v>43713</v>
      </c>
      <c r="J494" s="22" t="str">
        <f t="shared" ca="1" si="100"/>
        <v/>
      </c>
      <c r="K494" s="16" t="str">
        <f t="shared" ca="1" si="101"/>
        <v>Active</v>
      </c>
      <c r="L494" s="26">
        <f ca="1">_xlfn.XLOOKUP(G494,Lookup!$P$2:$P$28,Lookup!$Q$2:$Q$28)*(1+MIN(X494*3%,30%))</f>
        <v>47700</v>
      </c>
      <c r="M494" s="24">
        <f t="shared" ca="1" si="111"/>
        <v>4</v>
      </c>
      <c r="N494" s="24">
        <f t="shared" ca="1" si="102"/>
        <v>60</v>
      </c>
      <c r="O494" s="24">
        <f t="shared" ca="1" si="103"/>
        <v>8</v>
      </c>
      <c r="P494" s="24">
        <f t="shared" ca="1" si="104"/>
        <v>53</v>
      </c>
      <c r="Q494" s="16" t="str">
        <f t="shared" ca="1" si="105"/>
        <v>Promoted</v>
      </c>
      <c r="R494" s="16" t="str" cm="1">
        <f t="array" ref="R494" ca="1">INDEX(Lookup!$E$2:$E$6,RANDBETWEEN(1,5))</f>
        <v>Dipolma</v>
      </c>
      <c r="S494" s="16" t="str" cm="1">
        <f t="array" ref="S494" ca="1">INDEX(Lookup!$J$2:$J$11,RANDBETWEEN(1,10))</f>
        <v>Sarah Johnson</v>
      </c>
      <c r="T494" s="16" t="str">
        <f t="shared" ca="1" si="106"/>
        <v>john.johnson@hranalytics.com</v>
      </c>
      <c r="U494" s="16" t="str">
        <f t="shared" ca="1" si="107"/>
        <v>0833523219</v>
      </c>
      <c r="V494" s="16" t="str" cm="1">
        <f t="array" ref="V494" ca="1">_xlfn.LET(_xlpm.r,RANDBETWEEN(1,100),_xlfn.IFS(_xlpm.r&lt;=70,"Full-Time",_xlpm.r&lt;=85,"Part-Time",_xlpm.r&lt;=95,"Contract",TRUE,"Intern"))</f>
        <v>Part-Time</v>
      </c>
      <c r="W494" s="16" cm="1">
        <f t="array" ref="W494" ca="1">IF(K494&lt;&gt;"Active",0,_xlfn.IFS(M494=5,L494*15%,M494=4,L494*10%,M494=3,L494*5%,M494=2,L494*2%,TRUE,0))</f>
        <v>4770</v>
      </c>
      <c r="X494" s="24">
        <f t="shared" ca="1" si="108"/>
        <v>6</v>
      </c>
      <c r="Y494" s="24">
        <f t="shared" ca="1" si="109"/>
        <v>3</v>
      </c>
    </row>
    <row r="495" spans="1:25">
      <c r="A495" s="16" t="str">
        <f t="shared" si="110"/>
        <v>EMP494</v>
      </c>
      <c r="B495" s="16" t="str" cm="1">
        <f t="array" ref="B495" ca="1">IF(D495="Male",INDEX(Lookup!$L$2:$L$13,RANDBETWEEN(1,12)),IF(D495="Female",INDEX(Lookup!$M$2:$M$13,RANDBETWEEN(1,12)),INDEX(Lookup!$N$2:$N$13,RANDBETWEEN(1,12))))</f>
        <v>Leo</v>
      </c>
      <c r="C495" s="16" t="str" cm="1">
        <f t="array" ref="C495" ca="1">INDEX(Lookup!$K$2:$K$31,RANDBETWEEN(1,30))</f>
        <v>Murphy</v>
      </c>
      <c r="D495" s="16" t="str" cm="1">
        <f t="array" ref="D495" ca="1">INDEX(Lookup!$H$2:$H$4,RANDBETWEEN(1,3))</f>
        <v>Male</v>
      </c>
      <c r="E495" s="16">
        <f t="shared" ca="1" si="98"/>
        <v>50</v>
      </c>
      <c r="F495" s="16" t="str" cm="1">
        <f t="array" ref="F495" ca="1">INDEX(Lookup!$A$2:$A$10,RANDBETWEEN(1,9))</f>
        <v>IT</v>
      </c>
      <c r="G495" s="16" t="str" cm="1">
        <f t="array" ref="G495" ca="1">_xlfn.LET(_xlpm.Roles,_xlfn._xlws.FILTER(Lookup!$P$2:$P$28,Lookup!$O$2:$O$28=F495),INDEX(_xlpm.Roles,RANDBETWEEN(1,ROWS(_xlpm.Roles))))</f>
        <v>Data Analyst</v>
      </c>
      <c r="H495" s="16" t="str" cm="1">
        <f t="array" ref="H495" ca="1">INDEX(Lookup!$B$2:$B$7,RANDBETWEEN(1,6))</f>
        <v>Limerick</v>
      </c>
      <c r="I495" s="22">
        <f t="shared" ca="1" si="99"/>
        <v>44309</v>
      </c>
      <c r="J495" s="22" t="str">
        <f t="shared" ca="1" si="100"/>
        <v/>
      </c>
      <c r="K495" s="16" t="str">
        <f t="shared" ca="1" si="101"/>
        <v>Active</v>
      </c>
      <c r="L495" s="26">
        <f ca="1">_xlfn.XLOOKUP(G495,Lookup!$P$2:$P$28,Lookup!$Q$2:$Q$28)*(1+MIN(X495*3%,30%))</f>
        <v>58300</v>
      </c>
      <c r="M495" s="24">
        <f t="shared" ca="1" si="111"/>
        <v>5</v>
      </c>
      <c r="N495" s="24">
        <f t="shared" ca="1" si="102"/>
        <v>72</v>
      </c>
      <c r="O495" s="24">
        <f t="shared" ca="1" si="103"/>
        <v>2</v>
      </c>
      <c r="P495" s="24">
        <f t="shared" ca="1" si="104"/>
        <v>47</v>
      </c>
      <c r="Q495" s="16" t="str">
        <f t="shared" ca="1" si="105"/>
        <v>Promoted</v>
      </c>
      <c r="R495" s="16" t="str" cm="1">
        <f t="array" ref="R495" ca="1">INDEX(Lookup!$E$2:$E$6,RANDBETWEEN(1,5))</f>
        <v>PhD</v>
      </c>
      <c r="S495" s="16" t="str" cm="1">
        <f t="array" ref="S495" ca="1">INDEX(Lookup!$J$2:$J$11,RANDBETWEEN(1,10))</f>
        <v>Michael Brown</v>
      </c>
      <c r="T495" s="16" t="str">
        <f t="shared" ca="1" si="106"/>
        <v>leo.murphy@hranalytics.com</v>
      </c>
      <c r="U495" s="16" t="str">
        <f t="shared" ca="1" si="107"/>
        <v>0859995354</v>
      </c>
      <c r="V495" s="16" t="str" cm="1">
        <f t="array" ref="V495" ca="1">_xlfn.LET(_xlpm.r,RANDBETWEEN(1,100),_xlfn.IFS(_xlpm.r&lt;=70,"Full-Time",_xlpm.r&lt;=85,"Part-Time",_xlpm.r&lt;=95,"Contract",TRUE,"Intern"))</f>
        <v>Contract</v>
      </c>
      <c r="W495" s="16" cm="1">
        <f t="array" ref="W495" ca="1">IF(K495&lt;&gt;"Active",0,_xlfn.IFS(M495=5,L495*15%,M495=4,L495*10%,M495=3,L495*5%,M495=2,L495*2%,TRUE,0))</f>
        <v>2915</v>
      </c>
      <c r="X495" s="24">
        <f t="shared" ca="1" si="108"/>
        <v>5</v>
      </c>
      <c r="Y495" s="24">
        <f t="shared" ca="1" si="109"/>
        <v>1</v>
      </c>
    </row>
    <row r="496" spans="1:25">
      <c r="A496" s="16" t="str">
        <f t="shared" si="110"/>
        <v>EMP495</v>
      </c>
      <c r="B496" s="16" t="str" cm="1">
        <f t="array" ref="B496" ca="1">IF(D496="Male",INDEX(Lookup!$L$2:$L$13,RANDBETWEEN(1,12)),IF(D496="Female",INDEX(Lookup!$M$2:$M$13,RANDBETWEEN(1,12)),INDEX(Lookup!$N$2:$N$13,RANDBETWEEN(1,12))))</f>
        <v>Robin</v>
      </c>
      <c r="C496" s="16" t="str" cm="1">
        <f t="array" ref="C496" ca="1">INDEX(Lookup!$K$2:$K$31,RANDBETWEEN(1,30))</f>
        <v>Taylor</v>
      </c>
      <c r="D496" s="16" t="str" cm="1">
        <f t="array" ref="D496" ca="1">INDEX(Lookup!$H$2:$H$4,RANDBETWEEN(1,3))</f>
        <v>Other</v>
      </c>
      <c r="E496" s="16">
        <f t="shared" ca="1" si="98"/>
        <v>27</v>
      </c>
      <c r="F496" s="16" t="str" cm="1">
        <f t="array" ref="F496" ca="1">INDEX(Lookup!$A$2:$A$10,RANDBETWEEN(1,9))</f>
        <v>Sales</v>
      </c>
      <c r="G496" s="16" t="str" cm="1">
        <f t="array" ref="G496" ca="1">_xlfn.LET(_xlpm.Roles,_xlfn._xlws.FILTER(Lookup!$P$2:$P$28,Lookup!$O$2:$O$28=F496),INDEX(_xlpm.Roles,RANDBETWEEN(1,ROWS(_xlpm.Roles))))</f>
        <v>Business Development Executive</v>
      </c>
      <c r="H496" s="16" t="str" cm="1">
        <f t="array" ref="H496" ca="1">INDEX(Lookup!$B$2:$B$7,RANDBETWEEN(1,6))</f>
        <v>Waterford</v>
      </c>
      <c r="I496" s="22">
        <f t="shared" ca="1" si="99"/>
        <v>45336</v>
      </c>
      <c r="J496" s="22" t="str">
        <f t="shared" ca="1" si="100"/>
        <v/>
      </c>
      <c r="K496" s="16" t="str">
        <f t="shared" ca="1" si="101"/>
        <v>Active</v>
      </c>
      <c r="L496" s="26">
        <f ca="1">_xlfn.XLOOKUP(G496,Lookup!$P$2:$P$28,Lookup!$Q$2:$Q$28)*(1+MIN(X496*3%,30%))</f>
        <v>56640</v>
      </c>
      <c r="M496" s="24">
        <f t="shared" ca="1" si="111"/>
        <v>4</v>
      </c>
      <c r="N496" s="24">
        <f t="shared" ca="1" si="102"/>
        <v>54</v>
      </c>
      <c r="O496" s="24">
        <f t="shared" ca="1" si="103"/>
        <v>1</v>
      </c>
      <c r="P496" s="24">
        <f t="shared" ca="1" si="104"/>
        <v>31</v>
      </c>
      <c r="Q496" s="16" t="str">
        <f t="shared" ca="1" si="105"/>
        <v>Promoted</v>
      </c>
      <c r="R496" s="16" t="str" cm="1">
        <f t="array" ref="R496" ca="1">INDEX(Lookup!$E$2:$E$6,RANDBETWEEN(1,5))</f>
        <v>High School</v>
      </c>
      <c r="S496" s="16" t="str" cm="1">
        <f t="array" ref="S496" ca="1">INDEX(Lookup!$J$2:$J$11,RANDBETWEEN(1,10))</f>
        <v>Olivia Smith</v>
      </c>
      <c r="T496" s="16" t="str">
        <f t="shared" ca="1" si="106"/>
        <v>robin.taylor@hranalytics.com</v>
      </c>
      <c r="U496" s="16" t="str">
        <f t="shared" ca="1" si="107"/>
        <v>0866244853</v>
      </c>
      <c r="V496" s="16" t="str" cm="1">
        <f t="array" ref="V496" ca="1">_xlfn.LET(_xlpm.r,RANDBETWEEN(1,100),_xlfn.IFS(_xlpm.r&lt;=70,"Full-Time",_xlpm.r&lt;=85,"Part-Time",_xlpm.r&lt;=95,"Contract",TRUE,"Intern"))</f>
        <v>Part-Time</v>
      </c>
      <c r="W496" s="16" cm="1">
        <f t="array" ref="W496" ca="1">IF(K496&lt;&gt;"Active",0,_xlfn.IFS(M496=5,L496*15%,M496=4,L496*10%,M496=3,L496*5%,M496=2,L496*2%,TRUE,0))</f>
        <v>2832</v>
      </c>
      <c r="X496" s="24">
        <f t="shared" ca="1" si="108"/>
        <v>2</v>
      </c>
      <c r="Y496" s="24">
        <f t="shared" ca="1" si="109"/>
        <v>1</v>
      </c>
    </row>
    <row r="497" spans="1:25">
      <c r="A497" s="16" t="str">
        <f t="shared" si="110"/>
        <v>EMP496</v>
      </c>
      <c r="B497" s="16" t="str" cm="1">
        <f t="array" ref="B497" ca="1">IF(D497="Male",INDEX(Lookup!$L$2:$L$13,RANDBETWEEN(1,12)),IF(D497="Female",INDEX(Lookup!$M$2:$M$13,RANDBETWEEN(1,12)),INDEX(Lookup!$N$2:$N$13,RANDBETWEEN(1,12))))</f>
        <v>Skyler</v>
      </c>
      <c r="C497" s="16" t="str" cm="1">
        <f t="array" ref="C497" ca="1">INDEX(Lookup!$K$2:$K$31,RANDBETWEEN(1,30))</f>
        <v>Wilson</v>
      </c>
      <c r="D497" s="16" t="str" cm="1">
        <f t="array" ref="D497" ca="1">INDEX(Lookup!$H$2:$H$4,RANDBETWEEN(1,3))</f>
        <v>Other</v>
      </c>
      <c r="E497" s="16">
        <f t="shared" ca="1" si="98"/>
        <v>59</v>
      </c>
      <c r="F497" s="16" t="str" cm="1">
        <f t="array" ref="F497" ca="1">INDEX(Lookup!$A$2:$A$10,RANDBETWEEN(1,9))</f>
        <v>Marketing</v>
      </c>
      <c r="G497" s="16" t="str" cm="1">
        <f t="array" ref="G497" ca="1">_xlfn.LET(_xlpm.Roles,_xlfn._xlws.FILTER(Lookup!$P$2:$P$28,Lookup!$O$2:$O$28=F497),INDEX(_xlpm.Roles,RANDBETWEEN(1,ROWS(_xlpm.Roles))))</f>
        <v>Brand Executive</v>
      </c>
      <c r="H497" s="16" t="str" cm="1">
        <f t="array" ref="H497" ca="1">INDEX(Lookup!$B$2:$B$7,RANDBETWEEN(1,6))</f>
        <v>Waterford</v>
      </c>
      <c r="I497" s="22">
        <f t="shared" ca="1" si="99"/>
        <v>45066</v>
      </c>
      <c r="J497" s="22">
        <f t="shared" ca="1" si="100"/>
        <v>45411</v>
      </c>
      <c r="K497" s="16" t="str">
        <f t="shared" ca="1" si="101"/>
        <v>Resigned</v>
      </c>
      <c r="L497" s="26">
        <f ca="1">_xlfn.XLOOKUP(G497,Lookup!$P$2:$P$28,Lookup!$Q$2:$Q$28)*(1+MIN(X497*3%,30%))</f>
        <v>55660</v>
      </c>
      <c r="M497" s="24">
        <f t="shared" ca="1" si="111"/>
        <v>3</v>
      </c>
      <c r="N497" s="24">
        <f t="shared" ca="1" si="102"/>
        <v>62</v>
      </c>
      <c r="O497" s="24">
        <f t="shared" ca="1" si="103"/>
        <v>20</v>
      </c>
      <c r="P497" s="24">
        <f t="shared" ca="1" si="104"/>
        <v>19</v>
      </c>
      <c r="Q497" s="16" t="str">
        <f t="shared" ca="1" si="105"/>
        <v>Not Promoted</v>
      </c>
      <c r="R497" s="16" t="str" cm="1">
        <f t="array" ref="R497" ca="1">INDEX(Lookup!$E$2:$E$6,RANDBETWEEN(1,5))</f>
        <v>PhD</v>
      </c>
      <c r="S497" s="16" t="str" cm="1">
        <f t="array" ref="S497" ca="1">INDEX(Lookup!$J$2:$J$11,RANDBETWEEN(1,10))</f>
        <v>Olivia Smith</v>
      </c>
      <c r="T497" s="16" t="str">
        <f t="shared" ca="1" si="106"/>
        <v>skyler.wilson@hranalytics.com</v>
      </c>
      <c r="U497" s="16" t="str">
        <f t="shared" ca="1" si="107"/>
        <v>0854310358</v>
      </c>
      <c r="V497" s="16" t="str" cm="1">
        <f t="array" ref="V497" ca="1">_xlfn.LET(_xlpm.r,RANDBETWEEN(1,100),_xlfn.IFS(_xlpm.r&lt;=70,"Full-Time",_xlpm.r&lt;=85,"Part-Time",_xlpm.r&lt;=95,"Contract",TRUE,"Intern"))</f>
        <v>Full-Time</v>
      </c>
      <c r="W497" s="16" cm="1">
        <f t="array" ref="W497" ca="1">IF(K497&lt;&gt;"Active",0,_xlfn.IFS(M497=5,L497*15%,M497=4,L497*10%,M497=3,L497*5%,M497=2,L497*2%,TRUE,0))</f>
        <v>0</v>
      </c>
      <c r="X497" s="24">
        <f t="shared" ca="1" si="108"/>
        <v>3</v>
      </c>
      <c r="Y497" s="24">
        <f t="shared" ca="1" si="109"/>
        <v>1</v>
      </c>
    </row>
    <row r="498" spans="1:25">
      <c r="A498" s="16" t="str">
        <f t="shared" si="110"/>
        <v>EMP497</v>
      </c>
      <c r="B498" s="16" t="str" cm="1">
        <f t="array" ref="B498" ca="1">IF(D498="Male",INDEX(Lookup!$L$2:$L$13,RANDBETWEEN(1,12)),IF(D498="Female",INDEX(Lookup!$M$2:$M$13,RANDBETWEEN(1,12)),INDEX(Lookup!$N$2:$N$13,RANDBETWEEN(1,12))))</f>
        <v>Alex</v>
      </c>
      <c r="C498" s="16" t="str" cm="1">
        <f t="array" ref="C498" ca="1">INDEX(Lookup!$K$2:$K$31,RANDBETWEEN(1,30))</f>
        <v>Parker</v>
      </c>
      <c r="D498" s="16" t="str" cm="1">
        <f t="array" ref="D498" ca="1">INDEX(Lookup!$H$2:$H$4,RANDBETWEEN(1,3))</f>
        <v>Other</v>
      </c>
      <c r="E498" s="16">
        <f t="shared" ca="1" si="98"/>
        <v>38</v>
      </c>
      <c r="F498" s="16" t="str" cm="1">
        <f t="array" ref="F498" ca="1">INDEX(Lookup!$A$2:$A$10,RANDBETWEEN(1,9))</f>
        <v>Finance</v>
      </c>
      <c r="G498" s="16" t="str" cm="1">
        <f t="array" ref="G498" ca="1">_xlfn.LET(_xlpm.Roles,_xlfn._xlws.FILTER(Lookup!$P$2:$P$28,Lookup!$O$2:$O$28=F498),INDEX(_xlpm.Roles,RANDBETWEEN(1,ROWS(_xlpm.Roles))))</f>
        <v>Accountant</v>
      </c>
      <c r="H498" s="16" t="str" cm="1">
        <f t="array" ref="H498" ca="1">INDEX(Lookup!$B$2:$B$7,RANDBETWEEN(1,6))</f>
        <v>Limerick</v>
      </c>
      <c r="I498" s="22">
        <f t="shared" ca="1" si="99"/>
        <v>44991</v>
      </c>
      <c r="J498" s="22">
        <f t="shared" ca="1" si="100"/>
        <v>46016</v>
      </c>
      <c r="K498" s="16" t="str">
        <f t="shared" ca="1" si="101"/>
        <v>Resigned</v>
      </c>
      <c r="L498" s="26">
        <f ca="1">_xlfn.XLOOKUP(G498,Lookup!$P$2:$P$28,Lookup!$Q$2:$Q$28)*(1+MIN(X498*3%,30%))</f>
        <v>53000</v>
      </c>
      <c r="M498" s="24">
        <f t="shared" ca="1" si="111"/>
        <v>4</v>
      </c>
      <c r="N498" s="24">
        <f t="shared" ca="1" si="102"/>
        <v>4</v>
      </c>
      <c r="O498" s="24">
        <f t="shared" ca="1" si="103"/>
        <v>20</v>
      </c>
      <c r="P498" s="24">
        <f t="shared" ca="1" si="104"/>
        <v>32</v>
      </c>
      <c r="Q498" s="16" t="str">
        <f t="shared" ca="1" si="105"/>
        <v>Promoted</v>
      </c>
      <c r="R498" s="16" t="str" cm="1">
        <f t="array" ref="R498" ca="1">INDEX(Lookup!$E$2:$E$6,RANDBETWEEN(1,5))</f>
        <v>Dipolma</v>
      </c>
      <c r="S498" s="16" t="str" cm="1">
        <f t="array" ref="S498" ca="1">INDEX(Lookup!$J$2:$J$11,RANDBETWEEN(1,10))</f>
        <v>Sarah Johnson</v>
      </c>
      <c r="T498" s="16" t="str">
        <f t="shared" ca="1" si="106"/>
        <v>alex.parker@hranalytics.com</v>
      </c>
      <c r="U498" s="16" t="str">
        <f t="shared" ca="1" si="107"/>
        <v>0851562686</v>
      </c>
      <c r="V498" s="16" t="str" cm="1">
        <f t="array" ref="V498" ca="1">_xlfn.LET(_xlpm.r,RANDBETWEEN(1,100),_xlfn.IFS(_xlpm.r&lt;=70,"Full-Time",_xlpm.r&lt;=85,"Part-Time",_xlpm.r&lt;=95,"Contract",TRUE,"Intern"))</f>
        <v>Intern</v>
      </c>
      <c r="W498" s="16" cm="1">
        <f t="array" ref="W498" ca="1">IF(K498&lt;&gt;"Active",0,_xlfn.IFS(M498=5,L498*15%,M498=4,L498*10%,M498=3,L498*5%,M498=2,L498*2%,TRUE,0))</f>
        <v>5300</v>
      </c>
      <c r="X498" s="24">
        <f t="shared" ca="1" si="108"/>
        <v>3</v>
      </c>
      <c r="Y498" s="24">
        <f t="shared" ca="1" si="109"/>
        <v>3</v>
      </c>
    </row>
    <row r="499" spans="1:25">
      <c r="A499" s="16" t="str">
        <f t="shared" si="110"/>
        <v>EMP498</v>
      </c>
      <c r="B499" s="16" t="str" cm="1">
        <f t="array" ref="B499" ca="1">IF(D499="Male",INDEX(Lookup!$L$2:$L$13,RANDBETWEEN(1,12)),IF(D499="Female",INDEX(Lookup!$M$2:$M$13,RANDBETWEEN(1,12)),INDEX(Lookup!$N$2:$N$13,RANDBETWEEN(1,12))))</f>
        <v>Amelia</v>
      </c>
      <c r="C499" s="16" t="str" cm="1">
        <f t="array" ref="C499" ca="1">INDEX(Lookup!$K$2:$K$31,RANDBETWEEN(1,30))</f>
        <v>King</v>
      </c>
      <c r="D499" s="16" t="str" cm="1">
        <f t="array" ref="D499" ca="1">INDEX(Lookup!$H$2:$H$4,RANDBETWEEN(1,3))</f>
        <v>Female</v>
      </c>
      <c r="E499" s="16">
        <f t="shared" ca="1" si="98"/>
        <v>46</v>
      </c>
      <c r="F499" s="16" t="str" cm="1">
        <f t="array" ref="F499" ca="1">INDEX(Lookup!$A$2:$A$10,RANDBETWEEN(1,9))</f>
        <v>Customer Support</v>
      </c>
      <c r="G499" s="16" t="str" cm="1">
        <f t="array" ref="G499" ca="1">_xlfn.LET(_xlpm.Roles,_xlfn._xlws.FILTER(Lookup!$P$2:$P$28,Lookup!$O$2:$O$28=F499),INDEX(_xlpm.Roles,RANDBETWEEN(1,ROWS(_xlpm.Roles))))</f>
        <v>Customer Support Representative</v>
      </c>
      <c r="H499" s="16" t="str" cm="1">
        <f t="array" ref="H499" ca="1">INDEX(Lookup!$B$2:$B$7,RANDBETWEEN(1,6))</f>
        <v>Cork</v>
      </c>
      <c r="I499" s="22">
        <f t="shared" ca="1" si="99"/>
        <v>44248</v>
      </c>
      <c r="J499" s="22" t="str">
        <f t="shared" ca="1" si="100"/>
        <v/>
      </c>
      <c r="K499" s="16" t="str">
        <f t="shared" ca="1" si="101"/>
        <v>Active</v>
      </c>
      <c r="L499" s="26">
        <f ca="1">_xlfn.XLOOKUP(G499,Lookup!$P$2:$P$28,Lookup!$Q$2:$Q$28)*(1+MIN(X499*3%,30%))</f>
        <v>43560</v>
      </c>
      <c r="M499" s="24">
        <f t="shared" ca="1" si="111"/>
        <v>4</v>
      </c>
      <c r="N499" s="24">
        <f t="shared" ca="1" si="102"/>
        <v>19</v>
      </c>
      <c r="O499" s="24">
        <f t="shared" ca="1" si="103"/>
        <v>18</v>
      </c>
      <c r="P499" s="24">
        <f t="shared" ca="1" si="104"/>
        <v>8</v>
      </c>
      <c r="Q499" s="16" t="str">
        <f t="shared" ca="1" si="105"/>
        <v>Promoted</v>
      </c>
      <c r="R499" s="16" t="str" cm="1">
        <f t="array" ref="R499" ca="1">INDEX(Lookup!$E$2:$E$6,RANDBETWEEN(1,5))</f>
        <v>Bachelor's</v>
      </c>
      <c r="S499" s="16" t="str" cm="1">
        <f t="array" ref="S499" ca="1">INDEX(Lookup!$J$2:$J$11,RANDBETWEEN(1,10))</f>
        <v>Sophia Martin</v>
      </c>
      <c r="T499" s="16" t="str">
        <f t="shared" ca="1" si="106"/>
        <v>amelia.king@hranalytics.com</v>
      </c>
      <c r="U499" s="16" t="str">
        <f t="shared" ca="1" si="107"/>
        <v>0836792183</v>
      </c>
      <c r="V499" s="16" t="str" cm="1">
        <f t="array" ref="V499" ca="1">_xlfn.LET(_xlpm.r,RANDBETWEEN(1,100),_xlfn.IFS(_xlpm.r&lt;=70,"Full-Time",_xlpm.r&lt;=85,"Part-Time",_xlpm.r&lt;=95,"Contract",TRUE,"Intern"))</f>
        <v>Full-Time</v>
      </c>
      <c r="W499" s="16" cm="1">
        <f t="array" ref="W499" ca="1">IF(K499&lt;&gt;"Active",0,_xlfn.IFS(M499=5,L499*15%,M499=4,L499*10%,M499=3,L499*5%,M499=2,L499*2%,TRUE,0))</f>
        <v>6534</v>
      </c>
      <c r="X499" s="24">
        <f t="shared" ca="1" si="108"/>
        <v>5</v>
      </c>
      <c r="Y499" s="24">
        <f t="shared" ca="1" si="109"/>
        <v>2</v>
      </c>
    </row>
    <row r="500" spans="1:25">
      <c r="A500" s="16" t="str">
        <f t="shared" si="110"/>
        <v>EMP499</v>
      </c>
      <c r="B500" s="16" t="str" cm="1">
        <f t="array" ref="B500" ca="1">IF(D500="Male",INDEX(Lookup!$L$2:$L$13,RANDBETWEEN(1,12)),IF(D500="Female",INDEX(Lookup!$M$2:$M$13,RANDBETWEEN(1,12)),INDEX(Lookup!$N$2:$N$13,RANDBETWEEN(1,12))))</f>
        <v>Sophia</v>
      </c>
      <c r="C500" s="16" t="str" cm="1">
        <f t="array" ref="C500" ca="1">INDEX(Lookup!$K$2:$K$31,RANDBETWEEN(1,30))</f>
        <v>Cooper</v>
      </c>
      <c r="D500" s="16" t="str" cm="1">
        <f t="array" ref="D500" ca="1">INDEX(Lookup!$H$2:$H$4,RANDBETWEEN(1,3))</f>
        <v>Female</v>
      </c>
      <c r="E500" s="16">
        <f t="shared" ca="1" si="98"/>
        <v>38</v>
      </c>
      <c r="F500" s="16" t="str" cm="1">
        <f t="array" ref="F500" ca="1">INDEX(Lookup!$A$2:$A$10,RANDBETWEEN(1,9))</f>
        <v>Customer Support</v>
      </c>
      <c r="G500" s="16" t="str" cm="1">
        <f t="array" ref="G500" ca="1">_xlfn.LET(_xlpm.Roles,_xlfn._xlws.FILTER(Lookup!$P$2:$P$28,Lookup!$O$2:$O$28=F500),INDEX(_xlpm.Roles,RANDBETWEEN(1,ROWS(_xlpm.Roles))))</f>
        <v>Customer Success Specialist</v>
      </c>
      <c r="H500" s="16" t="str" cm="1">
        <f t="array" ref="H500" ca="1">INDEX(Lookup!$B$2:$B$7,RANDBETWEEN(1,6))</f>
        <v>Waterford</v>
      </c>
      <c r="I500" s="22">
        <f t="shared" ca="1" si="99"/>
        <v>44171</v>
      </c>
      <c r="J500" s="22" t="str">
        <f t="shared" ca="1" si="100"/>
        <v/>
      </c>
      <c r="K500" s="16" t="str">
        <f t="shared" ca="1" si="101"/>
        <v>Active</v>
      </c>
      <c r="L500" s="26">
        <f ca="1">_xlfn.XLOOKUP(G500,Lookup!$P$2:$P$28,Lookup!$Q$2:$Q$28)*(1+MIN(X500*3%,30%))</f>
        <v>47040</v>
      </c>
      <c r="M500" s="24">
        <f t="shared" ca="1" si="111"/>
        <v>4</v>
      </c>
      <c r="N500" s="24">
        <f t="shared" ca="1" si="102"/>
        <v>47</v>
      </c>
      <c r="O500" s="24">
        <f t="shared" ca="1" si="103"/>
        <v>8</v>
      </c>
      <c r="P500" s="24">
        <f t="shared" ca="1" si="104"/>
        <v>12</v>
      </c>
      <c r="Q500" s="16" t="str">
        <f t="shared" ca="1" si="105"/>
        <v>Promoted</v>
      </c>
      <c r="R500" s="16" t="str" cm="1">
        <f t="array" ref="R500" ca="1">INDEX(Lookup!$E$2:$E$6,RANDBETWEEN(1,5))</f>
        <v>PhD</v>
      </c>
      <c r="S500" s="16" t="str" cm="1">
        <f t="array" ref="S500" ca="1">INDEX(Lookup!$J$2:$J$11,RANDBETWEEN(1,10))</f>
        <v>Daniel Kelly</v>
      </c>
      <c r="T500" s="16" t="str">
        <f t="shared" ca="1" si="106"/>
        <v>sophia.cooper@hranalytics.com</v>
      </c>
      <c r="U500" s="16" t="str">
        <f t="shared" ca="1" si="107"/>
        <v>0877841037</v>
      </c>
      <c r="V500" s="16" t="str" cm="1">
        <f t="array" ref="V500" ca="1">_xlfn.LET(_xlpm.r,RANDBETWEEN(1,100),_xlfn.IFS(_xlpm.r&lt;=70,"Full-Time",_xlpm.r&lt;=85,"Part-Time",_xlpm.r&lt;=95,"Contract",TRUE,"Intern"))</f>
        <v>Full-Time</v>
      </c>
      <c r="W500" s="16" cm="1">
        <f t="array" ref="W500" ca="1">IF(K500&lt;&gt;"Active",0,_xlfn.IFS(M500=5,L500*15%,M500=4,L500*10%,M500=3,L500*5%,M500=2,L500*2%,TRUE,0))</f>
        <v>4704</v>
      </c>
      <c r="X500" s="24">
        <f t="shared" ca="1" si="108"/>
        <v>5</v>
      </c>
      <c r="Y500" s="24">
        <f t="shared" ca="1" si="109"/>
        <v>1</v>
      </c>
    </row>
    <row r="501" spans="1:25">
      <c r="A501" s="16" t="str">
        <f t="shared" ref="A501" si="112">"EMP"&amp;TEXT(ROW()-1,"000")</f>
        <v>EMP500</v>
      </c>
      <c r="B501" s="16" t="str" cm="1">
        <f t="array" ref="B501" ca="1">IF(D501="Male",INDEX(Lookup!$L$2:$L$13,RANDBETWEEN(1,12)),IF(D501="Female",INDEX(Lookup!$M$2:$M$13,RANDBETWEEN(1,12)),INDEX(Lookup!$N$2:$N$13,RANDBETWEEN(1,12))))</f>
        <v>Ella</v>
      </c>
      <c r="C501" s="16" t="str" cm="1">
        <f t="array" ref="C501" ca="1">INDEX(Lookup!$K$2:$K$31,RANDBETWEEN(1,30))</f>
        <v>Hall</v>
      </c>
      <c r="D501" s="16" t="str" cm="1">
        <f t="array" ref="D501" ca="1">INDEX(Lookup!$H$2:$H$4,RANDBETWEEN(1,3))</f>
        <v>Female</v>
      </c>
      <c r="E501" s="16">
        <f t="shared" ca="1" si="98"/>
        <v>32</v>
      </c>
      <c r="F501" s="16" t="str" cm="1">
        <f t="array" ref="F501" ca="1">INDEX(Lookup!$A$2:$A$10,RANDBETWEEN(1,9))</f>
        <v>Marketing</v>
      </c>
      <c r="G501" s="16" t="str" cm="1">
        <f t="array" ref="G501" ca="1">_xlfn.LET(_xlpm.Roles,_xlfn._xlws.FILTER(Lookup!$P$2:$P$28,Lookup!$O$2:$O$28=F501),INDEX(_xlpm.Roles,RANDBETWEEN(1,ROWS(_xlpm.Roles))))</f>
        <v>Brand Executive</v>
      </c>
      <c r="H501" s="16" t="str" cm="1">
        <f t="array" ref="H501" ca="1">INDEX(Lookup!$B$2:$B$7,RANDBETWEEN(1,6))</f>
        <v>Cork</v>
      </c>
      <c r="I501" s="22">
        <f t="shared" ca="1" si="99"/>
        <v>44275</v>
      </c>
      <c r="J501" s="22" t="str">
        <f t="shared" ca="1" si="100"/>
        <v/>
      </c>
      <c r="K501" s="16" t="str">
        <f t="shared" ca="1" si="101"/>
        <v>Active</v>
      </c>
      <c r="L501" s="26">
        <f ca="1">_xlfn.XLOOKUP(G501,Lookup!$P$2:$P$28,Lookup!$Q$2:$Q$28)*(1+MIN(X501*3%,30%))</f>
        <v>51520</v>
      </c>
      <c r="M501" s="24">
        <f t="shared" ca="1" si="111"/>
        <v>3</v>
      </c>
      <c r="N501" s="24">
        <f t="shared" ca="1" si="102"/>
        <v>79</v>
      </c>
      <c r="O501" s="24">
        <f t="shared" ca="1" si="103"/>
        <v>12</v>
      </c>
      <c r="P501" s="24">
        <f t="shared" ca="1" si="104"/>
        <v>25</v>
      </c>
      <c r="Q501" s="16" t="str">
        <f t="shared" ca="1" si="105"/>
        <v>Not Promoted</v>
      </c>
      <c r="R501" s="16" t="str" cm="1">
        <f t="array" ref="R501" ca="1">INDEX(Lookup!$E$2:$E$6,RANDBETWEEN(1,5))</f>
        <v>PhD</v>
      </c>
      <c r="S501" s="16" t="str" cm="1">
        <f t="array" ref="S501" ca="1">INDEX(Lookup!$J$2:$J$11,RANDBETWEEN(1,10))</f>
        <v>Daniel Kelly</v>
      </c>
      <c r="T501" s="16" t="str">
        <f t="shared" ca="1" si="106"/>
        <v>ella.hall@hranalytics.com</v>
      </c>
      <c r="U501" s="16" t="str">
        <f t="shared" ca="1" si="107"/>
        <v>0897821456</v>
      </c>
      <c r="V501" s="16" t="str" cm="1">
        <f t="array" ref="V501" ca="1">_xlfn.LET(_xlpm.r,RANDBETWEEN(1,100),_xlfn.IFS(_xlpm.r&lt;=70,"Full-Time",_xlpm.r&lt;=85,"Part-Time",_xlpm.r&lt;=95,"Contract",TRUE,"Intern"))</f>
        <v>Full-Time</v>
      </c>
      <c r="W501" s="16" cm="1">
        <f t="array" ref="W501" ca="1">IF(K501&lt;&gt;"Active",0,_xlfn.IFS(M501=5,L501*15%,M501=4,L501*10%,M501=3,L501*5%,M501=2,L501*2%,TRUE,0))</f>
        <v>0</v>
      </c>
      <c r="X501" s="24">
        <f t="shared" ca="1" si="108"/>
        <v>5</v>
      </c>
      <c r="Y501" s="24">
        <f t="shared" ca="1" si="109"/>
        <v>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Lookup!$I$2:$I$24</xm:f>
          </x14:formula1>
          <xm:sqref>G1</xm:sqref>
        </x14:dataValidation>
        <x14:dataValidation type="list" allowBlank="1" showInputMessage="1" showErrorMessage="1" xr:uid="{00000000-0002-0000-0000-000001000000}">
          <x14:formula1>
            <xm:f>Lookup!$H$2:$H$4</xm:f>
          </x14:formula1>
          <xm:sqref>D502</xm:sqref>
        </x14:dataValidation>
        <x14:dataValidation type="list" allowBlank="1" showInputMessage="1" showErrorMessage="1" xr:uid="{00000000-0002-0000-0000-000002000000}">
          <x14:formula1>
            <xm:f>Lookup!$A$2:$A$10</xm:f>
          </x14:formula1>
          <xm:sqref>F502</xm:sqref>
        </x14:dataValidation>
        <x14:dataValidation type="list" allowBlank="1" showInputMessage="1" showErrorMessage="1" xr:uid="{00000000-0002-0000-0000-000003000000}">
          <x14:formula1>
            <xm:f>Lookup!$B$2:$B$7</xm:f>
          </x14:formula1>
          <xm:sqref>H502</xm:sqref>
        </x14:dataValidation>
        <x14:dataValidation type="list" allowBlank="1" showInputMessage="1" showErrorMessage="1" xr:uid="{00000000-0002-0000-0000-000004000000}">
          <x14:formula1>
            <xm:f>Lookup!$C$2:$C$3</xm:f>
          </x14:formula1>
          <xm:sqref>K502</xm:sqref>
        </x14:dataValidation>
        <x14:dataValidation type="list" allowBlank="1" showInputMessage="1" showErrorMessage="1" xr:uid="{00000000-0002-0000-0000-000005000000}">
          <x14:formula1>
            <xm:f>Lookup!$F$2:$F$6</xm:f>
          </x14:formula1>
          <xm:sqref>M502</xm:sqref>
        </x14:dataValidation>
        <x14:dataValidation type="list" allowBlank="1" showInputMessage="1" showErrorMessage="1" xr:uid="{00000000-0002-0000-0000-000006000000}">
          <x14:formula1>
            <xm:f>Lookup!$G$2:$G$3</xm:f>
          </x14:formula1>
          <xm:sqref>Q502</xm:sqref>
        </x14:dataValidation>
        <x14:dataValidation type="list" allowBlank="1" showInputMessage="1" showErrorMessage="1" xr:uid="{00000000-0002-0000-0000-000007000000}">
          <x14:formula1>
            <xm:f>Lookup!$E$2:$E$6</xm:f>
          </x14:formula1>
          <xm:sqref>R502</xm:sqref>
        </x14:dataValidation>
        <x14:dataValidation type="list" allowBlank="1" showInputMessage="1" showErrorMessage="1" xr:uid="{00000000-0002-0000-0000-000008000000}">
          <x14:formula1>
            <xm:f>Lookup!$D$2:$D$5</xm:f>
          </x14:formula1>
          <xm:sqref>V502</xm:sqref>
        </x14:dataValidation>
        <x14:dataValidation type="list" allowBlank="1" showInputMessage="1" showErrorMessage="1" xr:uid="{00000000-0002-0000-0000-000009000000}">
          <x14:formula1>
            <xm:f>Lookup!$J$2:$J$11</xm:f>
          </x14:formula1>
          <xm:sqref>S2:S501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4"/>
  <sheetViews>
    <sheetView topLeftCell="F10" zoomScale="90" zoomScaleNormal="90" workbookViewId="0">
      <selection activeCell="K36" sqref="K36"/>
    </sheetView>
  </sheetViews>
  <sheetFormatPr baseColWidth="10" defaultColWidth="11" defaultRowHeight="16"/>
  <cols>
    <col min="1" max="1" width="15.83203125" customWidth="1"/>
    <col min="3" max="3" width="17.33203125" customWidth="1"/>
    <col min="4" max="4" width="16.6640625" customWidth="1"/>
    <col min="6" max="6" width="17.83203125" customWidth="1"/>
    <col min="7" max="7" width="15.5" customWidth="1"/>
    <col min="9" max="9" width="29" customWidth="1"/>
    <col min="10" max="10" width="16.5" customWidth="1"/>
    <col min="11" max="11" width="14.83203125" customWidth="1"/>
    <col min="12" max="12" width="17.83203125" customWidth="1"/>
    <col min="13" max="13" width="17.1640625" customWidth="1"/>
    <col min="14" max="14" width="15.6640625" customWidth="1"/>
    <col min="15" max="15" width="16.5" customWidth="1"/>
    <col min="16" max="16" width="30" customWidth="1"/>
    <col min="18" max="18" width="17.1640625" customWidth="1"/>
    <col min="19" max="19" width="17.5" customWidth="1"/>
    <col min="27" max="27" width="16.5" customWidth="1"/>
  </cols>
  <sheetData>
    <row r="1" spans="1:27">
      <c r="A1" s="16" t="s">
        <v>5</v>
      </c>
      <c r="B1" s="16" t="s">
        <v>7</v>
      </c>
      <c r="C1" s="16" t="s">
        <v>25</v>
      </c>
      <c r="D1" s="16" t="s">
        <v>26</v>
      </c>
      <c r="E1" s="16" t="s">
        <v>17</v>
      </c>
      <c r="F1" s="16" t="s">
        <v>12</v>
      </c>
      <c r="G1" s="16" t="s">
        <v>16</v>
      </c>
      <c r="H1" s="16" t="s">
        <v>3</v>
      </c>
      <c r="I1" s="16" t="s">
        <v>27</v>
      </c>
      <c r="J1" s="16" t="s">
        <v>28</v>
      </c>
      <c r="K1" s="16" t="s">
        <v>2</v>
      </c>
      <c r="L1" s="17" t="s">
        <v>29</v>
      </c>
      <c r="M1" s="17" t="s">
        <v>30</v>
      </c>
      <c r="N1" s="17" t="s">
        <v>31</v>
      </c>
      <c r="O1" s="17" t="s">
        <v>5</v>
      </c>
      <c r="P1" s="17" t="s">
        <v>6</v>
      </c>
      <c r="Q1" s="17" t="s">
        <v>11</v>
      </c>
      <c r="AA1" t="s">
        <v>5</v>
      </c>
    </row>
    <row r="2" spans="1:27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1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32</v>
      </c>
      <c r="P2" t="s">
        <v>39</v>
      </c>
      <c r="Q2">
        <v>34000</v>
      </c>
      <c r="AA2" t="s">
        <v>45</v>
      </c>
    </row>
    <row r="3" spans="1:27">
      <c r="A3" t="s">
        <v>46</v>
      </c>
      <c r="B3" t="s">
        <v>47</v>
      </c>
      <c r="C3" t="s">
        <v>48</v>
      </c>
      <c r="D3" t="s">
        <v>49</v>
      </c>
      <c r="E3" t="s">
        <v>50</v>
      </c>
      <c r="F3">
        <v>2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32</v>
      </c>
      <c r="P3" t="s">
        <v>53</v>
      </c>
      <c r="Q3">
        <v>42000</v>
      </c>
      <c r="AA3" t="str" cm="1">
        <f t="array" ref="AA3:AA11" ca="1">_xlfn._xlws.SORT(_xlfn.UNIQUE(EmployeeData[Department]))</f>
        <v>Customer Support</v>
      </c>
    </row>
    <row r="4" spans="1:27">
      <c r="A4" t="s">
        <v>59</v>
      </c>
      <c r="B4" t="s">
        <v>60</v>
      </c>
      <c r="D4" t="s">
        <v>61</v>
      </c>
      <c r="E4" t="s">
        <v>62</v>
      </c>
      <c r="F4">
        <v>3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32</v>
      </c>
      <c r="P4" t="s">
        <v>64</v>
      </c>
      <c r="Q4">
        <v>65000</v>
      </c>
      <c r="AA4" t="str">
        <v>Finance</v>
      </c>
    </row>
    <row r="5" spans="1:27">
      <c r="A5" t="s">
        <v>70</v>
      </c>
      <c r="B5" t="s">
        <v>71</v>
      </c>
      <c r="D5" t="s">
        <v>72</v>
      </c>
      <c r="E5" t="s">
        <v>73</v>
      </c>
      <c r="F5">
        <v>4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46</v>
      </c>
      <c r="P5" t="s">
        <v>80</v>
      </c>
      <c r="Q5">
        <v>50000</v>
      </c>
      <c r="AA5" t="str">
        <v>HR</v>
      </c>
    </row>
    <row r="6" spans="1:27">
      <c r="A6" t="s">
        <v>81</v>
      </c>
      <c r="B6" t="s">
        <v>82</v>
      </c>
      <c r="E6" t="s">
        <v>83</v>
      </c>
      <c r="F6">
        <v>5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46</v>
      </c>
      <c r="P6" t="s">
        <v>84</v>
      </c>
      <c r="Q6">
        <v>45000</v>
      </c>
      <c r="AA6" t="str">
        <v>IT</v>
      </c>
    </row>
    <row r="7" spans="1:27">
      <c r="A7" t="s">
        <v>90</v>
      </c>
      <c r="B7" t="s">
        <v>91</v>
      </c>
      <c r="I7" t="s">
        <v>80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46</v>
      </c>
      <c r="P7" t="s">
        <v>97</v>
      </c>
      <c r="Q7">
        <v>58000</v>
      </c>
      <c r="AA7" t="str">
        <v>Legal</v>
      </c>
    </row>
    <row r="8" spans="1:27">
      <c r="A8" t="s">
        <v>98</v>
      </c>
      <c r="I8" t="s">
        <v>97</v>
      </c>
      <c r="J8" t="s">
        <v>99</v>
      </c>
      <c r="K8" t="s">
        <v>58</v>
      </c>
      <c r="L8" t="s">
        <v>100</v>
      </c>
      <c r="M8" t="s">
        <v>101</v>
      </c>
      <c r="N8" t="s">
        <v>102</v>
      </c>
      <c r="O8" t="s">
        <v>59</v>
      </c>
      <c r="P8" t="s">
        <v>103</v>
      </c>
      <c r="Q8">
        <v>55000</v>
      </c>
      <c r="AA8" t="str">
        <v>Marketing</v>
      </c>
    </row>
    <row r="9" spans="1:27">
      <c r="A9" t="s">
        <v>104</v>
      </c>
      <c r="I9" t="s">
        <v>103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59</v>
      </c>
      <c r="P9" t="s">
        <v>110</v>
      </c>
      <c r="Q9">
        <v>60000</v>
      </c>
      <c r="AA9" t="str">
        <v>Operations</v>
      </c>
    </row>
    <row r="10" spans="1:27">
      <c r="A10" t="s">
        <v>111</v>
      </c>
      <c r="I10" t="s">
        <v>110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  <c r="O10" t="s">
        <v>59</v>
      </c>
      <c r="P10" t="s">
        <v>117</v>
      </c>
      <c r="Q10">
        <v>48000</v>
      </c>
      <c r="AA10" t="str">
        <v>Procurement</v>
      </c>
    </row>
    <row r="11" spans="1:27">
      <c r="I11" t="s">
        <v>118</v>
      </c>
      <c r="J11" t="s">
        <v>119</v>
      </c>
      <c r="K11" t="s">
        <v>120</v>
      </c>
      <c r="L11" t="s">
        <v>121</v>
      </c>
      <c r="M11" t="s">
        <v>122</v>
      </c>
      <c r="N11" t="s">
        <v>123</v>
      </c>
      <c r="O11" t="s">
        <v>70</v>
      </c>
      <c r="P11" t="s">
        <v>124</v>
      </c>
      <c r="Q11">
        <v>40000</v>
      </c>
      <c r="AA11" t="str">
        <v>Sales</v>
      </c>
    </row>
    <row r="12" spans="1:27">
      <c r="I12" t="s">
        <v>125</v>
      </c>
      <c r="K12" t="s">
        <v>126</v>
      </c>
      <c r="L12" t="s">
        <v>127</v>
      </c>
      <c r="M12" t="s">
        <v>128</v>
      </c>
      <c r="N12" t="s">
        <v>129</v>
      </c>
      <c r="O12" t="s">
        <v>70</v>
      </c>
      <c r="P12" t="s">
        <v>130</v>
      </c>
      <c r="Q12">
        <v>55000</v>
      </c>
    </row>
    <row r="13" spans="1:27">
      <c r="I13" t="s">
        <v>124</v>
      </c>
      <c r="K13" t="s">
        <v>131</v>
      </c>
      <c r="L13" t="s">
        <v>132</v>
      </c>
      <c r="M13" t="s">
        <v>133</v>
      </c>
      <c r="N13" t="s">
        <v>134</v>
      </c>
      <c r="O13" t="s">
        <v>70</v>
      </c>
      <c r="P13" t="s">
        <v>135</v>
      </c>
      <c r="Q13">
        <v>48000</v>
      </c>
    </row>
    <row r="14" spans="1:27">
      <c r="I14" t="s">
        <v>130</v>
      </c>
      <c r="K14" t="s">
        <v>136</v>
      </c>
      <c r="O14" t="s">
        <v>81</v>
      </c>
      <c r="P14" t="s">
        <v>137</v>
      </c>
      <c r="Q14">
        <v>42000</v>
      </c>
    </row>
    <row r="15" spans="1:27">
      <c r="I15" t="s">
        <v>137</v>
      </c>
      <c r="K15" t="s">
        <v>138</v>
      </c>
      <c r="O15" t="s">
        <v>81</v>
      </c>
      <c r="P15" t="s">
        <v>139</v>
      </c>
      <c r="Q15">
        <v>50000</v>
      </c>
    </row>
    <row r="16" spans="1:27">
      <c r="I16" t="s">
        <v>139</v>
      </c>
      <c r="K16" t="s">
        <v>140</v>
      </c>
      <c r="O16" t="s">
        <v>81</v>
      </c>
      <c r="P16" t="s">
        <v>141</v>
      </c>
      <c r="Q16">
        <v>46000</v>
      </c>
    </row>
    <row r="17" spans="9:17">
      <c r="I17" t="s">
        <v>142</v>
      </c>
      <c r="K17" t="s">
        <v>143</v>
      </c>
      <c r="O17" t="s">
        <v>90</v>
      </c>
      <c r="P17" t="s">
        <v>142</v>
      </c>
      <c r="Q17">
        <v>42000</v>
      </c>
    </row>
    <row r="18" spans="9:17">
      <c r="I18" t="s">
        <v>144</v>
      </c>
      <c r="K18" t="s">
        <v>145</v>
      </c>
      <c r="O18" t="s">
        <v>90</v>
      </c>
      <c r="P18" t="s">
        <v>144</v>
      </c>
      <c r="Q18">
        <v>62000</v>
      </c>
    </row>
    <row r="19" spans="9:17">
      <c r="I19" t="s">
        <v>146</v>
      </c>
      <c r="K19" t="s">
        <v>147</v>
      </c>
      <c r="O19" t="s">
        <v>90</v>
      </c>
      <c r="P19" t="s">
        <v>148</v>
      </c>
      <c r="Q19">
        <v>45000</v>
      </c>
    </row>
    <row r="20" spans="9:17">
      <c r="I20" t="s">
        <v>149</v>
      </c>
      <c r="K20" t="s">
        <v>150</v>
      </c>
      <c r="O20" t="s">
        <v>98</v>
      </c>
      <c r="P20" t="s">
        <v>146</v>
      </c>
      <c r="Q20">
        <v>36000</v>
      </c>
    </row>
    <row r="21" spans="9:17">
      <c r="I21" t="s">
        <v>151</v>
      </c>
      <c r="K21" t="s">
        <v>152</v>
      </c>
      <c r="O21" t="s">
        <v>98</v>
      </c>
      <c r="P21" t="s">
        <v>153</v>
      </c>
      <c r="Q21">
        <v>42000</v>
      </c>
    </row>
    <row r="22" spans="9:17">
      <c r="I22" t="s">
        <v>154</v>
      </c>
      <c r="K22" t="s">
        <v>155</v>
      </c>
      <c r="O22" t="s">
        <v>98</v>
      </c>
      <c r="P22" t="s">
        <v>156</v>
      </c>
      <c r="Q22">
        <v>45000</v>
      </c>
    </row>
    <row r="23" spans="9:17">
      <c r="I23" t="s">
        <v>157</v>
      </c>
      <c r="K23" t="s">
        <v>158</v>
      </c>
      <c r="O23" t="s">
        <v>104</v>
      </c>
      <c r="P23" t="s">
        <v>151</v>
      </c>
      <c r="Q23">
        <v>42000</v>
      </c>
    </row>
    <row r="24" spans="9:17">
      <c r="I24" t="s">
        <v>159</v>
      </c>
      <c r="K24" t="s">
        <v>160</v>
      </c>
      <c r="O24" t="s">
        <v>104</v>
      </c>
      <c r="P24" t="s">
        <v>154</v>
      </c>
      <c r="Q24">
        <v>60000</v>
      </c>
    </row>
    <row r="25" spans="9:17">
      <c r="K25" t="s">
        <v>161</v>
      </c>
      <c r="O25" t="s">
        <v>104</v>
      </c>
      <c r="P25" t="s">
        <v>162</v>
      </c>
      <c r="Q25">
        <v>52000</v>
      </c>
    </row>
    <row r="26" spans="9:17">
      <c r="K26" t="s">
        <v>163</v>
      </c>
      <c r="O26" t="s">
        <v>111</v>
      </c>
      <c r="P26" t="s">
        <v>157</v>
      </c>
      <c r="Q26">
        <v>45000</v>
      </c>
    </row>
    <row r="27" spans="9:17">
      <c r="K27" t="s">
        <v>164</v>
      </c>
      <c r="O27" t="s">
        <v>111</v>
      </c>
      <c r="P27" t="s">
        <v>159</v>
      </c>
      <c r="Q27">
        <v>42000</v>
      </c>
    </row>
    <row r="28" spans="9:17">
      <c r="K28" t="s">
        <v>165</v>
      </c>
      <c r="O28" t="s">
        <v>111</v>
      </c>
      <c r="P28" t="s">
        <v>166</v>
      </c>
      <c r="Q28">
        <v>50000</v>
      </c>
    </row>
    <row r="29" spans="9:17">
      <c r="K29" t="s">
        <v>167</v>
      </c>
    </row>
    <row r="30" spans="9:17">
      <c r="K30" t="s">
        <v>168</v>
      </c>
    </row>
    <row r="31" spans="9:17">
      <c r="K31" t="s">
        <v>169</v>
      </c>
    </row>
    <row r="34" spans="10:20">
      <c r="J34" s="27" t="s">
        <v>170</v>
      </c>
      <c r="K34" s="28"/>
      <c r="M34" s="27" t="s">
        <v>171</v>
      </c>
      <c r="N34" s="28"/>
      <c r="P34" s="27" t="s">
        <v>16</v>
      </c>
      <c r="Q34" s="28"/>
      <c r="S34" s="27" t="s">
        <v>10</v>
      </c>
      <c r="T34" s="28"/>
    </row>
    <row r="35" spans="10:20">
      <c r="J35" s="17" t="s">
        <v>5</v>
      </c>
      <c r="K35" s="17" t="s">
        <v>172</v>
      </c>
      <c r="M35" s="16" t="s">
        <v>5</v>
      </c>
      <c r="N35" s="16" t="s">
        <v>173</v>
      </c>
      <c r="P35" s="16" t="s">
        <v>16</v>
      </c>
      <c r="Q35" s="16" t="s">
        <v>174</v>
      </c>
      <c r="S35" t="s">
        <v>10</v>
      </c>
      <c r="T35" t="s">
        <v>174</v>
      </c>
    </row>
    <row r="36" spans="10:20" ht="17">
      <c r="J36" t="s">
        <v>81</v>
      </c>
      <c r="K36">
        <f ca="1">COUNTIF(EmployeeData[Department],J36)</f>
        <v>60</v>
      </c>
      <c r="M36" t="s">
        <v>98</v>
      </c>
      <c r="N36" s="18">
        <f ca="1">AVERAGEIF(EmployeeData[Department],M36,EmployeeData[Salary])</f>
        <v>46835</v>
      </c>
      <c r="P36" t="s">
        <v>175</v>
      </c>
      <c r="Q36">
        <f ca="1">COUNTIF(EmployeeData[Promotion Status],P36)</f>
        <v>334</v>
      </c>
      <c r="S36" t="s">
        <v>34</v>
      </c>
      <c r="T36" s="19">
        <f ca="1">COUNTIF(EmployeeData[Employment Status],S36)</f>
        <v>401</v>
      </c>
    </row>
    <row r="37" spans="10:20" ht="17">
      <c r="J37" t="s">
        <v>98</v>
      </c>
      <c r="K37">
        <f ca="1">COUNTIF(EmployeeData[Department],J37)</f>
        <v>66</v>
      </c>
      <c r="M37" t="s">
        <v>46</v>
      </c>
      <c r="N37" s="18">
        <f ca="1">AVERAGEIF(EmployeeData[Department],M37,EmployeeData[Salary])</f>
        <v>57006.140350877198</v>
      </c>
      <c r="P37" t="s">
        <v>176</v>
      </c>
      <c r="Q37">
        <f ca="1">COUNTIF(EmployeeData[Promotion Status],P37)</f>
        <v>166</v>
      </c>
      <c r="S37" t="s">
        <v>48</v>
      </c>
      <c r="T37" s="19">
        <f ca="1">COUNTIF(EmployeeData[Employment Status],S37)</f>
        <v>99</v>
      </c>
    </row>
    <row r="38" spans="10:20">
      <c r="J38" t="s">
        <v>32</v>
      </c>
      <c r="K38">
        <f ca="1">COUNTIF(EmployeeData[Department],J38)</f>
        <v>47</v>
      </c>
      <c r="M38" t="s">
        <v>32</v>
      </c>
      <c r="N38" s="18">
        <f ca="1">AVERAGEIF(EmployeeData[Department],M38,EmployeeData[Salary])</f>
        <v>51109.148936170197</v>
      </c>
    </row>
    <row r="39" spans="10:20">
      <c r="J39" t="s">
        <v>90</v>
      </c>
      <c r="K39">
        <f ca="1">COUNTIF(EmployeeData[Department],J39)</f>
        <v>50</v>
      </c>
      <c r="M39" t="s">
        <v>59</v>
      </c>
      <c r="N39" s="18">
        <f ca="1">AVERAGEIF(EmployeeData[Department],M39,EmployeeData[Salary])</f>
        <v>60650</v>
      </c>
    </row>
    <row r="40" spans="10:20">
      <c r="J40" t="s">
        <v>104</v>
      </c>
      <c r="K40">
        <f ca="1">COUNTIF(EmployeeData[Department],J40)</f>
        <v>63</v>
      </c>
      <c r="M40" t="s">
        <v>104</v>
      </c>
      <c r="N40" s="18">
        <f ca="1">AVERAGEIF(EmployeeData[Department],M40,EmployeeData[Salary])</f>
        <v>58082.857142857101</v>
      </c>
    </row>
    <row r="41" spans="10:20">
      <c r="J41" t="s">
        <v>111</v>
      </c>
      <c r="K41">
        <f ca="1">COUNTIF(EmployeeData[Department],J41)</f>
        <v>55</v>
      </c>
      <c r="M41" t="s">
        <v>81</v>
      </c>
      <c r="N41" s="18">
        <f ca="1">AVERAGEIF(EmployeeData[Department],M41,EmployeeData[Salary])</f>
        <v>52275.333333333299</v>
      </c>
    </row>
    <row r="42" spans="10:20">
      <c r="J42" t="s">
        <v>59</v>
      </c>
      <c r="K42">
        <f ca="1">COUNTIF(EmployeeData[Department],J42)</f>
        <v>53</v>
      </c>
      <c r="M42" t="s">
        <v>90</v>
      </c>
      <c r="N42" s="18">
        <f ca="1">AVERAGEIF(EmployeeData[Department],M42,EmployeeData[Salary])</f>
        <v>56833.4</v>
      </c>
    </row>
    <row r="43" spans="10:20">
      <c r="J43" t="s">
        <v>46</v>
      </c>
      <c r="K43">
        <f ca="1">COUNTIF(EmployeeData[Department],J43)</f>
        <v>57</v>
      </c>
      <c r="M43" t="s">
        <v>111</v>
      </c>
      <c r="N43" s="18">
        <f ca="1">AVERAGEIF(EmployeeData[Department],M43,EmployeeData[Salary])</f>
        <v>51472.181818181802</v>
      </c>
    </row>
    <row r="44" spans="10:20">
      <c r="J44" t="s">
        <v>70</v>
      </c>
      <c r="K44">
        <f ca="1">COUNTIF(EmployeeData[Department],J44)</f>
        <v>49</v>
      </c>
      <c r="M44" t="s">
        <v>70</v>
      </c>
      <c r="N44" s="18">
        <f ca="1">AVERAGEIF(EmployeeData[Department],M44,EmployeeData[Salary])</f>
        <v>53568.367346938801</v>
      </c>
    </row>
  </sheetData>
  <sortState xmlns:xlrd2="http://schemas.microsoft.com/office/spreadsheetml/2017/richdata2" ref="J36:K44">
    <sortCondition descending="1" ref="K36:K44"/>
  </sortState>
  <mergeCells count="4">
    <mergeCell ref="J34:K34"/>
    <mergeCell ref="M34:N34"/>
    <mergeCell ref="P34:Q34"/>
    <mergeCell ref="S34:T3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tabSelected="1" zoomScale="85" zoomScaleNormal="85" workbookViewId="0">
      <selection activeCell="Q28" sqref="Q28"/>
    </sheetView>
  </sheetViews>
  <sheetFormatPr baseColWidth="10" defaultColWidth="11" defaultRowHeight="16"/>
  <cols>
    <col min="1" max="1" width="11.83203125" customWidth="1"/>
    <col min="2" max="2" width="11.6640625" customWidth="1"/>
    <col min="3" max="3" width="11" customWidth="1"/>
    <col min="5" max="5" width="11.83203125" customWidth="1"/>
  </cols>
  <sheetData>
    <row r="1" spans="1:14" ht="31" customHeight="1">
      <c r="A1" s="40" t="s">
        <v>177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6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6" customHeight="1">
      <c r="A3" s="1"/>
      <c r="N3" s="2"/>
    </row>
    <row r="4" spans="1:14" ht="19" customHeight="1">
      <c r="A4" s="29" t="s">
        <v>178</v>
      </c>
      <c r="B4" s="30"/>
      <c r="C4" s="30"/>
      <c r="N4" s="2"/>
    </row>
    <row r="5" spans="1:14" ht="16" customHeight="1">
      <c r="A5" s="3" t="s">
        <v>5</v>
      </c>
      <c r="B5" s="31" t="s">
        <v>45</v>
      </c>
      <c r="C5" s="31"/>
      <c r="N5" s="2"/>
    </row>
    <row r="6" spans="1:14" ht="16" customHeight="1">
      <c r="A6" s="1"/>
      <c r="N6" s="2"/>
    </row>
    <row r="7" spans="1:14" ht="18" customHeight="1">
      <c r="A7" s="32" t="s">
        <v>179</v>
      </c>
      <c r="B7" s="33"/>
      <c r="C7" s="33"/>
      <c r="E7" s="34" t="s">
        <v>180</v>
      </c>
      <c r="F7" s="34"/>
      <c r="G7" s="34"/>
      <c r="I7" s="34" t="s">
        <v>181</v>
      </c>
      <c r="J7" s="34"/>
      <c r="K7" s="34"/>
      <c r="N7" s="2"/>
    </row>
    <row r="8" spans="1:14" ht="16" customHeight="1">
      <c r="A8" s="46">
        <f>IF(B5="All Departments",ROWS(EmployeeData[]),COUNTIFS(EmployeeData[Department],B5))</f>
        <v>500</v>
      </c>
      <c r="B8" s="47"/>
      <c r="C8" s="47"/>
      <c r="E8" s="48">
        <f ca="1">IF(B5="All Departments",AVERAGE(EmployeeData[Salary]),AVERAGEIFS(EmployeeData[Salary],EmployeeData[Department],B5))</f>
        <v>54100.54</v>
      </c>
      <c r="F8" s="48"/>
      <c r="G8" s="48"/>
      <c r="I8" s="48">
        <f ca="1">IF(B5="All Departments",SUM(EmployeeData[Bonus]),SUMIFS(EmployeeData[Bonus],EmployeeData[Department],B5))</f>
        <v>1394187.7</v>
      </c>
      <c r="J8" s="48"/>
      <c r="K8" s="48"/>
      <c r="N8" s="2"/>
    </row>
    <row r="9" spans="1:14" ht="16" customHeight="1">
      <c r="A9" s="46"/>
      <c r="B9" s="47"/>
      <c r="C9" s="47"/>
      <c r="E9" s="48"/>
      <c r="F9" s="48"/>
      <c r="G9" s="48"/>
      <c r="I9" s="48"/>
      <c r="J9" s="48"/>
      <c r="K9" s="48"/>
      <c r="N9" s="2"/>
    </row>
    <row r="10" spans="1:14" ht="16" customHeight="1">
      <c r="A10" s="46"/>
      <c r="B10" s="47"/>
      <c r="C10" s="47"/>
      <c r="E10" s="48"/>
      <c r="F10" s="48"/>
      <c r="G10" s="48"/>
      <c r="I10" s="48"/>
      <c r="J10" s="48"/>
      <c r="K10" s="48"/>
      <c r="N10" s="2"/>
    </row>
    <row r="11" spans="1:14" ht="16" customHeight="1">
      <c r="A11" s="1"/>
      <c r="N11" s="2"/>
    </row>
    <row r="12" spans="1:14" ht="17" customHeight="1">
      <c r="A12" s="35" t="s">
        <v>182</v>
      </c>
      <c r="B12" s="34"/>
      <c r="C12" s="34"/>
      <c r="E12" s="34" t="s">
        <v>183</v>
      </c>
      <c r="F12" s="34"/>
      <c r="G12" s="34"/>
      <c r="I12" s="36" t="s">
        <v>184</v>
      </c>
      <c r="J12" s="36"/>
      <c r="K12" s="36"/>
      <c r="N12" s="2"/>
    </row>
    <row r="13" spans="1:14" ht="16" customHeight="1">
      <c r="A13" s="37">
        <f ca="1">IF(B5="All Departments",AVERAGE(EmployeeData[Performance Rating]),AVERAGEIFS(EmployeeData[Performance Rating],EmployeeData[Department],B5))</f>
        <v>3.0139999999999998</v>
      </c>
      <c r="B13" s="38"/>
      <c r="C13" s="38"/>
      <c r="E13" s="39">
        <f ca="1">IF(B5="All Departments",COUNTIF(EmployeeData[Promotion Status],"Promoted")/ROWS(EmployeeData[]),COUNTIFS(EmployeeData[Department],B5,EmployeeData[Promotion Status],"Promoted")/COUNTIFS(EmployeeData[Department],B5))</f>
        <v>0.66800000000000004</v>
      </c>
      <c r="F13" s="39"/>
      <c r="G13" s="39"/>
      <c r="I13" s="39">
        <f ca="1">IF(B5="All Departments",COUNTIF(EmployeeData[Employment Status],"Resigned")/ROWS(EmployeeData[]),COUNTIFS(EmployeeData[Department],B5,EmployeeData[Employment Status],"Resigned")/COUNTIFS(EmployeeData[Department],B5))</f>
        <v>0.19800000000000001</v>
      </c>
      <c r="J13" s="39"/>
      <c r="K13" s="39"/>
      <c r="N13" s="2"/>
    </row>
    <row r="14" spans="1:14" ht="16" customHeight="1">
      <c r="A14" s="37"/>
      <c r="B14" s="38"/>
      <c r="C14" s="38"/>
      <c r="E14" s="39"/>
      <c r="F14" s="39"/>
      <c r="G14" s="39"/>
      <c r="I14" s="39"/>
      <c r="J14" s="39"/>
      <c r="K14" s="39"/>
      <c r="N14" s="2"/>
    </row>
    <row r="15" spans="1:14" ht="16" customHeight="1">
      <c r="A15" s="37"/>
      <c r="B15" s="38"/>
      <c r="C15" s="38"/>
      <c r="E15" s="39"/>
      <c r="F15" s="39"/>
      <c r="G15" s="39"/>
      <c r="I15" s="39"/>
      <c r="J15" s="39"/>
      <c r="K15" s="39"/>
      <c r="N15" s="2"/>
    </row>
    <row r="16" spans="1:14" ht="16" customHeight="1">
      <c r="A16" s="1"/>
      <c r="N16" s="2"/>
    </row>
    <row r="17" spans="1:14" ht="16" customHeight="1">
      <c r="A17" s="1"/>
      <c r="N17" s="2"/>
    </row>
    <row r="18" spans="1:14" ht="16" customHeight="1">
      <c r="A18" s="1"/>
      <c r="N18" s="2"/>
    </row>
    <row r="19" spans="1:14" ht="16" customHeight="1">
      <c r="A19" s="5"/>
      <c r="B19" s="6"/>
      <c r="C19" s="6"/>
      <c r="D19" s="6"/>
      <c r="E19" s="6"/>
      <c r="F19" s="6"/>
      <c r="N19" s="2"/>
    </row>
    <row r="20" spans="1:14" ht="16" customHeight="1">
      <c r="A20" s="7"/>
      <c r="B20" s="8"/>
      <c r="C20" s="8"/>
      <c r="D20" s="8"/>
      <c r="E20" s="8"/>
      <c r="N20" s="2"/>
    </row>
    <row r="21" spans="1:14">
      <c r="A21" s="1"/>
      <c r="N21" s="2"/>
    </row>
    <row r="22" spans="1:14">
      <c r="A22" s="1"/>
      <c r="N22" s="2"/>
    </row>
    <row r="23" spans="1:14">
      <c r="A23" s="1"/>
      <c r="N23" s="2"/>
    </row>
    <row r="24" spans="1:14">
      <c r="A24" s="1"/>
      <c r="N24" s="2"/>
    </row>
    <row r="25" spans="1:14">
      <c r="A25" s="1"/>
      <c r="N25" s="2"/>
    </row>
    <row r="26" spans="1:14">
      <c r="A26" s="1"/>
      <c r="N26" s="2"/>
    </row>
    <row r="27" spans="1:14">
      <c r="A27" s="1"/>
      <c r="N27" s="2"/>
    </row>
    <row r="28" spans="1:14">
      <c r="A28" s="1"/>
      <c r="N28" s="2"/>
    </row>
    <row r="29" spans="1:14">
      <c r="A29" s="1"/>
      <c r="N29" s="2"/>
    </row>
    <row r="30" spans="1:14">
      <c r="A30" s="1"/>
      <c r="N30" s="2"/>
    </row>
    <row r="31" spans="1:14">
      <c r="A31" s="1"/>
      <c r="N31" s="2"/>
    </row>
    <row r="32" spans="1:14">
      <c r="A32" s="1"/>
      <c r="N32" s="2"/>
    </row>
    <row r="33" spans="1:14">
      <c r="A33" s="1"/>
      <c r="N33" s="2"/>
    </row>
    <row r="34" spans="1:14">
      <c r="A34" s="1"/>
      <c r="N34" s="2"/>
    </row>
    <row r="35" spans="1:14">
      <c r="A35" s="1"/>
      <c r="N35" s="2"/>
    </row>
    <row r="36" spans="1:14" ht="19">
      <c r="A36" s="9"/>
      <c r="B36" s="10"/>
      <c r="C36" s="10"/>
      <c r="D36" s="10"/>
      <c r="E36" s="10"/>
      <c r="N36" s="2"/>
    </row>
    <row r="37" spans="1:14">
      <c r="A37" s="11"/>
      <c r="B37" s="12"/>
      <c r="C37" s="12"/>
      <c r="D37" s="12"/>
      <c r="E37" s="12"/>
      <c r="F37" s="13"/>
      <c r="G37" s="13"/>
      <c r="H37" s="13"/>
      <c r="I37" s="13"/>
      <c r="J37" s="13"/>
      <c r="K37" s="13"/>
      <c r="L37" s="13"/>
      <c r="M37" s="13"/>
      <c r="N37" s="14"/>
    </row>
    <row r="38" spans="1:14">
      <c r="A38" s="1"/>
      <c r="E38" s="15"/>
    </row>
    <row r="39" spans="1:14">
      <c r="A39" s="1"/>
      <c r="E39" s="15"/>
    </row>
    <row r="40" spans="1:14">
      <c r="E40" s="15"/>
    </row>
    <row r="41" spans="1:14">
      <c r="E41" s="15"/>
    </row>
    <row r="42" spans="1:14">
      <c r="E42" s="15"/>
    </row>
  </sheetData>
  <mergeCells count="15">
    <mergeCell ref="A1:N2"/>
    <mergeCell ref="A8:C10"/>
    <mergeCell ref="E8:G10"/>
    <mergeCell ref="I8:K10"/>
    <mergeCell ref="A12:C12"/>
    <mergeCell ref="E12:G12"/>
    <mergeCell ref="I12:K12"/>
    <mergeCell ref="A13:C15"/>
    <mergeCell ref="E13:G15"/>
    <mergeCell ref="I13:K15"/>
    <mergeCell ref="A4:C4"/>
    <mergeCell ref="B5:C5"/>
    <mergeCell ref="A7:C7"/>
    <mergeCell ref="E7:G7"/>
    <mergeCell ref="I7:K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Lookup!$AA$2:$AA$11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Lookup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Dsouza</dc:creator>
  <cp:lastModifiedBy>Joyce Dsouza</cp:lastModifiedBy>
  <dcterms:created xsi:type="dcterms:W3CDTF">2026-08-02T18:23:00Z</dcterms:created>
  <dcterms:modified xsi:type="dcterms:W3CDTF">2026-08-30T19:39:30Z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8A0C2C0424026C895417946AAD86F786_42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